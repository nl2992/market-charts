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drawings/drawing2.xml" ContentType="application/vnd.openxmlformats-officedocument.drawing+xml"/>
  <Override PartName="/xl/worksheets/sheet12.xml" ContentType="application/vnd.openxmlformats-officedocument.spreadsheetml.worksheet+xml"/>
  <Override PartName="/xl/drawings/drawing3.xml" ContentType="application/vnd.openxmlformats-officedocument.drawing+xml"/>
  <Override PartName="/xl/worksheets/sheet13.xml" ContentType="application/vnd.openxmlformats-officedocument.spreadsheetml.worksheet+xml"/>
  <Override PartName="/xl/drawings/drawing4.xml" ContentType="application/vnd.openxmlformats-officedocument.drawing+xml"/>
  <Override PartName="/xl/worksheets/sheet14.xml" ContentType="application/vnd.openxmlformats-officedocument.spreadsheetml.worksheet+xml"/>
  <Override PartName="/xl/drawings/drawing5.xml" ContentType="application/vnd.openxmlformats-officedocument.drawing+xml"/>
  <Override PartName="/xl/worksheets/sheet15.xml" ContentType="application/vnd.openxmlformats-officedocument.spreadsheetml.worksheet+xml"/>
  <Override PartName="/xl/drawings/drawing6.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Charts" sheetId="2" state="visible" r:id="rId2"/>
    <sheet xmlns:r="http://schemas.openxmlformats.org/officeDocument/2006/relationships" name="CrossAsset" sheetId="3" state="visible" r:id="rId3"/>
    <sheet xmlns:r="http://schemas.openxmlformats.org/officeDocument/2006/relationships" name="Claims" sheetId="4" state="visible" r:id="rId4"/>
    <sheet xmlns:r="http://schemas.openxmlformats.org/officeDocument/2006/relationships" name="Continuing" sheetId="5" state="visible" r:id="rId5"/>
    <sheet xmlns:r="http://schemas.openxmlformats.org/officeDocument/2006/relationships" name="Bubbles" sheetId="6" state="visible" r:id="rId6"/>
    <sheet xmlns:r="http://schemas.openxmlformats.org/officeDocument/2006/relationships" name="Construction" sheetId="7" state="visible" r:id="rId7"/>
    <sheet xmlns:r="http://schemas.openxmlformats.org/officeDocument/2006/relationships" name="RateOilBeta" sheetId="8" state="visible" r:id="rId8"/>
    <sheet xmlns:r="http://schemas.openxmlformats.org/officeDocument/2006/relationships" name="PricedIn1y" sheetId="9" state="visible" r:id="rId9"/>
    <sheet xmlns:r="http://schemas.openxmlformats.org/officeDocument/2006/relationships" name="BetaCompare" sheetId="10" state="visible" r:id="rId10"/>
    <sheet xmlns:r="http://schemas.openxmlformats.org/officeDocument/2006/relationships" name="RegionalEquity" sheetId="11" state="visible" r:id="rId11"/>
    <sheet xmlns:r="http://schemas.openxmlformats.org/officeDocument/2006/relationships" name="JGBShape" sheetId="12" state="visible" r:id="rId12"/>
    <sheet xmlns:r="http://schemas.openxmlformats.org/officeDocument/2006/relationships" name="JGBCurve" sheetId="13" state="visible" r:id="rId13"/>
    <sheet xmlns:r="http://schemas.openxmlformats.org/officeDocument/2006/relationships" name="JGBFrontEnd" sheetId="14" state="visible" r:id="rId14"/>
    <sheet xmlns:r="http://schemas.openxmlformats.org/officeDocument/2006/relationships" name="JapanBanks" sheetId="15" state="visible" r:id="rId15"/>
  </sheets>
  <definedNames/>
  <calcPr calcId="124519" fullCalcOnLoad="1"/>
</workbook>
</file>

<file path=xl/styles.xml><?xml version="1.0" encoding="utf-8"?>
<styleSheet xmlns="http://schemas.openxmlformats.org/spreadsheetml/2006/main">
  <numFmts count="9">
    <numFmt numFmtId="164" formatCode="yyyy-mm-dd"/>
    <numFmt numFmtId="165" formatCode="dd-mmm-yy"/>
    <numFmt numFmtId="166" formatCode="#,##0.0000"/>
    <numFmt numFmtId="167" formatCode="0.0"/>
    <numFmt numFmtId="168" formatCode="0.0%"/>
    <numFmt numFmtId="169" formatCode="+#,##0.0;-#,##0.0"/>
    <numFmt numFmtId="170" formatCode="+0.00;-0.00"/>
    <numFmt numFmtId="171" formatCode="0.000"/>
    <numFmt numFmtId="172" formatCode="+#,##0;-#,##0"/>
  </numFmts>
  <fonts count="7">
    <font>
      <name val="Calibri"/>
      <family val="2"/>
      <color theme="1"/>
      <sz val="11"/>
      <scheme val="minor"/>
    </font>
    <font>
      <name val="Arial"/>
      <b val="1"/>
      <color rgb="00000000"/>
      <sz val="14"/>
    </font>
    <font>
      <name val="Arial"/>
      <color rgb="00767576"/>
      <sz val="9"/>
    </font>
    <font>
      <name val="Arial"/>
      <b val="1"/>
      <color rgb="00FFFFFF"/>
      <sz val="10"/>
    </font>
    <font>
      <name val="Arial"/>
      <color rgb="00000000"/>
      <sz val="10"/>
    </font>
    <font>
      <name val="Arial"/>
      <b val="1"/>
      <color rgb="00000000"/>
      <sz val="10"/>
    </font>
    <font>
      <name val="Arial"/>
      <b val="1"/>
      <color rgb="00000000"/>
      <sz val="11"/>
    </font>
  </fonts>
  <fills count="3">
    <fill>
      <patternFill/>
    </fill>
    <fill>
      <patternFill patternType="gray125"/>
    </fill>
    <fill>
      <patternFill patternType="solid">
        <fgColor rgb="00DB0011"/>
      </patternFill>
    </fill>
  </fills>
  <borders count="1">
    <border>
      <left/>
      <right/>
      <top/>
      <bottom/>
      <diagonal/>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0" fontId="0" fillId="2" borderId="0" pivotButton="0" quotePrefix="0" xfId="0"/>
    <xf numFmtId="0" fontId="5" fillId="0" borderId="0" pivotButton="0" quotePrefix="0" xfId="0"/>
    <xf numFmtId="0" fontId="4" fillId="0" borderId="0" applyAlignment="1" pivotButton="0" quotePrefix="0" xfId="0">
      <alignment vertical="top" wrapText="1"/>
    </xf>
    <xf numFmtId="0" fontId="6" fillId="0" borderId="0" pivotButton="0" quotePrefix="0" xfId="0"/>
    <xf numFmtId="0" fontId="2" fillId="0" borderId="0" applyAlignment="1" pivotButton="0" quotePrefix="0" xfId="0">
      <alignment vertical="top" wrapText="1"/>
    </xf>
    <xf numFmtId="0" fontId="3" fillId="2" borderId="0" pivotButton="0" quotePrefix="0" xfId="0"/>
    <xf numFmtId="0" fontId="3" fillId="2" borderId="0" applyAlignment="1" pivotButton="0" quotePrefix="0" xfId="0">
      <alignment horizontal="left" vertical="center"/>
    </xf>
    <xf numFmtId="0" fontId="3" fillId="2" borderId="0" applyAlignment="1" pivotButton="0" quotePrefix="0" xfId="0">
      <alignment horizontal="right" vertical="center" wrapText="1"/>
    </xf>
    <xf numFmtId="165" fontId="4" fillId="0" borderId="0" pivotButton="0" quotePrefix="0" xfId="0"/>
    <xf numFmtId="166" fontId="4" fillId="0" borderId="0" pivotButton="0" quotePrefix="0" xfId="0"/>
    <xf numFmtId="167" fontId="4" fillId="0" borderId="0" pivotButton="0" quotePrefix="0" xfId="0"/>
    <xf numFmtId="0" fontId="4" fillId="0" borderId="0" pivotButton="0" quotePrefix="0" xfId="0"/>
    <xf numFmtId="3" fontId="4" fillId="0" borderId="0" pivotButton="0" quotePrefix="0" xfId="0"/>
    <xf numFmtId="168" fontId="4" fillId="0" borderId="0" pivotButton="0" quotePrefix="0" xfId="0"/>
    <xf numFmtId="2" fontId="4" fillId="0" borderId="0" pivotButton="0" quotePrefix="0" xfId="0"/>
    <xf numFmtId="169" fontId="4" fillId="0" borderId="0" pivotButton="0" quotePrefix="0" xfId="0"/>
    <xf numFmtId="1" fontId="4" fillId="0" borderId="0" pivotButton="0" quotePrefix="0" xfId="0"/>
    <xf numFmtId="170" fontId="5" fillId="0" borderId="0" pivotButton="0" quotePrefix="0" xfId="0"/>
    <xf numFmtId="0" fontId="3" fillId="2" borderId="0" applyAlignment="1" pivotButton="0" quotePrefix="0" xfId="0">
      <alignment horizontal="left" vertical="center" wrapText="1"/>
    </xf>
    <xf numFmtId="171" fontId="4" fillId="0" borderId="0" pivotButton="0" quotePrefix="0" xfId="0"/>
    <xf numFmtId="172" fontId="4" fillId="0" borderId="0" pivotButton="0" quotePrefix="0" xfId="0"/>
    <xf numFmtId="4"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Equities, bonds and commodities</a:t>
            </a:r>
          </a:p>
        </rich>
      </tx>
    </title>
    <plotArea>
      <lineChart>
        <grouping val="standard"/>
        <ser>
          <idx val="0"/>
          <order val="0"/>
          <tx>
            <v>Equities — MSCI ACWI</v>
          </tx>
          <spPr>
            <a:ln xmlns:a="http://schemas.openxmlformats.org/drawingml/2006/main" w="24000">
              <a:solidFill>
                <a:srgbClr val="DB0011"/>
              </a:solidFill>
              <a:prstDash val="solid"/>
            </a:ln>
          </spPr>
          <marker>
            <symbol val="none"/>
            <spPr>
              <a:ln xmlns:a="http://schemas.openxmlformats.org/drawingml/2006/main">
                <a:prstDash val="solid"/>
              </a:ln>
            </spPr>
          </marker>
          <cat>
            <numRef>
              <f>'CrossAsset'!$A$7:$A$941</f>
            </numRef>
          </cat>
          <val>
            <numRef>
              <f>'CrossAsset'!$E$7:$E$941</f>
            </numRef>
          </val>
          <smooth val="0"/>
        </ser>
        <ser>
          <idx val="1"/>
          <order val="1"/>
          <tx>
            <v>Bonds — UST 7-10y</v>
          </tx>
          <spPr>
            <a:ln xmlns:a="http://schemas.openxmlformats.org/drawingml/2006/main" w="24000">
              <a:solidFill>
                <a:srgbClr val="44546A"/>
              </a:solidFill>
              <a:prstDash val="solid"/>
            </a:ln>
          </spPr>
          <marker>
            <symbol val="none"/>
            <spPr>
              <a:ln xmlns:a="http://schemas.openxmlformats.org/drawingml/2006/main">
                <a:prstDash val="solid"/>
              </a:ln>
            </spPr>
          </marker>
          <cat>
            <numRef>
              <f>'CrossAsset'!$A$7:$A$941</f>
            </numRef>
          </cat>
          <val>
            <numRef>
              <f>'CrossAsset'!$F$7:$F$941</f>
            </numRef>
          </val>
          <smooth val="0"/>
        </ser>
        <ser>
          <idx val="2"/>
          <order val="2"/>
          <tx>
            <v>Commodities — S&amp;P GSCI</v>
          </tx>
          <spPr>
            <a:ln xmlns:a="http://schemas.openxmlformats.org/drawingml/2006/main" w="24000">
              <a:solidFill>
                <a:srgbClr val="00847F"/>
              </a:solidFill>
              <a:prstDash val="solid"/>
            </a:ln>
          </spPr>
          <marker>
            <symbol val="none"/>
            <spPr>
              <a:ln xmlns:a="http://schemas.openxmlformats.org/drawingml/2006/main">
                <a:prstDash val="solid"/>
              </a:ln>
            </spPr>
          </marker>
          <cat>
            <numRef>
              <f>'CrossAsset'!$A$7:$A$941</f>
            </numRef>
          </cat>
          <val>
            <numRef>
              <f>'CrossAsset'!$G$7:$G$941</f>
            </numRef>
          </val>
          <smooth val="0"/>
        </ser>
        <axId val="10"/>
        <axId val="100"/>
      </lineChart>
      <catAx>
        <axId val="10"/>
        <scaling>
          <orientation val="minMax"/>
        </scaling>
        <delete val="0"/>
        <axPos val="b"/>
        <numFmt formatCode="mmm-yy" sourceLinked="0"/>
        <majorTickMark val="none"/>
        <minorTickMark val="none"/>
        <tickLblPos val="low"/>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tickLblSkip val="117"/>
        <tickMarkSkip val="117"/>
      </catAx>
      <valAx>
        <axId val="100"/>
        <scaling>
          <orientation val="minMax"/>
          <max val="210"/>
          <min val="80"/>
        </scaling>
        <delete val="0"/>
        <axPos val="l"/>
        <majorGridlines>
          <spPr>
            <a:ln xmlns:a="http://schemas.openxmlformats.org/drawingml/2006/main" w="3175">
              <a:solidFill>
                <a:srgbClr val="D0CECE"/>
              </a:solidFill>
              <a:prstDash val="solid"/>
            </a:ln>
          </spPr>
        </majorGridlines>
        <title>
          <tx>
            <rich>
              <a:bodyPr xmlns:a="http://schemas.openxmlformats.org/drawingml/2006/main"/>
              <a:p xmlns:a="http://schemas.openxmlformats.org/drawingml/2006/main">
                <a:pPr>
                  <a:defRPr sz="950" b="0">
                    <a:solidFill>
                      <a:srgbClr val="767576"/>
                    </a:solidFill>
                    <a:latin typeface="Arial"/>
                  </a:defRPr>
                </a:pPr>
                <a:r>
                  <a:t>Index, 02-Jan-23 = 100</a:t>
                </a:r>
              </a:p>
            </rich>
          </tx>
        </title>
        <numFmt formatCode="0" sourceLinked="0"/>
        <majorTickMark val="none"/>
        <minorTickMark val="none"/>
        <tickLblPos val="nextTo"/>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00" b="0">
              <a:solidFill>
                <a:srgbClr val="000000"/>
              </a:solidFill>
              <a:latin typeface="Arial"/>
            </a:defRPr>
          </a:pPr>
          <a:r>
            <a:t/>
          </a:r>
          <a:endParaRPr sz="900" b="0">
            <a:solidFill>
              <a:srgbClr val="000000"/>
            </a:solidFill>
            <a:latin typeface="Arial"/>
          </a:endParaRPr>
        </a:p>
      </txPr>
    </legend>
    <plotVisOnly val="1"/>
    <dispBlanksAs val="gap"/>
  </chart>
  <spPr>
    <a:ln xmlns:a="http://schemas.openxmlformats.org/drawingml/2006/main">
      <a:noFill/>
      <a:prstDash val="solid"/>
    </a:ln>
  </spPr>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Initial claims by week of year</a:t>
            </a:r>
          </a:p>
        </rich>
      </tx>
    </title>
    <plotArea>
      <lineChart>
        <grouping val="standard"/>
        <ser>
          <idx val="0"/>
          <order val="0"/>
          <tx>
            <v>2026</v>
          </tx>
          <spPr>
            <a:ln xmlns:a="http://schemas.openxmlformats.org/drawingml/2006/main" w="26000">
              <a:solidFill>
                <a:srgbClr val="DB0011"/>
              </a:solidFill>
              <a:prstDash val="solid"/>
            </a:ln>
          </spPr>
          <marker>
            <symbol val="none"/>
            <spPr>
              <a:ln xmlns:a="http://schemas.openxmlformats.org/drawingml/2006/main">
                <a:prstDash val="solid"/>
              </a:ln>
            </spPr>
          </marker>
          <cat>
            <numRef>
              <f>'Claims'!$A$7:$A$58</f>
            </numRef>
          </cat>
          <val>
            <numRef>
              <f>'Claims'!$B$7:$B$58</f>
            </numRef>
          </val>
          <smooth val="0"/>
        </ser>
        <ser>
          <idx val="1"/>
          <order val="1"/>
          <tx>
            <v>2025</v>
          </tx>
          <spPr>
            <a:ln xmlns:a="http://schemas.openxmlformats.org/drawingml/2006/main" w="14000">
              <a:solidFill>
                <a:srgbClr val="44546A"/>
              </a:solidFill>
              <a:prstDash val="solid"/>
            </a:ln>
          </spPr>
          <marker>
            <symbol val="none"/>
            <spPr>
              <a:ln xmlns:a="http://schemas.openxmlformats.org/drawingml/2006/main">
                <a:prstDash val="solid"/>
              </a:ln>
            </spPr>
          </marker>
          <cat>
            <numRef>
              <f>'Claims'!$A$7:$A$58</f>
            </numRef>
          </cat>
          <val>
            <numRef>
              <f>'Claims'!$C$7:$C$58</f>
            </numRef>
          </val>
          <smooth val="0"/>
        </ser>
        <ser>
          <idx val="2"/>
          <order val="2"/>
          <tx>
            <v>2024</v>
          </tx>
          <spPr>
            <a:ln xmlns:a="http://schemas.openxmlformats.org/drawingml/2006/main" w="14000">
              <a:solidFill>
                <a:srgbClr val="9FB4CA"/>
              </a:solidFill>
              <a:prstDash val="solid"/>
            </a:ln>
          </spPr>
          <marker>
            <symbol val="none"/>
            <spPr>
              <a:ln xmlns:a="http://schemas.openxmlformats.org/drawingml/2006/main">
                <a:prstDash val="solid"/>
              </a:ln>
            </spPr>
          </marker>
          <cat>
            <numRef>
              <f>'Claims'!$A$7:$A$58</f>
            </numRef>
          </cat>
          <val>
            <numRef>
              <f>'Claims'!$D$7:$D$58</f>
            </numRef>
          </val>
          <smooth val="0"/>
        </ser>
        <ser>
          <idx val="3"/>
          <order val="3"/>
          <tx>
            <v>2023</v>
          </tx>
          <spPr>
            <a:ln xmlns:a="http://schemas.openxmlformats.org/drawingml/2006/main" w="14000">
              <a:solidFill>
                <a:srgbClr val="D7D8D6"/>
              </a:solidFill>
              <a:prstDash val="solid"/>
            </a:ln>
          </spPr>
          <marker>
            <symbol val="none"/>
            <spPr>
              <a:ln xmlns:a="http://schemas.openxmlformats.org/drawingml/2006/main">
                <a:prstDash val="solid"/>
              </a:ln>
            </spPr>
          </marker>
          <cat>
            <numRef>
              <f>'Claims'!$A$7:$A$58</f>
            </numRef>
          </cat>
          <val>
            <numRef>
              <f>'Claims'!$E$7:$E$58</f>
            </numRef>
          </val>
          <smooth val="0"/>
        </ser>
        <ser>
          <idx val="4"/>
          <order val="4"/>
          <tx>
            <v>2023-25 average</v>
          </tx>
          <spPr>
            <a:ln xmlns:a="http://schemas.openxmlformats.org/drawingml/2006/main" w="9000">
              <a:solidFill>
                <a:srgbClr val="767576"/>
              </a:solidFill>
              <a:prstDash val="dash"/>
            </a:ln>
          </spPr>
          <marker>
            <symbol val="none"/>
            <spPr>
              <a:ln xmlns:a="http://schemas.openxmlformats.org/drawingml/2006/main">
                <a:prstDash val="solid"/>
              </a:ln>
            </spPr>
          </marker>
          <cat>
            <numRef>
              <f>'Claims'!$A$7:$A$58</f>
            </numRef>
          </cat>
          <val>
            <numRef>
              <f>'Claims'!$F$7:$F$58</f>
            </numRef>
          </val>
          <smooth val="0"/>
        </ser>
        <axId val="10"/>
        <axId val="100"/>
      </lineChart>
      <catAx>
        <axId val="10"/>
        <scaling>
          <orientation val="minMax"/>
        </scaling>
        <delete val="0"/>
        <axPos val="b"/>
        <majorTickMark val="none"/>
        <minorTickMark val="none"/>
        <tickLblPos val="low"/>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tickLblSkip val="4"/>
        <tickMarkSkip val="4"/>
      </catAx>
      <valAx>
        <axId val="100"/>
        <scaling>
          <orientation val="minMax"/>
          <max val="270"/>
          <min val="170"/>
        </scaling>
        <delete val="0"/>
        <axPos val="l"/>
        <majorGridlines>
          <spPr>
            <a:ln xmlns:a="http://schemas.openxmlformats.org/drawingml/2006/main" w="3175">
              <a:solidFill>
                <a:srgbClr val="D0CECE"/>
              </a:solidFill>
              <a:prstDash val="solid"/>
            </a:ln>
          </spPr>
        </majorGridlines>
        <title>
          <tx>
            <rich>
              <a:bodyPr xmlns:a="http://schemas.openxmlformats.org/drawingml/2006/main"/>
              <a:p xmlns:a="http://schemas.openxmlformats.org/drawingml/2006/main">
                <a:pPr>
                  <a:defRPr sz="950" b="0">
                    <a:solidFill>
                      <a:srgbClr val="767576"/>
                    </a:solidFill>
                    <a:latin typeface="Arial"/>
                  </a:defRPr>
                </a:pPr>
                <a:r>
                  <a:t>Thousands</a:t>
                </a:r>
              </a:p>
            </rich>
          </tx>
        </title>
        <numFmt formatCode="#,##0" sourceLinked="0"/>
        <majorTickMark val="none"/>
        <minorTickMark val="none"/>
        <tickLblPos val="nextTo"/>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00" b="0">
              <a:solidFill>
                <a:srgbClr val="000000"/>
              </a:solidFill>
              <a:latin typeface="Arial"/>
            </a:defRPr>
          </a:pPr>
          <a:r>
            <a:t/>
          </a:r>
          <a:endParaRPr sz="900" b="0">
            <a:solidFill>
              <a:srgbClr val="000000"/>
            </a:solidFill>
            <a:latin typeface="Arial"/>
          </a:endParaRPr>
        </a:p>
      </txPr>
    </legend>
    <plotVisOnly val="1"/>
    <dispBlanksAs val="gap"/>
  </chart>
  <spPr>
    <a:ln xmlns:a="http://schemas.openxmlformats.org/drawingml/2006/main">
      <a:noFill/>
      <a:prstDash val="solid"/>
    </a:ln>
  </spPr>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Continuing claims and the unemployment rate</a:t>
            </a:r>
          </a:p>
        </rich>
      </tx>
    </title>
    <plotArea>
      <lineChart>
        <grouping val="standard"/>
        <ser>
          <idx val="0"/>
          <order val="0"/>
          <tx>
            <v>Continuing claims, this cycle</v>
          </tx>
          <spPr>
            <a:ln xmlns:a="http://schemas.openxmlformats.org/drawingml/2006/main" w="26000">
              <a:solidFill>
                <a:srgbClr val="DB0011"/>
              </a:solidFill>
              <a:prstDash val="solid"/>
            </a:ln>
          </spPr>
          <marker>
            <symbol val="none"/>
            <spPr>
              <a:ln xmlns:a="http://schemas.openxmlformats.org/drawingml/2006/main">
                <a:prstDash val="solid"/>
              </a:ln>
            </spPr>
          </marker>
          <cat>
            <numRef>
              <f>'Continuing'!$A$7:$A$15</f>
            </numRef>
          </cat>
          <val>
            <numRef>
              <f>'Continuing'!$B$7:$B$15</f>
            </numRef>
          </val>
          <smooth val="0"/>
        </ser>
        <ser>
          <idx val="1"/>
          <order val="1"/>
          <tx>
            <v>Continuing claims, 2024</v>
          </tx>
          <spPr>
            <a:ln xmlns:a="http://schemas.openxmlformats.org/drawingml/2006/main" w="16000">
              <a:solidFill>
                <a:srgbClr val="D7D8D6"/>
              </a:solidFill>
              <a:prstDash val="solid"/>
            </a:ln>
          </spPr>
          <marker>
            <symbol val="none"/>
            <spPr>
              <a:ln xmlns:a="http://schemas.openxmlformats.org/drawingml/2006/main">
                <a:prstDash val="solid"/>
              </a:ln>
            </spPr>
          </marker>
          <cat>
            <numRef>
              <f>'Continuing'!$A$7:$A$15</f>
            </numRef>
          </cat>
          <val>
            <numRef>
              <f>'Continuing'!$C$7:$C$15</f>
            </numRef>
          </val>
          <smooth val="0"/>
        </ser>
        <axId val="10"/>
        <axId val="100"/>
      </lineChart>
      <lineChart>
        <grouping val="standard"/>
        <ser>
          <idx val="2"/>
          <order val="2"/>
          <tx>
            <v>Unemployment rate, this cycle</v>
          </tx>
          <spPr>
            <a:ln xmlns:a="http://schemas.openxmlformats.org/drawingml/2006/main" w="16000">
              <a:solidFill>
                <a:srgbClr val="44546A"/>
              </a:solidFill>
              <a:prstDash val="dash"/>
            </a:ln>
          </spPr>
          <marker>
            <symbol val="none"/>
            <spPr>
              <a:ln xmlns:a="http://schemas.openxmlformats.org/drawingml/2006/main">
                <a:prstDash val="solid"/>
              </a:ln>
            </spPr>
          </marker>
          <cat>
            <numRef>
              <f>'Continuing'!$A$7:$A$15</f>
            </numRef>
          </cat>
          <val>
            <numRef>
              <f>'Continuing'!$D$7:$D$15</f>
            </numRef>
          </val>
          <smooth val="0"/>
        </ser>
        <ser>
          <idx val="3"/>
          <order val="3"/>
          <tx>
            <v>Unemployment rate, 2024</v>
          </tx>
          <spPr>
            <a:ln xmlns:a="http://schemas.openxmlformats.org/drawingml/2006/main" w="16000">
              <a:solidFill>
                <a:srgbClr val="9FB4CA"/>
              </a:solidFill>
              <a:prstDash val="dash"/>
            </a:ln>
          </spPr>
          <marker>
            <symbol val="none"/>
            <spPr>
              <a:ln xmlns:a="http://schemas.openxmlformats.org/drawingml/2006/main">
                <a:prstDash val="solid"/>
              </a:ln>
            </spPr>
          </marker>
          <cat>
            <numRef>
              <f>'Continuing'!$A$7:$A$15</f>
            </numRef>
          </cat>
          <val>
            <numRef>
              <f>'Continuing'!$E$7:$E$15</f>
            </numRef>
          </val>
          <smooth val="0"/>
        </ser>
        <axId val="10"/>
        <axId val="200"/>
      </lineChart>
      <catAx>
        <axId val="10"/>
        <scaling>
          <orientation val="minMax"/>
        </scaling>
        <delete val="0"/>
        <axPos val="b"/>
        <majorTickMark val="none"/>
        <minorTickMark val="none"/>
        <tickLblPos val="low"/>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tickLblSkip val="1"/>
        <tickMarkSkip val="1"/>
      </catAx>
      <valAx>
        <axId val="100"/>
        <scaling>
          <orientation val="minMax"/>
        </scaling>
        <delete val="0"/>
        <axPos val="l"/>
        <majorGridlines>
          <spPr>
            <a:ln xmlns:a="http://schemas.openxmlformats.org/drawingml/2006/main" w="3175">
              <a:solidFill>
                <a:srgbClr val="D0CECE"/>
              </a:solidFill>
              <a:prstDash val="solid"/>
            </a:ln>
          </spPr>
        </majorGridlines>
        <title>
          <tx>
            <rich>
              <a:bodyPr xmlns:a="http://schemas.openxmlformats.org/drawingml/2006/main"/>
              <a:p xmlns:a="http://schemas.openxmlformats.org/drawingml/2006/main">
                <a:pPr>
                  <a:defRPr sz="950" b="0">
                    <a:solidFill>
                      <a:srgbClr val="767576"/>
                    </a:solidFill>
                    <a:latin typeface="Arial"/>
                  </a:defRPr>
                </a:pPr>
                <a:r>
                  <a:t>Continuing claims, % change from November</a:t>
                </a:r>
              </a:p>
            </rich>
          </tx>
        </title>
        <numFmt formatCode="0%" sourceLinked="0"/>
        <majorTickMark val="none"/>
        <minorTickMark val="none"/>
        <tickLblPos val="nextTo"/>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valAx>
        <axId val="200"/>
        <scaling>
          <orientation val="minMax"/>
        </scaling>
        <delete val="0"/>
        <axPos val="r"/>
        <title>
          <tx>
            <rich>
              <a:bodyPr xmlns:a="http://schemas.openxmlformats.org/drawingml/2006/main"/>
              <a:p xmlns:a="http://schemas.openxmlformats.org/drawingml/2006/main">
                <a:pPr>
                  <a:defRPr sz="950" b="0">
                    <a:solidFill>
                      <a:srgbClr val="767576"/>
                    </a:solidFill>
                    <a:latin typeface="Arial"/>
                  </a:defRPr>
                </a:pPr>
                <a:r>
                  <a:t>Unemployment rate, pp change</a:t>
                </a:r>
              </a:p>
            </rich>
          </tx>
        </title>
        <numFmt formatCode="0.0" sourceLinked="0"/>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crosses val="max"/>
      </valAx>
    </plotArea>
    <legend>
      <legendPos val="b"/>
      <overlay val="0"/>
      <txPr>
        <a:bodyPr xmlns:a="http://schemas.openxmlformats.org/drawingml/2006/main"/>
        <a:p xmlns:a="http://schemas.openxmlformats.org/drawingml/2006/main">
          <a:pPr>
            <a:defRPr sz="900" b="0">
              <a:solidFill>
                <a:srgbClr val="000000"/>
              </a:solidFill>
              <a:latin typeface="Arial"/>
            </a:defRPr>
          </a:pPr>
          <a:r>
            <a:t/>
          </a:r>
          <a:endParaRPr sz="900" b="0">
            <a:solidFill>
              <a:srgbClr val="000000"/>
            </a:solidFill>
            <a:latin typeface="Arial"/>
          </a:endParaRPr>
        </a:p>
      </txPr>
    </legend>
    <plotVisOnly val="1"/>
    <dispBlanksAs val="gap"/>
  </chart>
  <spPr>
    <a:ln xmlns:a="http://schemas.openxmlformats.org/drawingml/2006/main">
      <a:noFill/>
      <a:prstDash val="solid"/>
    </a:ln>
  </spPr>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10y change from the start of each episode</a:t>
            </a:r>
          </a:p>
        </rich>
      </tx>
    </title>
    <plotArea>
      <lineChart>
        <grouping val="standard"/>
        <ser>
          <idx val="0"/>
          <order val="0"/>
          <tx>
            <v>2025-26 current</v>
          </tx>
          <spPr>
            <a:ln xmlns:a="http://schemas.openxmlformats.org/drawingml/2006/main" w="26000">
              <a:solidFill>
                <a:srgbClr val="DB0011"/>
              </a:solidFill>
              <a:prstDash val="solid"/>
            </a:ln>
          </spPr>
          <marker>
            <symbol val="none"/>
            <spPr>
              <a:ln xmlns:a="http://schemas.openxmlformats.org/drawingml/2006/main">
                <a:prstDash val="solid"/>
              </a:ln>
            </spPr>
          </marker>
          <cat>
            <numRef>
              <f>'Bubbles'!$A$7:$A$507</f>
            </numRef>
          </cat>
          <val>
            <numRef>
              <f>'Bubbles'!$B$7:$B$507</f>
            </numRef>
          </val>
          <smooth val="0"/>
        </ser>
        <ser>
          <idx val="1"/>
          <order val="1"/>
          <tx>
            <v>2020-22</v>
          </tx>
          <spPr>
            <a:ln xmlns:a="http://schemas.openxmlformats.org/drawingml/2006/main" w="14000">
              <a:solidFill>
                <a:srgbClr val="44546A"/>
              </a:solidFill>
              <a:prstDash val="solid"/>
            </a:ln>
          </spPr>
          <marker>
            <symbol val="none"/>
            <spPr>
              <a:ln xmlns:a="http://schemas.openxmlformats.org/drawingml/2006/main">
                <a:prstDash val="solid"/>
              </a:ln>
            </spPr>
          </marker>
          <cat>
            <numRef>
              <f>'Bubbles'!$A$7:$A$507</f>
            </numRef>
          </cat>
          <val>
            <numRef>
              <f>'Bubbles'!$C$7:$C$507</f>
            </numRef>
          </val>
          <smooth val="0"/>
        </ser>
        <ser>
          <idx val="2"/>
          <order val="2"/>
          <tx>
            <v>1998-2002 dot-com</v>
          </tx>
          <spPr>
            <a:ln xmlns:a="http://schemas.openxmlformats.org/drawingml/2006/main" w="14000">
              <a:solidFill>
                <a:srgbClr val="6E88A6"/>
              </a:solidFill>
              <a:prstDash val="solid"/>
            </a:ln>
          </spPr>
          <marker>
            <symbol val="none"/>
            <spPr>
              <a:ln xmlns:a="http://schemas.openxmlformats.org/drawingml/2006/main">
                <a:prstDash val="solid"/>
              </a:ln>
            </spPr>
          </marker>
          <cat>
            <numRef>
              <f>'Bubbles'!$A$7:$A$507</f>
            </numRef>
          </cat>
          <val>
            <numRef>
              <f>'Bubbles'!$D$7:$D$507</f>
            </numRef>
          </val>
          <smooth val="0"/>
        </ser>
        <ser>
          <idx val="3"/>
          <order val="3"/>
          <tx>
            <v>2023-25</v>
          </tx>
          <spPr>
            <a:ln xmlns:a="http://schemas.openxmlformats.org/drawingml/2006/main" w="14000">
              <a:solidFill>
                <a:srgbClr val="00847F"/>
              </a:solidFill>
              <a:prstDash val="solid"/>
            </a:ln>
          </spPr>
          <marker>
            <symbol val="none"/>
            <spPr>
              <a:ln xmlns:a="http://schemas.openxmlformats.org/drawingml/2006/main">
                <a:prstDash val="solid"/>
              </a:ln>
            </spPr>
          </marker>
          <cat>
            <numRef>
              <f>'Bubbles'!$A$7:$A$507</f>
            </numRef>
          </cat>
          <val>
            <numRef>
              <f>'Bubbles'!$E$7:$E$507</f>
            </numRef>
          </val>
          <smooth val="0"/>
        </ser>
        <ser>
          <idx val="4"/>
          <order val="4"/>
          <tx>
            <v>1964-66</v>
          </tx>
          <spPr>
            <a:ln xmlns:a="http://schemas.openxmlformats.org/drawingml/2006/main" w="14000">
              <a:solidFill>
                <a:srgbClr val="D7D8D6"/>
              </a:solidFill>
              <a:prstDash val="solid"/>
            </a:ln>
          </spPr>
          <marker>
            <symbol val="none"/>
            <spPr>
              <a:ln xmlns:a="http://schemas.openxmlformats.org/drawingml/2006/main">
                <a:prstDash val="solid"/>
              </a:ln>
            </spPr>
          </marker>
          <cat>
            <numRef>
              <f>'Bubbles'!$A$7:$A$507</f>
            </numRef>
          </cat>
          <val>
            <numRef>
              <f>'Bubbles'!$F$7:$F$507</f>
            </numRef>
          </val>
          <smooth val="0"/>
        </ser>
        <ser>
          <idx val="5"/>
          <order val="5"/>
          <tx>
            <v>1997-98</v>
          </tx>
          <spPr>
            <a:ln xmlns:a="http://schemas.openxmlformats.org/drawingml/2006/main" w="14000">
              <a:solidFill>
                <a:srgbClr val="9FB4CA"/>
              </a:solidFill>
              <a:prstDash val="solid"/>
            </a:ln>
          </spPr>
          <marker>
            <symbol val="none"/>
            <spPr>
              <a:ln xmlns:a="http://schemas.openxmlformats.org/drawingml/2006/main">
                <a:prstDash val="solid"/>
              </a:ln>
            </spPr>
          </marker>
          <cat>
            <numRef>
              <f>'Bubbles'!$A$7:$A$507</f>
            </numRef>
          </cat>
          <val>
            <numRef>
              <f>'Bubbles'!$G$7:$G$507</f>
            </numRef>
          </val>
          <smooth val="0"/>
        </ser>
        <axId val="10"/>
        <axId val="100"/>
      </lineChart>
      <catAx>
        <axId val="10"/>
        <scaling>
          <orientation val="minMax"/>
        </scaling>
        <delete val="0"/>
        <axPos val="b"/>
        <majorTickMark val="none"/>
        <minorTickMark val="none"/>
        <tickLblPos val="low"/>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tickLblSkip val="46"/>
        <tickMarkSkip val="46"/>
      </catAx>
      <valAx>
        <axId val="100"/>
        <scaling>
          <orientation val="minMax"/>
          <max val="3.5"/>
          <min val="-1.5"/>
        </scaling>
        <delete val="0"/>
        <axPos val="l"/>
        <majorGridlines>
          <spPr>
            <a:ln xmlns:a="http://schemas.openxmlformats.org/drawingml/2006/main" w="3175">
              <a:solidFill>
                <a:srgbClr val="D0CECE"/>
              </a:solidFill>
              <a:prstDash val="solid"/>
            </a:ln>
          </spPr>
        </majorGridlines>
        <title>
          <tx>
            <rich>
              <a:bodyPr xmlns:a="http://schemas.openxmlformats.org/drawingml/2006/main"/>
              <a:p xmlns:a="http://schemas.openxmlformats.org/drawingml/2006/main">
                <a:pPr>
                  <a:defRPr sz="950" b="0">
                    <a:solidFill>
                      <a:srgbClr val="767576"/>
                    </a:solidFill>
                    <a:latin typeface="Arial"/>
                  </a:defRPr>
                </a:pPr>
                <a:r>
                  <a:t>Percentage points</a:t>
                </a:r>
              </a:p>
            </rich>
          </tx>
        </title>
        <numFmt formatCode="0.0" sourceLinked="0"/>
        <majorTickMark val="none"/>
        <minorTickMark val="none"/>
        <tickLblPos val="nextTo"/>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00" b="0">
              <a:solidFill>
                <a:srgbClr val="000000"/>
              </a:solidFill>
              <a:latin typeface="Arial"/>
            </a:defRPr>
          </a:pPr>
          <a:r>
            <a:t/>
          </a:r>
          <a:endParaRPr sz="900" b="0">
            <a:solidFill>
              <a:srgbClr val="000000"/>
            </a:solidFill>
            <a:latin typeface="Arial"/>
          </a:endParaRPr>
        </a:p>
      </txPr>
    </legend>
    <plotVisOnly val="1"/>
    <dispBlanksAs val="gap"/>
  </chart>
  <spPr>
    <a:ln xmlns:a="http://schemas.openxmlformats.org/drawingml/2006/main">
      <a:noFill/>
      <a:prstDash val="solid"/>
    </a:ln>
  </spPr>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Construction spending, change since January 2024</a:t>
            </a:r>
          </a:p>
        </rich>
      </tx>
    </title>
    <plotArea>
      <lineChart>
        <grouping val="standard"/>
        <ser>
          <idx val="0"/>
          <order val="0"/>
          <tx>
            <v>Data centres</v>
          </tx>
          <spPr>
            <a:ln xmlns:a="http://schemas.openxmlformats.org/drawingml/2006/main" w="26000">
              <a:solidFill>
                <a:srgbClr val="DB0011"/>
              </a:solidFill>
              <a:prstDash val="solid"/>
            </a:ln>
          </spPr>
          <marker>
            <symbol val="none"/>
            <spPr>
              <a:ln xmlns:a="http://schemas.openxmlformats.org/drawingml/2006/main">
                <a:prstDash val="solid"/>
              </a:ln>
            </spPr>
          </marker>
          <cat>
            <numRef>
              <f>'Construction'!$A$7:$A$36</f>
            </numRef>
          </cat>
          <val>
            <numRef>
              <f>'Construction'!$B$7:$B$36</f>
            </numRef>
          </val>
          <smooth val="0"/>
        </ser>
        <ser>
          <idx val="1"/>
          <order val="1"/>
          <tx>
            <v>Total non-residential</v>
          </tx>
          <spPr>
            <a:ln xmlns:a="http://schemas.openxmlformats.org/drawingml/2006/main" w="17000">
              <a:solidFill>
                <a:srgbClr val="6E88A6"/>
              </a:solidFill>
              <a:prstDash val="solid"/>
            </a:ln>
          </spPr>
          <marker>
            <symbol val="none"/>
            <spPr>
              <a:ln xmlns:a="http://schemas.openxmlformats.org/drawingml/2006/main">
                <a:prstDash val="solid"/>
              </a:ln>
            </spPr>
          </marker>
          <cat>
            <numRef>
              <f>'Construction'!$A$7:$A$36</f>
            </numRef>
          </cat>
          <val>
            <numRef>
              <f>'Construction'!$C$7:$C$36</f>
            </numRef>
          </val>
          <smooth val="0"/>
        </ser>
        <ser>
          <idx val="2"/>
          <order val="2"/>
          <tx>
            <v>Ex data centres</v>
          </tx>
          <spPr>
            <a:ln xmlns:a="http://schemas.openxmlformats.org/drawingml/2006/main" w="17000">
              <a:solidFill>
                <a:srgbClr val="44546A"/>
              </a:solidFill>
              <a:prstDash val="solid"/>
            </a:ln>
          </spPr>
          <marker>
            <symbol val="none"/>
            <spPr>
              <a:ln xmlns:a="http://schemas.openxmlformats.org/drawingml/2006/main">
                <a:prstDash val="solid"/>
              </a:ln>
            </spPr>
          </marker>
          <cat>
            <numRef>
              <f>'Construction'!$A$7:$A$36</f>
            </numRef>
          </cat>
          <val>
            <numRef>
              <f>'Construction'!$D$7:$D$36</f>
            </numRef>
          </val>
          <smooth val="0"/>
        </ser>
        <axId val="10"/>
        <axId val="100"/>
      </lineChart>
      <catAx>
        <axId val="10"/>
        <scaling>
          <orientation val="minMax"/>
        </scaling>
        <delete val="0"/>
        <axPos val="b"/>
        <numFmt formatCode="mmm-yy" sourceLinked="0"/>
        <majorTickMark val="none"/>
        <minorTickMark val="none"/>
        <tickLblPos val="low"/>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tickLblSkip val="3"/>
        <tickMarkSkip val="3"/>
      </catAx>
      <valAx>
        <axId val="100"/>
        <scaling>
          <orientation val="minMax"/>
          <max val="60"/>
          <min val="-100"/>
        </scaling>
        <delete val="0"/>
        <axPos val="l"/>
        <majorGridlines>
          <spPr>
            <a:ln xmlns:a="http://schemas.openxmlformats.org/drawingml/2006/main" w="3175">
              <a:solidFill>
                <a:srgbClr val="D0CECE"/>
              </a:solidFill>
              <a:prstDash val="solid"/>
            </a:ln>
          </spPr>
        </majorGridlines>
        <title>
          <tx>
            <rich>
              <a:bodyPr xmlns:a="http://schemas.openxmlformats.org/drawingml/2006/main"/>
              <a:p xmlns:a="http://schemas.openxmlformats.org/drawingml/2006/main">
                <a:pPr>
                  <a:defRPr sz="950" b="0">
                    <a:solidFill>
                      <a:srgbClr val="767576"/>
                    </a:solidFill>
                    <a:latin typeface="Arial"/>
                  </a:defRPr>
                </a:pPr>
                <a:r>
                  <a:t>$bn</a:t>
                </a:r>
              </a:p>
            </rich>
          </tx>
        </title>
        <numFmt formatCode="+#,##0;-#,##0" sourceLinked="0"/>
        <majorTickMark val="none"/>
        <minorTickMark val="none"/>
        <tickLblPos val="nextTo"/>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00" b="0">
              <a:solidFill>
                <a:srgbClr val="000000"/>
              </a:solidFill>
              <a:latin typeface="Arial"/>
            </a:defRPr>
          </a:pPr>
          <a:r>
            <a:t/>
          </a:r>
          <a:endParaRPr sz="900" b="0">
            <a:solidFill>
              <a:srgbClr val="000000"/>
            </a:solidFill>
            <a:latin typeface="Arial"/>
          </a:endParaRPr>
        </a:p>
      </txPr>
    </legend>
    <plotVisOnly val="1"/>
    <dispBlanksAs val="gap"/>
  </chart>
  <spPr>
    <a:ln xmlns:a="http://schemas.openxmlformats.org/drawingml/2006/main">
      <a:noFill/>
      <a:prstDash val="solid"/>
    </a:ln>
  </spPr>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10y rate sensitivity to Brent</a:t>
            </a:r>
          </a:p>
        </rich>
      </tx>
    </title>
    <plotArea>
      <barChart>
        <barDir val="col"/>
        <grouping val="clustered"/>
        <ser>
          <idx val="0"/>
          <order val="0"/>
          <tx>
            <v>bps per % Brent</v>
          </tx>
          <spPr>
            <a:solidFill xmlns:a="http://schemas.openxmlformats.org/drawingml/2006/main">
              <a:srgbClr val="DB0011"/>
            </a:solidFill>
            <a:ln xmlns:a="http://schemas.openxmlformats.org/drawingml/2006/main">
              <a:noFill/>
              <a:prstDash val="solid"/>
            </a:ln>
          </spPr>
          <cat>
            <numRef>
              <f>'RateOilBeta'!$A$7:$A$13</f>
            </numRef>
          </cat>
          <val>
            <numRef>
              <f>'RateOilBeta'!$B$7:$B$13</f>
            </numRef>
          </val>
        </ser>
        <dLbls>
          <numFmt formatCode="0.00"/>
          <txPr>
            <a:bodyPr xmlns:a="http://schemas.openxmlformats.org/drawingml/2006/main"/>
            <a:p xmlns:a="http://schemas.openxmlformats.org/drawingml/2006/main">
              <a:pPr>
                <a:defRPr sz="900" b="1">
                  <a:solidFill>
                    <a:srgbClr val="000000"/>
                  </a:solidFill>
                  <a:latin typeface="Arial"/>
                </a:defRPr>
              </a:pPr>
              <a:r>
                <a:t/>
              </a:r>
              <a:endParaRPr sz="900" b="1">
                <a:solidFill>
                  <a:srgbClr val="000000"/>
                </a:solidFill>
                <a:latin typeface="Arial"/>
              </a:endParaRPr>
            </a:p>
          </txPr>
          <showVal val="1"/>
        </dLbls>
        <gapWidth val="60"/>
        <axId val="10"/>
        <axId val="100"/>
      </barChart>
      <catAx>
        <axId val="10"/>
        <scaling>
          <orientation val="minMax"/>
        </scaling>
        <delete val="0"/>
        <axPos val="b"/>
        <majorTickMark val="none"/>
        <minorTickMark val="none"/>
        <tickLblPos val="low"/>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majorGridlines>
          <spPr>
            <a:ln xmlns:a="http://schemas.openxmlformats.org/drawingml/2006/main" w="3175">
              <a:solidFill>
                <a:srgbClr val="D0CECE"/>
              </a:solidFill>
              <a:prstDash val="solid"/>
            </a:ln>
          </spPr>
        </majorGridlines>
        <majorTickMark val="none"/>
        <minorTickMark val="none"/>
        <tickLblPos val="nextTo"/>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plotVisOnly val="1"/>
    <dispBlanksAs val="gap"/>
  </chart>
  <spPr>
    <a:ln xmlns:a="http://schemas.openxmlformats.org/drawingml/2006/main">
      <a:noFill/>
      <a:prstDash val="solid"/>
    </a:ln>
  </spPr>
</chartSpace>
</file>

<file path=xl/charts/chart7.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Priced in over 12 months</a:t>
            </a:r>
          </a:p>
        </rich>
      </tx>
    </title>
    <plotArea>
      <barChart>
        <barDir val="col"/>
        <grouping val="clustered"/>
        <ser>
          <idx val="0"/>
          <order val="0"/>
          <tx>
            <v>bps</v>
          </tx>
          <spPr>
            <a:solidFill xmlns:a="http://schemas.openxmlformats.org/drawingml/2006/main">
              <a:srgbClr val="DB0011"/>
            </a:solidFill>
            <a:ln xmlns:a="http://schemas.openxmlformats.org/drawingml/2006/main">
              <a:noFill/>
              <a:prstDash val="solid"/>
            </a:ln>
          </spPr>
          <cat>
            <numRef>
              <f>'PricedIn1y'!$A$7:$A$16</f>
            </numRef>
          </cat>
          <val>
            <numRef>
              <f>'PricedIn1y'!$B$7:$B$16</f>
            </numRef>
          </val>
        </ser>
        <dLbls>
          <numFmt formatCode="0"/>
          <txPr>
            <a:bodyPr xmlns:a="http://schemas.openxmlformats.org/drawingml/2006/main"/>
            <a:p xmlns:a="http://schemas.openxmlformats.org/drawingml/2006/main">
              <a:pPr>
                <a:defRPr sz="900" b="1">
                  <a:solidFill>
                    <a:srgbClr val="000000"/>
                  </a:solidFill>
                  <a:latin typeface="Arial"/>
                </a:defRPr>
              </a:pPr>
              <a:r>
                <a:t/>
              </a:r>
              <a:endParaRPr sz="900" b="1">
                <a:solidFill>
                  <a:srgbClr val="000000"/>
                </a:solidFill>
                <a:latin typeface="Arial"/>
              </a:endParaRPr>
            </a:p>
          </txPr>
          <showVal val="1"/>
        </dLbls>
        <gapWidth val="60"/>
        <axId val="10"/>
        <axId val="100"/>
      </barChart>
      <catAx>
        <axId val="10"/>
        <scaling>
          <orientation val="minMax"/>
        </scaling>
        <delete val="0"/>
        <axPos val="b"/>
        <majorTickMark val="none"/>
        <minorTickMark val="none"/>
        <tickLblPos val="low"/>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majorGridlines>
          <spPr>
            <a:ln xmlns:a="http://schemas.openxmlformats.org/drawingml/2006/main" w="3175">
              <a:solidFill>
                <a:srgbClr val="D0CECE"/>
              </a:solidFill>
              <a:prstDash val="solid"/>
            </a:ln>
          </spPr>
        </majorGridlines>
        <majorTickMark val="none"/>
        <minorTickMark val="none"/>
        <tickLblPos val="nextTo"/>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plotVisOnly val="1"/>
    <dispBlanksAs val="gap"/>
  </chart>
  <spPr>
    <a:ln xmlns:a="http://schemas.openxmlformats.org/drawingml/2006/main">
      <a:noFill/>
      <a:prstDash val="solid"/>
    </a:ln>
  </spPr>
</chartSpace>
</file>

<file path=xl/charts/chart8.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10y sensitivity to Brent — ours, published, and the gap</a:t>
            </a:r>
          </a:p>
        </rich>
      </tx>
    </title>
    <plotArea>
      <barChart>
        <barDir val="col"/>
        <grouping val="clustered"/>
        <ser>
          <idx val="0"/>
          <order val="0"/>
          <tx>
            <strRef>
              <f>'BetaCompare'!B6</f>
            </strRef>
          </tx>
          <spPr>
            <a:solidFill xmlns:a="http://schemas.openxmlformats.org/drawingml/2006/main">
              <a:srgbClr val="DB0011"/>
            </a:solidFill>
            <a:ln xmlns:a="http://schemas.openxmlformats.org/drawingml/2006/main">
              <a:noFill/>
              <a:prstDash val="solid"/>
            </a:ln>
          </spPr>
          <cat>
            <numRef>
              <f>'BetaCompare'!$A$7:$A$13</f>
            </numRef>
          </cat>
          <val>
            <numRef>
              <f>'BetaCompare'!$B$7:$B$13</f>
            </numRef>
          </val>
        </ser>
        <ser>
          <idx val="1"/>
          <order val="1"/>
          <tx>
            <strRef>
              <f>'BetaCompare'!C6</f>
            </strRef>
          </tx>
          <spPr>
            <a:solidFill xmlns:a="http://schemas.openxmlformats.org/drawingml/2006/main">
              <a:srgbClr val="D7D8D6"/>
            </a:solidFill>
            <a:ln xmlns:a="http://schemas.openxmlformats.org/drawingml/2006/main">
              <a:noFill/>
              <a:prstDash val="solid"/>
            </a:ln>
          </spPr>
          <cat>
            <numRef>
              <f>'BetaCompare'!$A$7:$A$13</f>
            </numRef>
          </cat>
          <val>
            <numRef>
              <f>'BetaCompare'!$C$7:$C$13</f>
            </numRef>
          </val>
        </ser>
        <ser>
          <idx val="2"/>
          <order val="2"/>
          <tx>
            <strRef>
              <f>'BetaCompare'!D6</f>
            </strRef>
          </tx>
          <spPr>
            <a:solidFill xmlns:a="http://schemas.openxmlformats.org/drawingml/2006/main">
              <a:srgbClr val="44546A"/>
            </a:solidFill>
            <a:ln xmlns:a="http://schemas.openxmlformats.org/drawingml/2006/main">
              <a:noFill/>
              <a:prstDash val="solid"/>
            </a:ln>
          </spPr>
          <cat>
            <numRef>
              <f>'BetaCompare'!$A$7:$A$13</f>
            </numRef>
          </cat>
          <val>
            <numRef>
              <f>'BetaCompare'!$D$7:$D$13</f>
            </numRef>
          </val>
        </ser>
        <gapWidth val="60"/>
        <overlap val="-10"/>
        <axId val="10"/>
        <axId val="100"/>
      </barChart>
      <catAx>
        <axId val="10"/>
        <scaling>
          <orientation val="minMax"/>
        </scaling>
        <delete val="0"/>
        <axPos val="b"/>
        <majorTickMark val="none"/>
        <minorTickMark val="none"/>
        <tickLblPos val="low"/>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majorGridlines>
          <spPr>
            <a:ln xmlns:a="http://schemas.openxmlformats.org/drawingml/2006/main" w="3175">
              <a:solidFill>
                <a:srgbClr val="D0CECE"/>
              </a:solidFill>
              <a:prstDash val="solid"/>
            </a:ln>
          </spPr>
        </majorGridlines>
        <title>
          <tx>
            <rich>
              <a:bodyPr xmlns:a="http://schemas.openxmlformats.org/drawingml/2006/main"/>
              <a:p xmlns:a="http://schemas.openxmlformats.org/drawingml/2006/main">
                <a:pPr>
                  <a:defRPr sz="950" b="0">
                    <a:solidFill>
                      <a:srgbClr val="767576"/>
                    </a:solidFill>
                    <a:latin typeface="Arial"/>
                  </a:defRPr>
                </a:pPr>
                <a:r>
                  <a:t>bps per % Brent</a:t>
                </a:r>
              </a:p>
            </rich>
          </tx>
        </title>
        <numFmt formatCode="0.00" sourceLinked="0"/>
        <majorTickMark val="none"/>
        <minorTickMark val="none"/>
        <tickLblPos val="nextTo"/>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00" b="0">
              <a:solidFill>
                <a:srgbClr val="000000"/>
              </a:solidFill>
              <a:latin typeface="Arial"/>
            </a:defRPr>
          </a:pPr>
          <a:r>
            <a:t/>
          </a:r>
          <a:endParaRPr sz="900" b="0">
            <a:solidFill>
              <a:srgbClr val="000000"/>
            </a:solidFill>
            <a:latin typeface="Arial"/>
          </a:endParaRPr>
        </a:p>
      </txPr>
    </legend>
    <plotVisOnly val="1"/>
    <dispBlanksAs val="gap"/>
  </chart>
  <spPr>
    <a:ln xmlns:a="http://schemas.openxmlformats.org/drawingml/2006/main">
      <a:noFill/>
      <a:prstDash val="solid"/>
    </a:ln>
  </spPr>
</chartSpace>
</file>

<file path=xl/charts/chart9.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US and Asian equity markets, rebased</a:t>
            </a:r>
          </a:p>
        </rich>
      </tx>
    </title>
    <plotArea>
      <lineChart>
        <grouping val="standard"/>
        <ser>
          <idx val="0"/>
          <order val="0"/>
          <tx>
            <v>United States (VOO)</v>
          </tx>
          <spPr>
            <a:ln xmlns:a="http://schemas.openxmlformats.org/drawingml/2006/main" w="26000">
              <a:solidFill>
                <a:srgbClr val="44546A"/>
              </a:solidFill>
              <a:prstDash val="solid"/>
            </a:ln>
          </spPr>
          <marker>
            <symbol val="none"/>
            <spPr>
              <a:ln xmlns:a="http://schemas.openxmlformats.org/drawingml/2006/main">
                <a:prstDash val="solid"/>
              </a:ln>
            </spPr>
          </marker>
          <cat>
            <numRef>
              <f>'RegionalEquity'!$A$7:$A$941</f>
            </numRef>
          </cat>
          <val>
            <numRef>
              <f>'RegionalEquity'!$H$7:$H$941</f>
            </numRef>
          </val>
          <smooth val="0"/>
        </ser>
        <ser>
          <idx val="1"/>
          <order val="1"/>
          <tx>
            <v>Japan (EWJ)</v>
          </tx>
          <spPr>
            <a:ln xmlns:a="http://schemas.openxmlformats.org/drawingml/2006/main" w="26000">
              <a:solidFill>
                <a:srgbClr val="DB0011"/>
              </a:solidFill>
              <a:prstDash val="solid"/>
            </a:ln>
          </spPr>
          <marker>
            <symbol val="none"/>
            <spPr>
              <a:ln xmlns:a="http://schemas.openxmlformats.org/drawingml/2006/main">
                <a:prstDash val="solid"/>
              </a:ln>
            </spPr>
          </marker>
          <cat>
            <numRef>
              <f>'RegionalEquity'!$A$7:$A$941</f>
            </numRef>
          </cat>
          <val>
            <numRef>
              <f>'RegionalEquity'!$I$7:$I$941</f>
            </numRef>
          </val>
          <smooth val="0"/>
        </ser>
        <ser>
          <idx val="2"/>
          <order val="2"/>
          <tx>
            <v>Taiwan (EWT)</v>
          </tx>
          <spPr>
            <a:ln xmlns:a="http://schemas.openxmlformats.org/drawingml/2006/main" w="16000">
              <a:solidFill>
                <a:srgbClr val="6E88A6"/>
              </a:solidFill>
              <a:prstDash val="solid"/>
            </a:ln>
          </spPr>
          <marker>
            <symbol val="none"/>
            <spPr>
              <a:ln xmlns:a="http://schemas.openxmlformats.org/drawingml/2006/main">
                <a:prstDash val="solid"/>
              </a:ln>
            </spPr>
          </marker>
          <cat>
            <numRef>
              <f>'RegionalEquity'!$A$7:$A$941</f>
            </numRef>
          </cat>
          <val>
            <numRef>
              <f>'RegionalEquity'!$J$7:$J$941</f>
            </numRef>
          </val>
          <smooth val="0"/>
        </ser>
        <ser>
          <idx val="3"/>
          <order val="3"/>
          <tx>
            <v>Korea (EWY)</v>
          </tx>
          <spPr>
            <a:ln xmlns:a="http://schemas.openxmlformats.org/drawingml/2006/main" w="16000">
              <a:solidFill>
                <a:srgbClr val="00847F"/>
              </a:solidFill>
              <a:prstDash val="solid"/>
            </a:ln>
          </spPr>
          <marker>
            <symbol val="none"/>
            <spPr>
              <a:ln xmlns:a="http://schemas.openxmlformats.org/drawingml/2006/main">
                <a:prstDash val="solid"/>
              </a:ln>
            </spPr>
          </marker>
          <cat>
            <numRef>
              <f>'RegionalEquity'!$A$7:$A$941</f>
            </numRef>
          </cat>
          <val>
            <numRef>
              <f>'RegionalEquity'!$K$7:$K$941</f>
            </numRef>
          </val>
          <smooth val="0"/>
        </ser>
        <ser>
          <idx val="4"/>
          <order val="4"/>
          <tx>
            <v>Hong Kong (EWH)</v>
          </tx>
          <spPr>
            <a:ln xmlns:a="http://schemas.openxmlformats.org/drawingml/2006/main" w="16000">
              <a:solidFill>
                <a:srgbClr val="9FB4CA"/>
              </a:solidFill>
              <a:prstDash val="solid"/>
            </a:ln>
          </spPr>
          <marker>
            <symbol val="none"/>
            <spPr>
              <a:ln xmlns:a="http://schemas.openxmlformats.org/drawingml/2006/main">
                <a:prstDash val="solid"/>
              </a:ln>
            </spPr>
          </marker>
          <cat>
            <numRef>
              <f>'RegionalEquity'!$A$7:$A$941</f>
            </numRef>
          </cat>
          <val>
            <numRef>
              <f>'RegionalEquity'!$L$7:$L$941</f>
            </numRef>
          </val>
          <smooth val="0"/>
        </ser>
        <ser>
          <idx val="5"/>
          <order val="5"/>
          <tx>
            <v>China (GXC)</v>
          </tx>
          <spPr>
            <a:ln xmlns:a="http://schemas.openxmlformats.org/drawingml/2006/main" w="16000">
              <a:solidFill>
                <a:srgbClr val="767576"/>
              </a:solidFill>
              <a:prstDash val="solid"/>
            </a:ln>
          </spPr>
          <marker>
            <symbol val="none"/>
            <spPr>
              <a:ln xmlns:a="http://schemas.openxmlformats.org/drawingml/2006/main">
                <a:prstDash val="solid"/>
              </a:ln>
            </spPr>
          </marker>
          <cat>
            <numRef>
              <f>'RegionalEquity'!$A$7:$A$941</f>
            </numRef>
          </cat>
          <val>
            <numRef>
              <f>'RegionalEquity'!$M$7:$M$941</f>
            </numRef>
          </val>
          <smooth val="0"/>
        </ser>
        <axId val="10"/>
        <axId val="100"/>
      </lineChart>
      <catAx>
        <axId val="10"/>
        <scaling>
          <orientation val="minMax"/>
        </scaling>
        <delete val="0"/>
        <axPos val="b"/>
        <numFmt formatCode="mmm-yy" sourceLinked="0"/>
        <majorTickMark val="none"/>
        <minorTickMark val="none"/>
        <tickLblPos val="low"/>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tickLblSkip val="117"/>
        <tickMarkSkip val="117"/>
      </catAx>
      <valAx>
        <axId val="100"/>
        <scaling>
          <orientation val="minMax"/>
          <max val="440"/>
          <min val="60"/>
        </scaling>
        <delete val="0"/>
        <axPos val="l"/>
        <majorGridlines>
          <spPr>
            <a:ln xmlns:a="http://schemas.openxmlformats.org/drawingml/2006/main" w="3175">
              <a:solidFill>
                <a:srgbClr val="D0CECE"/>
              </a:solidFill>
              <a:prstDash val="solid"/>
            </a:ln>
          </spPr>
        </majorGridlines>
        <title>
          <tx>
            <rich>
              <a:bodyPr xmlns:a="http://schemas.openxmlformats.org/drawingml/2006/main"/>
              <a:p xmlns:a="http://schemas.openxmlformats.org/drawingml/2006/main">
                <a:pPr>
                  <a:defRPr sz="950" b="0">
                    <a:solidFill>
                      <a:srgbClr val="767576"/>
                    </a:solidFill>
                    <a:latin typeface="Arial"/>
                  </a:defRPr>
                </a:pPr>
                <a:r>
                  <a:t>Index, 02-Jan-23 = 100</a:t>
                </a:r>
              </a:p>
            </rich>
          </tx>
        </title>
        <numFmt formatCode="0" sourceLinked="0"/>
        <majorTickMark val="none"/>
        <minorTickMark val="none"/>
        <tickLblPos val="nextTo"/>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00" b="0">
              <a:solidFill>
                <a:srgbClr val="000000"/>
              </a:solidFill>
              <a:latin typeface="Arial"/>
            </a:defRPr>
          </a:pPr>
          <a:r>
            <a:t/>
          </a:r>
          <a:endParaRPr sz="900" b="0">
            <a:solidFill>
              <a:srgbClr val="000000"/>
            </a:solidFill>
            <a:latin typeface="Arial"/>
          </a:endParaRPr>
        </a:p>
      </txPr>
    </legend>
    <plotVisOnly val="1"/>
    <dispBlanksAs val="gap"/>
  </chart>
  <spPr>
    <a:ln xmlns:a="http://schemas.openxmlformats.org/drawingml/2006/main">
      <a:noFill/>
      <a:prstDash val="solid"/>
    </a:ln>
  </spPr>
</chartSpace>
</file>

<file path=xl/charts/chart10.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The JGB curve, now and before</a:t>
            </a:r>
          </a:p>
        </rich>
      </tx>
    </title>
    <plotArea>
      <lineChart>
        <grouping val="standard"/>
        <ser>
          <idx val="0"/>
          <order val="0"/>
          <tx>
            <v>31 Jul 2026</v>
          </tx>
          <spPr>
            <a:ln xmlns:a="http://schemas.openxmlformats.org/drawingml/2006/main" w="26000">
              <a:solidFill>
                <a:srgbClr val="DB0011"/>
              </a:solidFill>
              <a:prstDash val="solid"/>
            </a:ln>
          </spPr>
          <marker>
            <symbol val="none"/>
            <spPr>
              <a:ln xmlns:a="http://schemas.openxmlformats.org/drawingml/2006/main">
                <a:prstDash val="solid"/>
              </a:ln>
            </spPr>
          </marker>
          <cat>
            <numRef>
              <f>'JGBShape'!$A$7:$A$13</f>
            </numRef>
          </cat>
          <val>
            <numRef>
              <f>'JGBShape'!$B$7:$B$13</f>
            </numRef>
          </val>
          <smooth val="0"/>
        </ser>
        <ser>
          <idx val="1"/>
          <order val="1"/>
          <tx>
            <v>01 Aug 2025</v>
          </tx>
          <spPr>
            <a:ln xmlns:a="http://schemas.openxmlformats.org/drawingml/2006/main" w="17000">
              <a:solidFill>
                <a:srgbClr val="44546A"/>
              </a:solidFill>
              <a:prstDash val="solid"/>
            </a:ln>
          </spPr>
          <marker>
            <symbol val="none"/>
            <spPr>
              <a:ln xmlns:a="http://schemas.openxmlformats.org/drawingml/2006/main">
                <a:prstDash val="solid"/>
              </a:ln>
            </spPr>
          </marker>
          <cat>
            <numRef>
              <f>'JGBShape'!$A$7:$A$13</f>
            </numRef>
          </cat>
          <val>
            <numRef>
              <f>'JGBShape'!$C$7:$C$13</f>
            </numRef>
          </val>
          <smooth val="0"/>
        </ser>
        <ser>
          <idx val="2"/>
          <order val="2"/>
          <tx>
            <v>30 Jul 2021</v>
          </tx>
          <spPr>
            <a:ln xmlns:a="http://schemas.openxmlformats.org/drawingml/2006/main" w="17000">
              <a:solidFill>
                <a:srgbClr val="D7D8D6"/>
              </a:solidFill>
              <a:prstDash val="solid"/>
            </a:ln>
          </spPr>
          <marker>
            <symbol val="none"/>
            <spPr>
              <a:ln xmlns:a="http://schemas.openxmlformats.org/drawingml/2006/main">
                <a:prstDash val="solid"/>
              </a:ln>
            </spPr>
          </marker>
          <cat>
            <numRef>
              <f>'JGBShape'!$A$7:$A$13</f>
            </numRef>
          </cat>
          <val>
            <numRef>
              <f>'JGBShape'!$D$7:$D$13</f>
            </numRef>
          </val>
          <smooth val="0"/>
        </ser>
        <axId val="10"/>
        <axId val="100"/>
      </lineChart>
      <catAx>
        <axId val="10"/>
        <scaling>
          <orientation val="minMax"/>
        </scaling>
        <delete val="0"/>
        <axPos val="b"/>
        <majorTickMark val="none"/>
        <minorTickMark val="none"/>
        <tickLblPos val="low"/>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tickLblSkip val="1"/>
        <tickMarkSkip val="1"/>
      </catAx>
      <valAx>
        <axId val="100"/>
        <scaling>
          <orientation val="minMax"/>
        </scaling>
        <delete val="0"/>
        <axPos val="l"/>
        <majorGridlines>
          <spPr>
            <a:ln xmlns:a="http://schemas.openxmlformats.org/drawingml/2006/main" w="3175">
              <a:solidFill>
                <a:srgbClr val="D0CECE"/>
              </a:solidFill>
              <a:prstDash val="solid"/>
            </a:ln>
          </spPr>
        </majorGridlines>
        <title>
          <tx>
            <rich>
              <a:bodyPr xmlns:a="http://schemas.openxmlformats.org/drawingml/2006/main"/>
              <a:p xmlns:a="http://schemas.openxmlformats.org/drawingml/2006/main">
                <a:pPr>
                  <a:defRPr sz="950" b="0">
                    <a:solidFill>
                      <a:srgbClr val="767576"/>
                    </a:solidFill>
                    <a:latin typeface="Arial"/>
                  </a:defRPr>
                </a:pPr>
                <a:r>
                  <a:t>Per cent</a:t>
                </a:r>
              </a:p>
            </rich>
          </tx>
        </title>
        <numFmt formatCode="0.0" sourceLinked="0"/>
        <majorTickMark val="none"/>
        <minorTickMark val="none"/>
        <tickLblPos val="nextTo"/>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00" b="0">
              <a:solidFill>
                <a:srgbClr val="000000"/>
              </a:solidFill>
              <a:latin typeface="Arial"/>
            </a:defRPr>
          </a:pPr>
          <a:r>
            <a:t/>
          </a:r>
          <a:endParaRPr sz="900" b="0">
            <a:solidFill>
              <a:srgbClr val="000000"/>
            </a:solidFill>
            <a:latin typeface="Arial"/>
          </a:endParaRPr>
        </a:p>
      </txPr>
    </legend>
    <plotVisOnly val="1"/>
    <dispBlanksAs val="gap"/>
  </chart>
  <spPr>
    <a:ln xmlns:a="http://schemas.openxmlformats.org/drawingml/2006/main">
      <a:noFill/>
      <a:prstDash val="solid"/>
    </a:ln>
  </spPr>
</chartSpace>
</file>

<file path=xl/charts/chart11.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The steepener has already happened, except at the back end</a:t>
            </a:r>
          </a:p>
        </rich>
      </tx>
    </title>
    <plotArea>
      <barChart>
        <barDir val="col"/>
        <grouping val="clustered"/>
        <varyColors val="0"/>
        <ser>
          <idx val="0"/>
          <order val="0"/>
          <tx>
            <v>Percentile since 2000</v>
          </tx>
          <spPr>
            <a:solidFill xmlns:a="http://schemas.openxmlformats.org/drawingml/2006/main">
              <a:srgbClr val="D7D8D6"/>
            </a:solidFill>
            <a:ln xmlns:a="http://schemas.openxmlformats.org/drawingml/2006/main">
              <a:noFill/>
              <a:prstDash val="solid"/>
            </a:ln>
          </spPr>
          <dPt>
            <idx val="0"/>
            <spPr>
              <a:solidFill xmlns:a="http://schemas.openxmlformats.org/drawingml/2006/main">
                <a:srgbClr val="DB0011"/>
              </a:solidFill>
              <a:ln xmlns:a="http://schemas.openxmlformats.org/drawingml/2006/main">
                <a:noFill/>
                <a:prstDash val="solid"/>
              </a:ln>
            </spPr>
          </dPt>
          <dPt>
            <idx val="1"/>
            <spPr>
              <a:solidFill xmlns:a="http://schemas.openxmlformats.org/drawingml/2006/main">
                <a:srgbClr val="DB0011"/>
              </a:solidFill>
              <a:ln xmlns:a="http://schemas.openxmlformats.org/drawingml/2006/main">
                <a:noFill/>
                <a:prstDash val="solid"/>
              </a:ln>
            </spPr>
          </dPt>
          <cat>
            <numRef>
              <f>'JGBShape'!$A$18:$A$22</f>
            </numRef>
          </cat>
          <val>
            <numRef>
              <f>'JGBShape'!$C$18:$C$22</f>
            </numRef>
          </val>
        </ser>
        <dLbls>
          <numFmt formatCode="0.0"/>
          <txPr>
            <a:bodyPr xmlns:a="http://schemas.openxmlformats.org/drawingml/2006/main"/>
            <a:p xmlns:a="http://schemas.openxmlformats.org/drawingml/2006/main">
              <a:pPr>
                <a:defRPr sz="900" b="1">
                  <a:solidFill>
                    <a:srgbClr val="000000"/>
                  </a:solidFill>
                  <a:latin typeface="Arial"/>
                </a:defRPr>
              </a:pPr>
              <a:r>
                <a:t/>
              </a:r>
              <a:endParaRPr sz="900" b="1">
                <a:solidFill>
                  <a:srgbClr val="000000"/>
                </a:solidFill>
                <a:latin typeface="Arial"/>
              </a:endParaRPr>
            </a:p>
          </txPr>
          <showLegendKey val="0"/>
          <showVal val="1"/>
          <showCatName val="0"/>
          <showSerName val="0"/>
          <showBubbleSize val="0"/>
        </dLbls>
        <gapWidth val="60"/>
        <axId val="10"/>
        <axId val="100"/>
      </barChart>
      <catAx>
        <axId val="10"/>
        <scaling>
          <orientation val="minMax"/>
        </scaling>
        <delete val="0"/>
        <axPos val="b"/>
        <majorTickMark val="none"/>
        <minorTickMark val="none"/>
        <tickLblPos val="low"/>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max val="120"/>
          <min val="0"/>
        </scaling>
        <delete val="0"/>
        <axPos val="l"/>
        <majorGridlines>
          <spPr>
            <a:ln xmlns:a="http://schemas.openxmlformats.org/drawingml/2006/main" w="3175">
              <a:solidFill>
                <a:srgbClr val="D0CECE"/>
              </a:solidFill>
              <a:prstDash val="solid"/>
            </a:ln>
          </spPr>
        </majorGridlines>
        <title>
          <tx>
            <rich>
              <a:bodyPr xmlns:a="http://schemas.openxmlformats.org/drawingml/2006/main"/>
              <a:p xmlns:a="http://schemas.openxmlformats.org/drawingml/2006/main">
                <a:pPr>
                  <a:defRPr sz="950" b="0">
                    <a:solidFill>
                      <a:srgbClr val="767576"/>
                    </a:solidFill>
                    <a:latin typeface="Arial"/>
                  </a:defRPr>
                </a:pPr>
                <a:r>
                  <a:t>Percentile since 2000</a:t>
                </a:r>
              </a:p>
            </rich>
          </tx>
        </title>
        <numFmt formatCode="0" sourceLinked="0"/>
        <majorTickMark val="none"/>
        <minorTickMark val="none"/>
        <tickLblPos val="nextTo"/>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plotVisOnly val="1"/>
    <dispBlanksAs val="gap"/>
  </chart>
  <spPr>
    <a:ln xmlns:a="http://schemas.openxmlformats.org/drawingml/2006/main">
      <a:noFill/>
      <a:prstDash val="solid"/>
    </a:ln>
  </spPr>
</chartSpace>
</file>

<file path=xl/charts/chart12.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The 30y JGB against a yen-hedged 30y Treasury</a:t>
            </a:r>
          </a:p>
        </rich>
      </tx>
    </title>
    <plotArea>
      <lineChart>
        <grouping val="standard"/>
        <ser>
          <idx val="0"/>
          <order val="0"/>
          <tx>
            <v>JGB 30y</v>
          </tx>
          <spPr>
            <a:ln xmlns:a="http://schemas.openxmlformats.org/drawingml/2006/main" w="26000">
              <a:solidFill>
                <a:srgbClr val="DB0011"/>
              </a:solidFill>
              <a:prstDash val="solid"/>
            </a:ln>
          </spPr>
          <marker>
            <symbol val="none"/>
            <spPr>
              <a:ln xmlns:a="http://schemas.openxmlformats.org/drawingml/2006/main">
                <a:prstDash val="solid"/>
              </a:ln>
            </spPr>
          </marker>
          <cat>
            <numRef>
              <f>'JGBCurve'!$A$7:$A$1393</f>
            </numRef>
          </cat>
          <val>
            <numRef>
              <f>'JGBCurve'!$G$7:$G$1393</f>
            </numRef>
          </val>
          <smooth val="0"/>
        </ser>
        <ser>
          <idx val="1"/>
          <order val="1"/>
          <tx>
            <v>UST 30y, hedged into yen</v>
          </tx>
          <spPr>
            <a:ln xmlns:a="http://schemas.openxmlformats.org/drawingml/2006/main" w="20000">
              <a:solidFill>
                <a:srgbClr val="44546A"/>
              </a:solidFill>
              <a:prstDash val="solid"/>
            </a:ln>
          </spPr>
          <marker>
            <symbol val="none"/>
            <spPr>
              <a:ln xmlns:a="http://schemas.openxmlformats.org/drawingml/2006/main">
                <a:prstDash val="solid"/>
              </a:ln>
            </spPr>
          </marker>
          <cat>
            <numRef>
              <f>'JGBCurve'!$A$7:$A$1393</f>
            </numRef>
          </cat>
          <val>
            <numRef>
              <f>'JGBCurve'!$M$7:$M$1393</f>
            </numRef>
          </val>
          <smooth val="0"/>
        </ser>
        <axId val="10"/>
        <axId val="100"/>
      </lineChart>
      <catAx>
        <axId val="10"/>
        <scaling>
          <orientation val="minMax"/>
        </scaling>
        <delete val="0"/>
        <axPos val="b"/>
        <numFmt formatCode="mmm-yy" sourceLinked="0"/>
        <majorTickMark val="none"/>
        <minorTickMark val="none"/>
        <tickLblPos val="low"/>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tickLblSkip val="139"/>
        <tickMarkSkip val="139"/>
      </catAx>
      <valAx>
        <axId val="100"/>
        <scaling>
          <orientation val="minMax"/>
        </scaling>
        <delete val="0"/>
        <axPos val="l"/>
        <majorGridlines>
          <spPr>
            <a:ln xmlns:a="http://schemas.openxmlformats.org/drawingml/2006/main" w="3175">
              <a:solidFill>
                <a:srgbClr val="D0CECE"/>
              </a:solidFill>
              <a:prstDash val="solid"/>
            </a:ln>
          </spPr>
        </majorGridlines>
        <title>
          <tx>
            <rich>
              <a:bodyPr xmlns:a="http://schemas.openxmlformats.org/drawingml/2006/main"/>
              <a:p xmlns:a="http://schemas.openxmlformats.org/drawingml/2006/main">
                <a:pPr>
                  <a:defRPr sz="950" b="0">
                    <a:solidFill>
                      <a:srgbClr val="767576"/>
                    </a:solidFill>
                    <a:latin typeface="Arial"/>
                  </a:defRPr>
                </a:pPr>
                <a:r>
                  <a:t>Per cent</a:t>
                </a:r>
              </a:p>
            </rich>
          </tx>
        </title>
        <numFmt formatCode="0.0" sourceLinked="0"/>
        <majorTickMark val="none"/>
        <minorTickMark val="none"/>
        <tickLblPos val="nextTo"/>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00" b="0">
              <a:solidFill>
                <a:srgbClr val="000000"/>
              </a:solidFill>
              <a:latin typeface="Arial"/>
            </a:defRPr>
          </a:pPr>
          <a:r>
            <a:t/>
          </a:r>
          <a:endParaRPr sz="900" b="0">
            <a:solidFill>
              <a:srgbClr val="000000"/>
            </a:solidFill>
            <a:latin typeface="Arial"/>
          </a:endParaRPr>
        </a:p>
      </txPr>
    </legend>
    <plotVisOnly val="1"/>
    <dispBlanksAs val="gap"/>
  </chart>
  <spPr>
    <a:ln xmlns:a="http://schemas.openxmlformats.org/drawingml/2006/main">
      <a:noFill/>
      <a:prstDash val="solid"/>
    </a:ln>
  </spPr>
</chartSpace>
</file>

<file path=xl/charts/chart13.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What a yen investor gains by staying home</a:t>
            </a:r>
          </a:p>
        </rich>
      </tx>
    </title>
    <plotArea>
      <lineChart>
        <grouping val="standard"/>
        <varyColors val="0"/>
        <ser>
          <idx val="0"/>
          <order val="0"/>
          <tx>
            <v>JGB 30y less hedged UST 30y</v>
          </tx>
          <spPr>
            <a:ln xmlns:a="http://schemas.openxmlformats.org/drawingml/2006/main" w="24000">
              <a:solidFill>
                <a:srgbClr val="DB0011"/>
              </a:solidFill>
              <a:prstDash val="solid"/>
            </a:ln>
          </spPr>
          <marker>
            <symbol val="none"/>
            <spPr>
              <a:ln xmlns:a="http://schemas.openxmlformats.org/drawingml/2006/main">
                <a:prstDash val="solid"/>
              </a:ln>
            </spPr>
          </marker>
          <cat>
            <numRef>
              <f>'JGBCurve'!$A$7:$A$1393</f>
            </numRef>
          </cat>
          <val>
            <numRef>
              <f>'JGBCurve'!$N$7:$N$1393</f>
            </numRef>
          </val>
          <smooth val="0"/>
        </ser>
        <axId val="10"/>
        <axId val="100"/>
      </lineChart>
      <catAx>
        <axId val="10"/>
        <scaling>
          <orientation val="minMax"/>
        </scaling>
        <delete val="0"/>
        <axPos val="b"/>
        <numFmt formatCode="mmm-yy" sourceLinked="0"/>
        <majorTickMark val="none"/>
        <minorTickMark val="none"/>
        <tickLblPos val="low"/>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tickLblSkip val="139"/>
        <tickMarkSkip val="139"/>
      </catAx>
      <valAx>
        <axId val="100"/>
        <scaling>
          <orientation val="minMax"/>
        </scaling>
        <delete val="0"/>
        <axPos val="l"/>
        <majorGridlines>
          <spPr>
            <a:ln xmlns:a="http://schemas.openxmlformats.org/drawingml/2006/main" w="3175">
              <a:solidFill>
                <a:srgbClr val="D0CECE"/>
              </a:solidFill>
              <a:prstDash val="solid"/>
            </a:ln>
          </spPr>
        </majorGridlines>
        <title>
          <tx>
            <rich>
              <a:bodyPr xmlns:a="http://schemas.openxmlformats.org/drawingml/2006/main"/>
              <a:p xmlns:a="http://schemas.openxmlformats.org/drawingml/2006/main">
                <a:pPr>
                  <a:defRPr sz="950" b="0">
                    <a:solidFill>
                      <a:srgbClr val="767576"/>
                    </a:solidFill>
                    <a:latin typeface="Arial"/>
                  </a:defRPr>
                </a:pPr>
                <a:r>
                  <a:t>Basis points</a:t>
                </a:r>
              </a:p>
            </rich>
          </tx>
        </title>
        <numFmt formatCode="+#,##0;-#,##0" sourceLinked="0"/>
        <majorTickMark val="none"/>
        <minorTickMark val="none"/>
        <tickLblPos val="nextTo"/>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plotVisOnly val="1"/>
    <dispBlanksAs val="gap"/>
  </chart>
  <spPr>
    <a:ln xmlns:a="http://schemas.openxmlformats.org/drawingml/2006/main">
      <a:noFill/>
      <a:prstDash val="solid"/>
    </a:ln>
  </spPr>
</chartSpace>
</file>

<file path=xl/charts/chart14.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The 2y against the rate it is discounting</a:t>
            </a:r>
          </a:p>
        </rich>
      </tx>
    </title>
    <plotArea>
      <lineChart>
        <grouping val="standard"/>
        <ser>
          <idx val="0"/>
          <order val="0"/>
          <tx>
            <v>JGB 2y</v>
          </tx>
          <spPr>
            <a:ln xmlns:a="http://schemas.openxmlformats.org/drawingml/2006/main" w="26000">
              <a:solidFill>
                <a:srgbClr val="DB0011"/>
              </a:solidFill>
              <a:prstDash val="solid"/>
            </a:ln>
          </spPr>
          <marker>
            <symbol val="none"/>
            <spPr>
              <a:ln xmlns:a="http://schemas.openxmlformats.org/drawingml/2006/main">
                <a:prstDash val="solid"/>
              </a:ln>
            </spPr>
          </marker>
          <cat>
            <numRef>
              <f>'JGBFrontEnd'!$A$7:$A$1393</f>
            </numRef>
          </cat>
          <val>
            <numRef>
              <f>'JGBFrontEnd'!$B$7:$B$1393</f>
            </numRef>
          </val>
          <smooth val="0"/>
        </ser>
        <ser>
          <idx val="1"/>
          <order val="1"/>
          <tx>
            <v>Overnight call rate</v>
          </tx>
          <spPr>
            <a:ln xmlns:a="http://schemas.openxmlformats.org/drawingml/2006/main" w="20000">
              <a:solidFill>
                <a:srgbClr val="44546A"/>
              </a:solidFill>
              <a:prstDash val="solid"/>
            </a:ln>
          </spPr>
          <marker>
            <symbol val="none"/>
            <spPr>
              <a:ln xmlns:a="http://schemas.openxmlformats.org/drawingml/2006/main">
                <a:prstDash val="solid"/>
              </a:ln>
            </spPr>
          </marker>
          <cat>
            <numRef>
              <f>'JGBFrontEnd'!$A$7:$A$1393</f>
            </numRef>
          </cat>
          <val>
            <numRef>
              <f>'JGBFrontEnd'!$C$7:$C$1393</f>
            </numRef>
          </val>
          <smooth val="0"/>
        </ser>
        <axId val="10"/>
        <axId val="100"/>
      </lineChart>
      <catAx>
        <axId val="10"/>
        <scaling>
          <orientation val="minMax"/>
        </scaling>
        <delete val="0"/>
        <axPos val="b"/>
        <numFmt formatCode="mmm-yy" sourceLinked="0"/>
        <majorTickMark val="none"/>
        <minorTickMark val="none"/>
        <tickLblPos val="low"/>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tickLblSkip val="139"/>
        <tickMarkSkip val="139"/>
      </catAx>
      <valAx>
        <axId val="100"/>
        <scaling>
          <orientation val="minMax"/>
        </scaling>
        <delete val="0"/>
        <axPos val="l"/>
        <majorGridlines>
          <spPr>
            <a:ln xmlns:a="http://schemas.openxmlformats.org/drawingml/2006/main" w="3175">
              <a:solidFill>
                <a:srgbClr val="D0CECE"/>
              </a:solidFill>
              <a:prstDash val="solid"/>
            </a:ln>
          </spPr>
        </majorGridlines>
        <title>
          <tx>
            <rich>
              <a:bodyPr xmlns:a="http://schemas.openxmlformats.org/drawingml/2006/main"/>
              <a:p xmlns:a="http://schemas.openxmlformats.org/drawingml/2006/main">
                <a:pPr>
                  <a:defRPr sz="950" b="0">
                    <a:solidFill>
                      <a:srgbClr val="767576"/>
                    </a:solidFill>
                    <a:latin typeface="Arial"/>
                  </a:defRPr>
                </a:pPr>
                <a:r>
                  <a:t>Per cent</a:t>
                </a:r>
              </a:p>
            </rich>
          </tx>
        </title>
        <numFmt formatCode="0.0" sourceLinked="0"/>
        <majorTickMark val="none"/>
        <minorTickMark val="none"/>
        <tickLblPos val="nextTo"/>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00" b="0">
              <a:solidFill>
                <a:srgbClr val="000000"/>
              </a:solidFill>
              <a:latin typeface="Arial"/>
            </a:defRPr>
          </a:pPr>
          <a:r>
            <a:t/>
          </a:r>
          <a:endParaRPr sz="900" b="0">
            <a:solidFill>
              <a:srgbClr val="000000"/>
            </a:solidFill>
            <a:latin typeface="Arial"/>
          </a:endParaRPr>
        </a:p>
      </txPr>
    </legend>
    <plotVisOnly val="1"/>
    <dispBlanksAs val="gap"/>
  </chart>
  <spPr>
    <a:ln xmlns:a="http://schemas.openxmlformats.org/drawingml/2006/main">
      <a:noFill/>
      <a:prstDash val="solid"/>
    </a:ln>
  </spPr>
</chartSpace>
</file>

<file path=xl/charts/chart15.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Tightening priced into the 2y, and the one time it was higher</a:t>
            </a:r>
          </a:p>
        </rich>
      </tx>
    </title>
    <plotArea>
      <lineChart>
        <grouping val="standard"/>
        <varyColors val="0"/>
        <ser>
          <idx val="0"/>
          <order val="0"/>
          <tx>
            <v>Priced tightening</v>
          </tx>
          <spPr>
            <a:ln xmlns:a="http://schemas.openxmlformats.org/drawingml/2006/main" w="24000">
              <a:solidFill>
                <a:srgbClr val="DB0011"/>
              </a:solidFill>
              <a:prstDash val="solid"/>
            </a:ln>
          </spPr>
          <marker>
            <symbol val="none"/>
            <spPr>
              <a:ln xmlns:a="http://schemas.openxmlformats.org/drawingml/2006/main">
                <a:prstDash val="solid"/>
              </a:ln>
            </spPr>
          </marker>
          <cat>
            <numRef>
              <f>'JGBFrontEnd'!$A$7:$A$1393</f>
            </numRef>
          </cat>
          <val>
            <numRef>
              <f>'JGBFrontEnd'!$D$7:$D$1393</f>
            </numRef>
          </val>
          <smooth val="0"/>
        </ser>
        <axId val="10"/>
        <axId val="100"/>
      </lineChart>
      <catAx>
        <axId val="10"/>
        <scaling>
          <orientation val="minMax"/>
        </scaling>
        <delete val="0"/>
        <axPos val="b"/>
        <numFmt formatCode="mmm-yy" sourceLinked="0"/>
        <majorTickMark val="none"/>
        <minorTickMark val="none"/>
        <tickLblPos val="low"/>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tickLblSkip val="139"/>
        <tickMarkSkip val="139"/>
      </catAx>
      <valAx>
        <axId val="100"/>
        <scaling>
          <orientation val="minMax"/>
        </scaling>
        <delete val="0"/>
        <axPos val="l"/>
        <majorGridlines>
          <spPr>
            <a:ln xmlns:a="http://schemas.openxmlformats.org/drawingml/2006/main" w="3175">
              <a:solidFill>
                <a:srgbClr val="D0CECE"/>
              </a:solidFill>
              <a:prstDash val="solid"/>
            </a:ln>
          </spPr>
        </majorGridlines>
        <title>
          <tx>
            <rich>
              <a:bodyPr xmlns:a="http://schemas.openxmlformats.org/drawingml/2006/main"/>
              <a:p xmlns:a="http://schemas.openxmlformats.org/drawingml/2006/main">
                <a:pPr>
                  <a:defRPr sz="950" b="0">
                    <a:solidFill>
                      <a:srgbClr val="767576"/>
                    </a:solidFill>
                    <a:latin typeface="Arial"/>
                  </a:defRPr>
                </a:pPr>
                <a:r>
                  <a:t>Basis points</a:t>
                </a:r>
              </a:p>
            </rich>
          </tx>
        </title>
        <numFmt formatCode="+#,##0;-#,##0" sourceLinked="0"/>
        <majorTickMark val="none"/>
        <minorTickMark val="none"/>
        <tickLblPos val="nextTo"/>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plotVisOnly val="1"/>
    <dispBlanksAs val="gap"/>
  </chart>
  <spPr>
    <a:ln xmlns:a="http://schemas.openxmlformats.org/drawingml/2006/main">
      <a:noFill/>
      <a:prstDash val="solid"/>
    </a:ln>
  </spPr>
</chartSpace>
</file>

<file path=xl/charts/chart16.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Bank relative performance and the 10y turn together</a:t>
            </a:r>
          </a:p>
        </rich>
      </tx>
    </title>
    <plotArea>
      <lineChart>
        <grouping val="standard"/>
        <varyColors val="0"/>
        <ser>
          <idx val="0"/>
          <order val="0"/>
          <tx>
            <v>Banks relative to the Nikkei, rebased</v>
          </tx>
          <spPr>
            <a:ln xmlns:a="http://schemas.openxmlformats.org/drawingml/2006/main" w="26000">
              <a:solidFill>
                <a:srgbClr val="DB0011"/>
              </a:solidFill>
              <a:prstDash val="solid"/>
            </a:ln>
          </spPr>
          <marker>
            <symbol val="none"/>
            <spPr>
              <a:ln xmlns:a="http://schemas.openxmlformats.org/drawingml/2006/main">
                <a:prstDash val="solid"/>
              </a:ln>
            </spPr>
          </marker>
          <cat>
            <numRef>
              <f>'JapanBanks'!$A$7:$A$976</f>
            </numRef>
          </cat>
          <val>
            <numRef>
              <f>'JapanBanks'!$D$7:$D$976</f>
            </numRef>
          </val>
          <smooth val="0"/>
        </ser>
        <axId val="10"/>
        <axId val="100"/>
      </lineChart>
      <lineChart>
        <grouping val="standard"/>
        <ser>
          <idx val="1"/>
          <order val="1"/>
          <tx>
            <v>JGB 10y, right hand scale</v>
          </tx>
          <spPr>
            <a:ln xmlns:a="http://schemas.openxmlformats.org/drawingml/2006/main" w="20000">
              <a:solidFill>
                <a:srgbClr val="44546A"/>
              </a:solidFill>
              <a:prstDash val="solid"/>
            </a:ln>
          </spPr>
          <marker>
            <symbol val="none"/>
            <spPr>
              <a:ln xmlns:a="http://schemas.openxmlformats.org/drawingml/2006/main">
                <a:prstDash val="solid"/>
              </a:ln>
            </spPr>
          </marker>
          <cat>
            <numRef>
              <f>'JapanBanks'!$A$7:$A$976</f>
            </numRef>
          </cat>
          <val>
            <numRef>
              <f>'JapanBanks'!$E$7:$E$976</f>
            </numRef>
          </val>
          <smooth val="0"/>
        </ser>
        <axId val="10"/>
        <axId val="200"/>
      </lineChart>
      <catAx>
        <axId val="10"/>
        <scaling>
          <orientation val="minMax"/>
        </scaling>
        <delete val="0"/>
        <axPos val="b"/>
        <numFmt formatCode="mmm-yy" sourceLinked="0"/>
        <majorTickMark val="none"/>
        <minorTickMark val="none"/>
        <tickLblPos val="low"/>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tickLblSkip val="97"/>
        <tickMarkSkip val="97"/>
      </catAx>
      <valAx>
        <axId val="100"/>
        <scaling>
          <orientation val="minMax"/>
        </scaling>
        <delete val="0"/>
        <axPos val="l"/>
        <majorGridlines>
          <spPr>
            <a:ln xmlns:a="http://schemas.openxmlformats.org/drawingml/2006/main" w="3175">
              <a:solidFill>
                <a:srgbClr val="D0CECE"/>
              </a:solidFill>
              <a:prstDash val="solid"/>
            </a:ln>
          </spPr>
        </majorGridlines>
        <title>
          <tx>
            <rich>
              <a:bodyPr xmlns:a="http://schemas.openxmlformats.org/drawingml/2006/main"/>
              <a:p xmlns:a="http://schemas.openxmlformats.org/drawingml/2006/main">
                <a:pPr>
                  <a:defRPr sz="950" b="0">
                    <a:solidFill>
                      <a:srgbClr val="767576"/>
                    </a:solidFill>
                    <a:latin typeface="Arial"/>
                  </a:defRPr>
                </a:pPr>
                <a:r>
                  <a:t>Banks / Nikkei, first week = 100</a:t>
                </a:r>
              </a:p>
            </rich>
          </tx>
        </title>
        <numFmt formatCode="0" sourceLinked="0"/>
        <majorTickMark val="none"/>
        <minorTickMark val="none"/>
        <tickLblPos val="nextTo"/>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valAx>
        <axId val="200"/>
        <scaling>
          <orientation val="minMax"/>
        </scaling>
        <delete val="0"/>
        <axPos val="r"/>
        <title>
          <tx>
            <rich>
              <a:bodyPr xmlns:a="http://schemas.openxmlformats.org/drawingml/2006/main"/>
              <a:p xmlns:a="http://schemas.openxmlformats.org/drawingml/2006/main">
                <a:pPr>
                  <a:defRPr sz="950" b="0">
                    <a:solidFill>
                      <a:srgbClr val="767576"/>
                    </a:solidFill>
                    <a:latin typeface="Arial"/>
                  </a:defRPr>
                </a:pPr>
                <a:r>
                  <a:t>JGB 10y, per cent</a:t>
                </a:r>
              </a:p>
            </rich>
          </tx>
        </title>
        <numFmt formatCode="0.0" sourceLinked="0"/>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crosses val="max"/>
      </valAx>
    </plotArea>
    <legend>
      <legendPos val="b"/>
      <overlay val="0"/>
      <txPr>
        <a:bodyPr xmlns:a="http://schemas.openxmlformats.org/drawingml/2006/main"/>
        <a:p xmlns:a="http://schemas.openxmlformats.org/drawingml/2006/main">
          <a:pPr>
            <a:defRPr sz="900" b="0">
              <a:solidFill>
                <a:srgbClr val="000000"/>
              </a:solidFill>
              <a:latin typeface="Arial"/>
            </a:defRPr>
          </a:pPr>
          <a:r>
            <a:t/>
          </a:r>
          <a:endParaRPr sz="900" b="0">
            <a:solidFill>
              <a:srgbClr val="000000"/>
            </a:solidFill>
            <a:latin typeface="Arial"/>
          </a:endParaRPr>
        </a:p>
      </txPr>
    </legend>
    <plotVisOnly val="1"/>
    <dispBlanksAs val="gap"/>
  </chart>
  <spPr>
    <a:ln xmlns:a="http://schemas.openxmlformats.org/drawingml/2006/main">
      <a:no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 Type="http://schemas.openxmlformats.org/officeDocument/2006/relationships/chart" Target="/xl/charts/chart7.xml" Id="rId7"/><Relationship Type="http://schemas.openxmlformats.org/officeDocument/2006/relationships/chart" Target="/xl/charts/chart8.xml" Id="rId8"/></Relationships>
</file>

<file path=xl/drawings/_rels/drawing2.xml.rels><Relationships xmlns="http://schemas.openxmlformats.org/package/2006/relationships"><Relationship Type="http://schemas.openxmlformats.org/officeDocument/2006/relationships/chart" Target="/xl/charts/chart9.xml" Id="rId1"/></Relationships>
</file>

<file path=xl/drawings/_rels/drawing3.xml.rels><Relationships xmlns="http://schemas.openxmlformats.org/package/2006/relationships"><Relationship Type="http://schemas.openxmlformats.org/officeDocument/2006/relationships/chart" Target="/xl/charts/chart10.xml" Id="rId1"/><Relationship Type="http://schemas.openxmlformats.org/officeDocument/2006/relationships/chart" Target="/xl/charts/chart11.xml" Id="rId2"/></Relationships>
</file>

<file path=xl/drawings/_rels/drawing4.xml.rels><Relationships xmlns="http://schemas.openxmlformats.org/package/2006/relationships"><Relationship Type="http://schemas.openxmlformats.org/officeDocument/2006/relationships/chart" Target="/xl/charts/chart12.xml" Id="rId1"/><Relationship Type="http://schemas.openxmlformats.org/officeDocument/2006/relationships/chart" Target="/xl/charts/chart13.xml" Id="rId2"/></Relationships>
</file>

<file path=xl/drawings/_rels/drawing5.xml.rels><Relationships xmlns="http://schemas.openxmlformats.org/package/2006/relationships"><Relationship Type="http://schemas.openxmlformats.org/officeDocument/2006/relationships/chart" Target="/xl/charts/chart14.xml" Id="rId1"/><Relationship Type="http://schemas.openxmlformats.org/officeDocument/2006/relationships/chart" Target="/xl/charts/chart15.xml" Id="rId2"/></Relationships>
</file>

<file path=xl/drawings/_rels/drawing6.xml.rels><Relationships xmlns="http://schemas.openxmlformats.org/package/2006/relationships"><Relationship Type="http://schemas.openxmlformats.org/officeDocument/2006/relationships/chart" Target="/xl/charts/chart16.xml" Id="rId1"/></Relationships>
</file>

<file path=xl/drawings/drawing1.xml><?xml version="1.0" encoding="utf-8"?>
<wsDr xmlns="http://schemas.openxmlformats.org/drawingml/2006/spreadsheetDrawing">
  <oneCellAnchor>
    <from>
      <col>0</col>
      <colOff>0</colOff>
      <row>4</row>
      <rowOff>0</rowOff>
    </from>
    <ext cx="7560000" cy="37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27</row>
      <rowOff>0</rowOff>
    </from>
    <ext cx="7560000" cy="37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50</row>
      <rowOff>0</rowOff>
    </from>
    <ext cx="7560000" cy="37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73</row>
      <rowOff>0</rowOff>
    </from>
    <ext cx="7560000" cy="37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96</row>
      <rowOff>0</rowOff>
    </from>
    <ext cx="7560000" cy="37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0</col>
      <colOff>0</colOff>
      <row>119</row>
      <rowOff>0</rowOff>
    </from>
    <ext cx="7560000" cy="37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0</col>
      <colOff>0</colOff>
      <row>145</row>
      <rowOff>0</rowOff>
    </from>
    <ext cx="7560000" cy="37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0</col>
      <colOff>0</colOff>
      <row>168</row>
      <rowOff>0</rowOff>
    </from>
    <ext cx="7560000" cy="37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wsDr>
</file>

<file path=xl/drawings/drawing2.xml><?xml version="1.0" encoding="utf-8"?>
<wsDr xmlns="http://schemas.openxmlformats.org/drawingml/2006/spreadsheetDrawing">
  <oneCellAnchor>
    <from>
      <col>14</col>
      <colOff>0</colOff>
      <row>4</row>
      <rowOff>0</rowOff>
    </from>
    <ext cx="7560000" cy="37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5</col>
      <colOff>0</colOff>
      <row>4</row>
      <rowOff>0</rowOff>
    </from>
    <ext cx="7560000" cy="37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27</row>
      <rowOff>0</rowOff>
    </from>
    <ext cx="7560000" cy="37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4.xml><?xml version="1.0" encoding="utf-8"?>
<wsDr xmlns="http://schemas.openxmlformats.org/drawingml/2006/spreadsheetDrawing">
  <oneCellAnchor>
    <from>
      <col>20</col>
      <colOff>0</colOff>
      <row>4</row>
      <rowOff>0</rowOff>
    </from>
    <ext cx="7560000" cy="37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20</col>
      <colOff>0</colOff>
      <row>27</row>
      <rowOff>0</rowOff>
    </from>
    <ext cx="7560000" cy="37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5.xml><?xml version="1.0" encoding="utf-8"?>
<wsDr xmlns="http://schemas.openxmlformats.org/drawingml/2006/spreadsheetDrawing">
  <oneCellAnchor>
    <from>
      <col>5</col>
      <colOff>0</colOff>
      <row>4</row>
      <rowOff>0</rowOff>
    </from>
    <ext cx="7560000" cy="37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27</row>
      <rowOff>0</rowOff>
    </from>
    <ext cx="7560000" cy="37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6.xml><?xml version="1.0" encoding="utf-8"?>
<wsDr xmlns="http://schemas.openxmlformats.org/drawingml/2006/spreadsheetDrawing">
  <oneCellAnchor>
    <from>
      <col>6</col>
      <colOff>0</colOff>
      <row>4</row>
      <rowOff>0</rowOff>
    </from>
    <ext cx="7560000" cy="37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11.xml.rels><Relationships xmlns="http://schemas.openxmlformats.org/package/2006/relationships"><Relationship Type="http://schemas.openxmlformats.org/officeDocument/2006/relationships/drawing" Target="/xl/drawings/drawing2.xml" Id="rId1"/></Relationships>
</file>

<file path=xl/worksheets/_rels/sheet12.xml.rels><Relationships xmlns="http://schemas.openxmlformats.org/package/2006/relationships"><Relationship Type="http://schemas.openxmlformats.org/officeDocument/2006/relationships/drawing" Target="/xl/drawings/drawing3.xml" Id="rId1"/></Relationships>
</file>

<file path=xl/worksheets/_rels/sheet13.xml.rels><Relationships xmlns="http://schemas.openxmlformats.org/package/2006/relationships"><Relationship Type="http://schemas.openxmlformats.org/officeDocument/2006/relationships/drawing" Target="/xl/drawings/drawing4.xml" Id="rId1"/></Relationships>
</file>

<file path=xl/worksheets/_rels/sheet14.xml.rels><Relationships xmlns="http://schemas.openxmlformats.org/package/2006/relationships"><Relationship Type="http://schemas.openxmlformats.org/officeDocument/2006/relationships/drawing" Target="/xl/drawings/drawing5.xml" Id="rId1"/></Relationships>
</file>

<file path=xl/worksheets/_rels/sheet15.xml.rels><Relationships xmlns="http://schemas.openxmlformats.org/package/2006/relationships"><Relationship Type="http://schemas.openxmlformats.org/officeDocument/2006/relationships/drawing" Target="/xl/drawings/drawing6.xml" Id="rId1"/></Relationships>
</file>

<file path=xl/worksheets/sheet1.xml><?xml version="1.0" encoding="utf-8"?>
<worksheet xmlns="http://schemas.openxmlformats.org/spreadsheetml/2006/main">
  <sheetPr>
    <tabColor rgb="00DB0011"/>
    <outlinePr summaryBelow="1" summaryRight="1"/>
    <pageSetUpPr/>
  </sheetPr>
  <dimension ref="A1:F30"/>
  <sheetViews>
    <sheetView showGridLines="0" workbookViewId="0">
      <selection activeCell="A1" sqref="A1"/>
    </sheetView>
  </sheetViews>
  <sheetFormatPr baseColWidth="8" defaultRowHeight="15"/>
  <cols>
    <col width="17" customWidth="1" min="1" max="1"/>
    <col width="84" customWidth="1" min="2" max="2"/>
  </cols>
  <sheetData>
    <row r="1">
      <c r="A1" s="1" t="inlineStr">
        <is>
          <t>Market charts</t>
        </is>
      </c>
    </row>
    <row r="2">
      <c r="A2" s="2" t="inlineStr">
        <is>
          <t>Built from public data</t>
        </is>
      </c>
    </row>
    <row r="3" ht="4" customHeight="1">
      <c r="A3" s="3" t="n"/>
      <c r="B3" s="3" t="n"/>
      <c r="C3" s="3" t="n"/>
      <c r="D3" s="3" t="n"/>
      <c r="E3" s="3" t="n"/>
      <c r="F3" s="3" t="n"/>
    </row>
    <row r="5" ht="26" customHeight="1">
      <c r="A5" s="4" t="inlineStr">
        <is>
          <t>1  Cross-asset</t>
        </is>
      </c>
      <c r="B5" s="5" t="inlineStr">
        <is>
          <t>MSCI ACWI, UST 7-10y and the S&amp;P GSCI rebased to 100 at 2 January 2023.</t>
        </is>
      </c>
    </row>
    <row r="6" ht="26" customHeight="1">
      <c r="A6" s="4" t="inlineStr">
        <is>
          <t>2  Claims</t>
        </is>
      </c>
      <c r="B6" s="5" t="inlineStr">
        <is>
          <t>US initial jobless claims by week of year, 2023 to 2026.</t>
        </is>
      </c>
    </row>
    <row r="7" ht="26" customHeight="1">
      <c r="A7" s="4" t="inlineStr">
        <is>
          <t>3  Continuing</t>
        </is>
      </c>
      <c r="B7" s="5" t="inlineStr">
        <is>
          <t>Continuing claims and the unemployment rate against the same month a cycle earlier.</t>
        </is>
      </c>
    </row>
    <row r="8" ht="26" customHeight="1">
      <c r="A8" s="4" t="inlineStr">
        <is>
          <t>4  Bubbles</t>
        </is>
      </c>
      <c r="B8" s="5" t="inlineStr">
        <is>
          <t>The US 10y through six equity episodes, measured from the start of each.</t>
        </is>
      </c>
    </row>
    <row r="9" ht="26" customHeight="1">
      <c r="A9" s="4" t="inlineStr">
        <is>
          <t>5  Construction</t>
        </is>
      </c>
      <c r="B9" s="5" t="inlineStr">
        <is>
          <t>US private non-residential construction: data centres against everything else.</t>
        </is>
      </c>
    </row>
    <row r="10" ht="26" customHeight="1">
      <c r="A10" s="4" t="inlineStr">
        <is>
          <t>6  Rate-oil beta</t>
        </is>
      </c>
      <c r="B10" s="5" t="inlineStr">
        <is>
          <t>How far each G10 10y moves for a one per cent move in Brent, on weekly changes since February 2026.</t>
        </is>
      </c>
    </row>
    <row r="11" ht="26" customHeight="1">
      <c r="A11" s="4" t="inlineStr">
        <is>
          <t>7  Priced in 1y</t>
        </is>
      </c>
      <c r="B11" s="5" t="inlineStr">
        <is>
          <t>Policy priced over 12 months, ten markets. Transcribed - no free source exists.</t>
        </is>
      </c>
    </row>
    <row r="12" ht="26" customHeight="1">
      <c r="A12" s="4" t="inlineStr">
        <is>
          <t>8  Beta compare</t>
        </is>
      </c>
      <c r="B12" s="5" t="inlineStr">
        <is>
          <t>Our betas, the published ones, and the gap. Three bars per market.</t>
        </is>
      </c>
    </row>
    <row r="14">
      <c r="A14" s="6" t="inlineStr">
        <is>
          <t>Sources</t>
        </is>
      </c>
    </row>
    <row r="15" ht="34" customHeight="1">
      <c r="A15" s="4" t="inlineStr">
        <is>
          <t>Yahoo Finance</t>
        </is>
      </c>
      <c r="B15" s="5" t="inlineStr">
        <is>
          <t>ACWI, IEF and ^SPGSCI daily closes. The ETF series use the adjusted close, so distributions are reinvested; the S&amp;P GSCI is a spot index.</t>
        </is>
      </c>
    </row>
    <row r="16" ht="34" customHeight="1">
      <c r="A16" s="4" t="inlineStr">
        <is>
          <t>FRED</t>
        </is>
      </c>
      <c r="B16" s="5" t="inlineStr">
        <is>
          <t>ICSA, CCSA, UNRATE and DGS10.</t>
        </is>
      </c>
    </row>
    <row r="17" ht="34" customHeight="1">
      <c r="A17" s="4" t="inlineStr">
        <is>
          <t>US Census Bureau</t>
        </is>
      </c>
      <c r="B17" s="5" t="inlineStr">
        <is>
          <t>C30 value of construction put in place, private, seasonally adjusted. The data centre series is not carried on FRED and comes from the Census file directly.</t>
        </is>
      </c>
    </row>
    <row r="18" ht="34" customHeight="1">
      <c r="A18" s="4" t="inlineStr">
        <is>
          <t>FRED</t>
        </is>
      </c>
      <c r="B18" s="5" t="inlineStr">
        <is>
          <t>WPUSI012011, PPI construction materials, used to deflate.</t>
        </is>
      </c>
    </row>
    <row r="20">
      <c r="A20" s="6" t="inlineStr">
        <is>
          <t>Notes</t>
        </is>
      </c>
    </row>
    <row r="21" ht="30" customHeight="1">
      <c r="A21" s="5" t="inlineStr">
        <is>
          <t>◆  Rebasing divides each series by its own first close and multiplies by 100, so every line starts together and the chart reads as relative performance.</t>
        </is>
      </c>
    </row>
    <row r="22" ht="30" customHeight="1">
      <c r="A22" s="5" t="inlineStr">
        <is>
          <t>◆  The cross-asset spine is every weekday, with the previous close carried through a market holiday.</t>
        </is>
      </c>
    </row>
    <row r="23" ht="30" customHeight="1">
      <c r="A23" s="5" t="inlineStr">
        <is>
          <t>◆  The dashed line on chart 2 is the 2023-25 average across all weeks, computed live on the Claims sheet. It is a reference for reading 2026 against, not a threshold with any meaning of its own.</t>
        </is>
      </c>
    </row>
    <row r="24" ht="30" customHeight="1">
      <c r="A24" s="5" t="inlineStr">
        <is>
          <t>◆  Chart 4 measures each episode from its own start date. Yields rose in four of the six and fell in two. The current episode runs from 26 June 2025 and is not complete.</t>
        </is>
      </c>
    </row>
    <row r="25" ht="30" customHeight="1">
      <c r="A25" s="5" t="inlineStr">
        <is>
          <t>◆  Chart 5 is nominal, which is how this is usually drawn. Columns E-G of the Construction sheet repeat it in January 2024 prices. Data centres sit on the right-hand scale.</t>
        </is>
      </c>
    </row>
    <row r="26" ht="30" customHeight="1">
      <c r="A26" s="5" t="inlineStr">
        <is>
          <t>◆  Chart 6 is a plain least-squares slope of the weekly change in each 10y, in basis points, on the weekly per cent change in Brent, Friday to Friday. The estimates move materially with the sampling day - Britain ranges from 0.83 to 1.11 across Monday, Wednesday and Friday sampling - so read the ranking, not the level. R squared per market is on the RateOilBeta sheet.</t>
        </is>
      </c>
    </row>
    <row r="27" ht="30" customHeight="1">
      <c r="A27" s="5" t="inlineStr">
        <is>
          <t>◆  Charts 7 and 8 carry figures read off third-party research published under a no-redistribution notice, and are banded in red on the Charts sheet to say so. Charts 1 to 6 are entirely our own. Transcribed values are read by eye off bar charts and are accurate to about a bar width - do not quote them to two decimals.</t>
        </is>
      </c>
    </row>
    <row r="28" ht="30" customHeight="1">
      <c r="A28" s="5" t="inlineStr">
        <is>
          <t>◆  The two sources agree on Sweden, the euro area, and that Japan is the least sensitive market. They disagree on the US, where ours is roughly double. Across three sampling weekdays and two end dates our US beta never fell below 0.48.</t>
        </is>
      </c>
    </row>
    <row r="30">
      <c r="A30" s="7" t="inlineStr">
        <is>
          <t>Built 08 August 2026. Rebuilt from primary sources rather than reproduced from third-party research.</t>
        </is>
      </c>
    </row>
  </sheetData>
  <mergeCells count="8">
    <mergeCell ref="A24:F24"/>
    <mergeCell ref="A28:F28"/>
    <mergeCell ref="A23:F23"/>
    <mergeCell ref="A27:F27"/>
    <mergeCell ref="A22:F22"/>
    <mergeCell ref="A26:F26"/>
    <mergeCell ref="A21:F21"/>
    <mergeCell ref="A25:F25"/>
  </mergeCells>
  <pageMargins left="0.75" right="0.75" top="1" bottom="1" header="0.5" footer="0.5"/>
</worksheet>
</file>

<file path=xl/worksheets/sheet2.xml><?xml version="1.0" encoding="utf-8"?>
<worksheet xmlns="http://schemas.openxmlformats.org/spreadsheetml/2006/main">
  <sheetPr>
    <tabColor rgb="00DB0011"/>
    <outlinePr summaryBelow="1" summaryRight="1"/>
    <pageSetUpPr/>
  </sheetPr>
  <dimension ref="A1:N143"/>
  <sheetViews>
    <sheetView showGridLines="0" workbookViewId="0">
      <selection activeCell="A1" sqref="A1"/>
    </sheetView>
  </sheetViews>
  <sheetFormatPr baseColWidth="8" defaultRowHeight="15"/>
  <sheetData>
    <row r="1">
      <c r="A1" s="1" t="inlineStr">
        <is>
          <t>Charts</t>
        </is>
      </c>
    </row>
    <row r="2">
      <c r="A2" s="2" t="inlineStr">
        <is>
          <t>Five charts, each pointing at a data sheet in this workbook. Nothing here is typed in or pasted as a picture.</t>
        </is>
      </c>
    </row>
    <row r="3" ht="4" customHeight="1">
      <c r="A3" s="3" t="n"/>
      <c r="B3" s="3" t="n"/>
      <c r="C3" s="3" t="n"/>
      <c r="D3" s="3" t="n"/>
      <c r="E3" s="3" t="n"/>
      <c r="F3" s="3" t="n"/>
      <c r="G3" s="3" t="n"/>
      <c r="H3" s="3" t="n"/>
      <c r="I3" s="3" t="n"/>
      <c r="J3" s="3" t="n"/>
      <c r="K3" s="3" t="n"/>
      <c r="L3" s="3" t="n"/>
      <c r="M3" s="3" t="n"/>
      <c r="N3" s="3" t="n"/>
    </row>
    <row r="143" ht="18" customHeight="1">
      <c r="A143" s="8" t="inlineStr">
        <is>
          <t>TRANSCRIBED FROM PUBLISHED RESEARCH — NOT OUR OWN ESTIMATE — NOT FOR REDISTRIBUTION</t>
        </is>
      </c>
      <c r="B143" s="3" t="n"/>
      <c r="C143" s="3" t="n"/>
      <c r="D143" s="3" t="n"/>
      <c r="E143" s="3" t="n"/>
      <c r="F143" s="3" t="n"/>
      <c r="G143" s="3" t="n"/>
      <c r="H143" s="3" t="n"/>
      <c r="I143" s="3" t="n"/>
      <c r="J143" s="3" t="n"/>
      <c r="K143" s="3" t="n"/>
      <c r="L143" s="3" t="n"/>
      <c r="M143" s="3" t="n"/>
      <c r="N143" s="3" t="n"/>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H941"/>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12" customWidth="1" min="1" max="1"/>
    <col width="17" customWidth="1" min="2" max="2"/>
    <col width="17" customWidth="1" min="3" max="3"/>
    <col width="17" customWidth="1" min="4" max="4"/>
    <col width="17" customWidth="1" min="5" max="5"/>
    <col width="17" customWidth="1" min="6" max="6"/>
    <col width="17" customWidth="1" min="7" max="7"/>
  </cols>
  <sheetData>
    <row r="1">
      <c r="A1" s="1" t="inlineStr">
        <is>
          <t>Equities, bonds and commodities</t>
        </is>
      </c>
    </row>
    <row r="2">
      <c r="A2" s="2" t="inlineStr">
        <is>
          <t>Daily close. Columns B-D are the pulled prices; E-G rebase them to 100 at the first row.</t>
        </is>
      </c>
    </row>
    <row r="3" ht="4" customHeight="1">
      <c r="A3" s="3" t="n"/>
      <c r="B3" s="3" t="n"/>
      <c r="C3" s="3" t="n"/>
      <c r="D3" s="3" t="n"/>
      <c r="E3" s="3" t="n"/>
      <c r="F3" s="3" t="n"/>
      <c r="G3" s="3" t="n"/>
      <c r="H3" s="3" t="n"/>
    </row>
    <row r="6" ht="30" customHeight="1">
      <c r="A6" s="9" t="inlineStr">
        <is>
          <t>Date</t>
        </is>
      </c>
      <c r="B6" s="10" t="inlineStr">
        <is>
          <t>Equities — MSCI ACWI</t>
        </is>
      </c>
      <c r="C6" s="10" t="inlineStr">
        <is>
          <t>Bonds — UST 7-10y</t>
        </is>
      </c>
      <c r="D6" s="10" t="inlineStr">
        <is>
          <t>Commodities — S&amp;P GSCI</t>
        </is>
      </c>
      <c r="E6" s="10" t="inlineStr">
        <is>
          <t>Equities — MSCI ACWI, rebased</t>
        </is>
      </c>
      <c r="F6" s="10" t="inlineStr">
        <is>
          <t>Bonds — UST 7-10y, rebased</t>
        </is>
      </c>
      <c r="G6" s="10" t="inlineStr">
        <is>
          <t>Commodities — S&amp;P GSCI, rebased</t>
        </is>
      </c>
    </row>
    <row r="7">
      <c r="A7" s="11" t="n">
        <v>44928</v>
      </c>
      <c r="B7" s="12" t="n">
        <v>79.96483600000001</v>
      </c>
      <c r="C7" s="12" t="n">
        <v>84.47708900000001</v>
      </c>
      <c r="D7" s="12" t="n">
        <v>610.070007</v>
      </c>
      <c r="E7" s="13">
        <f>100*B7/B$7</f>
        <v/>
      </c>
      <c r="F7" s="13">
        <f>100*C7/C$7</f>
        <v/>
      </c>
      <c r="G7" s="13">
        <f>100*D7/D$7</f>
        <v/>
      </c>
    </row>
    <row r="8">
      <c r="A8" s="11" t="n">
        <v>44929</v>
      </c>
      <c r="B8" s="12" t="n">
        <v>79.983688</v>
      </c>
      <c r="C8" s="12" t="n">
        <v>85.138588</v>
      </c>
      <c r="D8" s="12" t="n">
        <v>590.630005</v>
      </c>
      <c r="E8" s="13">
        <f>100*B8/B$7</f>
        <v/>
      </c>
      <c r="F8" s="13">
        <f>100*C8/C$7</f>
        <v/>
      </c>
      <c r="G8" s="13">
        <f>100*D8/D$7</f>
        <v/>
      </c>
    </row>
    <row r="9">
      <c r="A9" s="11" t="n">
        <v>44930</v>
      </c>
      <c r="B9" s="12" t="n">
        <v>81.001144</v>
      </c>
      <c r="C9" s="12" t="n">
        <v>85.79125999999999</v>
      </c>
      <c r="D9" s="12" t="n">
        <v>571.23999</v>
      </c>
      <c r="E9" s="13">
        <f>100*B9/B$7</f>
        <v/>
      </c>
      <c r="F9" s="13">
        <f>100*C9/C$7</f>
        <v/>
      </c>
      <c r="G9" s="13">
        <f>100*D9/D$7</f>
        <v/>
      </c>
    </row>
    <row r="10">
      <c r="A10" s="11" t="n">
        <v>44931</v>
      </c>
      <c r="B10" s="12" t="n">
        <v>80.172089</v>
      </c>
      <c r="C10" s="12" t="n">
        <v>85.66777</v>
      </c>
      <c r="D10" s="12" t="n">
        <v>571.130005</v>
      </c>
      <c r="E10" s="13">
        <f>100*B10/B$7</f>
        <v/>
      </c>
      <c r="F10" s="13">
        <f>100*C10/C$7</f>
        <v/>
      </c>
      <c r="G10" s="13">
        <f>100*D10/D$7</f>
        <v/>
      </c>
    </row>
    <row r="11">
      <c r="A11" s="11" t="n">
        <v>44932</v>
      </c>
      <c r="B11" s="12" t="n">
        <v>82.02803</v>
      </c>
      <c r="C11" s="12" t="n">
        <v>86.770264</v>
      </c>
      <c r="D11" s="12" t="n">
        <v>573.289978</v>
      </c>
      <c r="E11" s="13">
        <f>100*B11/B$7</f>
        <v/>
      </c>
      <c r="F11" s="13">
        <f>100*C11/C$7</f>
        <v/>
      </c>
      <c r="G11" s="13">
        <f>100*D11/D$7</f>
        <v/>
      </c>
    </row>
    <row r="12">
      <c r="A12" s="11" t="n">
        <v>44935</v>
      </c>
      <c r="B12" s="12" t="n">
        <v>82.207016</v>
      </c>
      <c r="C12" s="12" t="n">
        <v>86.990753</v>
      </c>
      <c r="D12" s="12" t="n">
        <v>580.23999</v>
      </c>
      <c r="E12" s="13">
        <f>100*B12/B$7</f>
        <v/>
      </c>
      <c r="F12" s="13">
        <f>100*C12/C$7</f>
        <v/>
      </c>
      <c r="G12" s="13">
        <f>100*D12/D$7</f>
        <v/>
      </c>
    </row>
    <row r="13">
      <c r="A13" s="11" t="n">
        <v>44936</v>
      </c>
      <c r="B13" s="12" t="n">
        <v>82.668648</v>
      </c>
      <c r="C13" s="12" t="n">
        <v>86.443916</v>
      </c>
      <c r="D13" s="12" t="n">
        <v>581.130005</v>
      </c>
      <c r="E13" s="13">
        <f>100*B13/B$7</f>
        <v/>
      </c>
      <c r="F13" s="13">
        <f>100*C13/C$7</f>
        <v/>
      </c>
      <c r="G13" s="13">
        <f>100*D13/D$7</f>
        <v/>
      </c>
    </row>
    <row r="14">
      <c r="A14" s="11" t="n">
        <v>44937</v>
      </c>
      <c r="B14" s="12" t="n">
        <v>83.53537799999999</v>
      </c>
      <c r="C14" s="12" t="n">
        <v>86.999573</v>
      </c>
      <c r="D14" s="12" t="n">
        <v>592.48999</v>
      </c>
      <c r="E14" s="13">
        <f>100*B14/B$7</f>
        <v/>
      </c>
      <c r="F14" s="13">
        <f>100*C14/C$7</f>
        <v/>
      </c>
      <c r="G14" s="13">
        <f>100*D14/D$7</f>
        <v/>
      </c>
    </row>
    <row r="15">
      <c r="A15" s="11" t="n">
        <v>44938</v>
      </c>
      <c r="B15" s="12" t="n">
        <v>84.119469</v>
      </c>
      <c r="C15" s="12" t="n">
        <v>87.775719</v>
      </c>
      <c r="D15" s="12" t="n">
        <v>599.559998</v>
      </c>
      <c r="E15" s="13">
        <f>100*B15/B$7</f>
        <v/>
      </c>
      <c r="F15" s="13">
        <f>100*C15/C$7</f>
        <v/>
      </c>
      <c r="G15" s="13">
        <f>100*D15/D$7</f>
        <v/>
      </c>
    </row>
    <row r="16">
      <c r="A16" s="11" t="n">
        <v>44939</v>
      </c>
      <c r="B16" s="12" t="n">
        <v>84.496307</v>
      </c>
      <c r="C16" s="12" t="n">
        <v>87.308296</v>
      </c>
      <c r="D16" s="12" t="n">
        <v>605.789978</v>
      </c>
      <c r="E16" s="13">
        <f>100*B16/B$7</f>
        <v/>
      </c>
      <c r="F16" s="13">
        <f>100*C16/C$7</f>
        <v/>
      </c>
      <c r="G16" s="13">
        <f>100*D16/D$7</f>
        <v/>
      </c>
    </row>
    <row r="17">
      <c r="A17" s="11" t="n">
        <v>44942</v>
      </c>
      <c r="B17" s="12" t="n">
        <v>84.496307</v>
      </c>
      <c r="C17" s="12" t="n">
        <v>87.308296</v>
      </c>
      <c r="D17" s="12" t="n">
        <v>605.789978</v>
      </c>
      <c r="E17" s="13">
        <f>100*B17/B$7</f>
        <v/>
      </c>
      <c r="F17" s="13">
        <f>100*C17/C$7</f>
        <v/>
      </c>
      <c r="G17" s="13">
        <f>100*D17/D$7</f>
        <v/>
      </c>
    </row>
    <row r="18">
      <c r="A18" s="11" t="n">
        <v>44943</v>
      </c>
      <c r="B18" s="12" t="n">
        <v>84.439781</v>
      </c>
      <c r="C18" s="12" t="n">
        <v>87.034874</v>
      </c>
      <c r="D18" s="12" t="n">
        <v>609.059998</v>
      </c>
      <c r="E18" s="13">
        <f>100*B18/B$7</f>
        <v/>
      </c>
      <c r="F18" s="13">
        <f>100*C18/C$7</f>
        <v/>
      </c>
      <c r="G18" s="13">
        <f>100*D18/D$7</f>
        <v/>
      </c>
    </row>
    <row r="19">
      <c r="A19" s="11" t="n">
        <v>44944</v>
      </c>
      <c r="B19" s="12" t="n">
        <v>83.516533</v>
      </c>
      <c r="C19" s="12" t="n">
        <v>88.216728</v>
      </c>
      <c r="D19" s="12" t="n">
        <v>606.690002</v>
      </c>
      <c r="E19" s="13">
        <f>100*B19/B$7</f>
        <v/>
      </c>
      <c r="F19" s="13">
        <f>100*C19/C$7</f>
        <v/>
      </c>
      <c r="G19" s="13">
        <f>100*D19/D$7</f>
        <v/>
      </c>
    </row>
    <row r="20">
      <c r="A20" s="11" t="n">
        <v>44945</v>
      </c>
      <c r="B20" s="12" t="n">
        <v>83.186798</v>
      </c>
      <c r="C20" s="12" t="n">
        <v>88.049149</v>
      </c>
      <c r="D20" s="12" t="n">
        <v>609.580017</v>
      </c>
      <c r="E20" s="13">
        <f>100*B20/B$7</f>
        <v/>
      </c>
      <c r="F20" s="13">
        <f>100*C20/C$7</f>
        <v/>
      </c>
      <c r="G20" s="13">
        <f>100*D20/D$7</f>
        <v/>
      </c>
    </row>
    <row r="21">
      <c r="A21" s="11" t="n">
        <v>44946</v>
      </c>
      <c r="B21" s="12" t="n">
        <v>84.477463</v>
      </c>
      <c r="C21" s="12" t="n">
        <v>87.46704099999999</v>
      </c>
      <c r="D21" s="12" t="n">
        <v>616.159973</v>
      </c>
      <c r="E21" s="13">
        <f>100*B21/B$7</f>
        <v/>
      </c>
      <c r="F21" s="13">
        <f>100*C21/C$7</f>
        <v/>
      </c>
      <c r="G21" s="13">
        <f>100*D21/D$7</f>
        <v/>
      </c>
    </row>
    <row r="22">
      <c r="A22" s="11" t="n">
        <v>44949</v>
      </c>
      <c r="B22" s="12" t="n">
        <v>85.22171</v>
      </c>
      <c r="C22" s="12" t="n">
        <v>87.184799</v>
      </c>
      <c r="D22" s="12" t="n">
        <v>618.940002</v>
      </c>
      <c r="E22" s="13">
        <f>100*B22/B$7</f>
        <v/>
      </c>
      <c r="F22" s="13">
        <f>100*C22/C$7</f>
        <v/>
      </c>
      <c r="G22" s="13">
        <f>100*D22/D$7</f>
        <v/>
      </c>
    </row>
    <row r="23">
      <c r="A23" s="11" t="n">
        <v>44950</v>
      </c>
      <c r="B23" s="12" t="n">
        <v>85.108673</v>
      </c>
      <c r="C23" s="12" t="n">
        <v>87.687523</v>
      </c>
      <c r="D23" s="12" t="n">
        <v>612.219971</v>
      </c>
      <c r="E23" s="13">
        <f>100*B23/B$7</f>
        <v/>
      </c>
      <c r="F23" s="13">
        <f>100*C23/C$7</f>
        <v/>
      </c>
      <c r="G23" s="13">
        <f>100*D23/D$7</f>
        <v/>
      </c>
    </row>
    <row r="24">
      <c r="A24" s="11" t="n">
        <v>44951</v>
      </c>
      <c r="B24" s="12" t="n">
        <v>85.30651899999999</v>
      </c>
      <c r="C24" s="12" t="n">
        <v>87.784554</v>
      </c>
      <c r="D24" s="12" t="n">
        <v>610.119995</v>
      </c>
      <c r="E24" s="13">
        <f>100*B24/B$7</f>
        <v/>
      </c>
      <c r="F24" s="13">
        <f>100*C24/C$7</f>
        <v/>
      </c>
      <c r="G24" s="13">
        <f>100*D24/D$7</f>
        <v/>
      </c>
    </row>
    <row r="25">
      <c r="A25" s="11" t="n">
        <v>44952</v>
      </c>
      <c r="B25" s="12" t="n">
        <v>86.031914</v>
      </c>
      <c r="C25" s="12" t="n">
        <v>87.46704099999999</v>
      </c>
      <c r="D25" s="12" t="n">
        <v>615.190002</v>
      </c>
      <c r="E25" s="13">
        <f>100*B25/B$7</f>
        <v/>
      </c>
      <c r="F25" s="13">
        <f>100*C25/C$7</f>
        <v/>
      </c>
      <c r="G25" s="13">
        <f>100*D25/D$7</f>
        <v/>
      </c>
    </row>
    <row r="26">
      <c r="A26" s="11" t="n">
        <v>44953</v>
      </c>
      <c r="B26" s="12" t="n">
        <v>86.079025</v>
      </c>
      <c r="C26" s="12" t="n">
        <v>87.334732</v>
      </c>
      <c r="D26" s="12" t="n">
        <v>608.900024</v>
      </c>
      <c r="E26" s="13">
        <f>100*B26/B$7</f>
        <v/>
      </c>
      <c r="F26" s="13">
        <f>100*C26/C$7</f>
        <v/>
      </c>
      <c r="G26" s="13">
        <f>100*D26/D$7</f>
        <v/>
      </c>
    </row>
    <row r="27">
      <c r="A27" s="11" t="n">
        <v>44956</v>
      </c>
      <c r="B27" s="12" t="n">
        <v>85.042725</v>
      </c>
      <c r="C27" s="12" t="n">
        <v>87.061317</v>
      </c>
      <c r="D27" s="12" t="n">
        <v>599.869995</v>
      </c>
      <c r="E27" s="13">
        <f>100*B27/B$7</f>
        <v/>
      </c>
      <c r="F27" s="13">
        <f>100*C27/C$7</f>
        <v/>
      </c>
      <c r="G27" s="13">
        <f>100*D27/D$7</f>
        <v/>
      </c>
    </row>
    <row r="28">
      <c r="A28" s="11" t="n">
        <v>44957</v>
      </c>
      <c r="B28" s="12" t="n">
        <v>85.965958</v>
      </c>
      <c r="C28" s="12" t="n">
        <v>87.50232699999999</v>
      </c>
      <c r="D28" s="12" t="n">
        <v>606.059998</v>
      </c>
      <c r="E28" s="13">
        <f>100*B28/B$7</f>
        <v/>
      </c>
      <c r="F28" s="13">
        <f>100*C28/C$7</f>
        <v/>
      </c>
      <c r="G28" s="13">
        <f>100*D28/D$7</f>
        <v/>
      </c>
    </row>
    <row r="29">
      <c r="A29" s="11" t="n">
        <v>44958</v>
      </c>
      <c r="B29" s="12" t="n">
        <v>86.842117</v>
      </c>
      <c r="C29" s="12" t="n">
        <v>88.131607</v>
      </c>
      <c r="D29" s="12" t="n">
        <v>591</v>
      </c>
      <c r="E29" s="13">
        <f>100*B29/B$7</f>
        <v/>
      </c>
      <c r="F29" s="13">
        <f>100*C29/C$7</f>
        <v/>
      </c>
      <c r="G29" s="13">
        <f>100*D29/D$7</f>
        <v/>
      </c>
    </row>
    <row r="30">
      <c r="A30" s="11" t="n">
        <v>44959</v>
      </c>
      <c r="B30" s="12" t="n">
        <v>87.54869100000001</v>
      </c>
      <c r="C30" s="12" t="n">
        <v>88.09629099999999</v>
      </c>
      <c r="D30" s="12" t="n">
        <v>587.8900149999999</v>
      </c>
      <c r="E30" s="13">
        <f>100*B30/B$7</f>
        <v/>
      </c>
      <c r="F30" s="13">
        <f>100*C30/C$7</f>
        <v/>
      </c>
      <c r="G30" s="13">
        <f>100*D30/D$7</f>
        <v/>
      </c>
    </row>
    <row r="31">
      <c r="A31" s="11" t="n">
        <v>44960</v>
      </c>
      <c r="B31" s="12" t="n">
        <v>86.54064200000001</v>
      </c>
      <c r="C31" s="12" t="n">
        <v>87.150536</v>
      </c>
      <c r="D31" s="12" t="n">
        <v>574.5</v>
      </c>
      <c r="E31" s="13">
        <f>100*B31/B$7</f>
        <v/>
      </c>
      <c r="F31" s="13">
        <f>100*C31/C$7</f>
        <v/>
      </c>
      <c r="G31" s="13">
        <f>100*D31/D$7</f>
        <v/>
      </c>
    </row>
    <row r="32">
      <c r="A32" s="11" t="n">
        <v>44963</v>
      </c>
      <c r="B32" s="12" t="n">
        <v>85.82466100000001</v>
      </c>
      <c r="C32" s="12" t="n">
        <v>86.39923899999999</v>
      </c>
      <c r="D32" s="12" t="n">
        <v>574.190002</v>
      </c>
      <c r="E32" s="13">
        <f>100*B32/B$7</f>
        <v/>
      </c>
      <c r="F32" s="13">
        <f>100*C32/C$7</f>
        <v/>
      </c>
      <c r="G32" s="13">
        <f>100*D32/D$7</f>
        <v/>
      </c>
    </row>
    <row r="33">
      <c r="A33" s="11" t="n">
        <v>44964</v>
      </c>
      <c r="B33" s="12" t="n">
        <v>86.73848700000001</v>
      </c>
      <c r="C33" s="12" t="n">
        <v>86.18712600000001</v>
      </c>
      <c r="D33" s="12" t="n">
        <v>587.8599850000001</v>
      </c>
      <c r="E33" s="13">
        <f>100*B33/B$7</f>
        <v/>
      </c>
      <c r="F33" s="13">
        <f>100*C33/C$7</f>
        <v/>
      </c>
      <c r="G33" s="13">
        <f>100*D33/D$7</f>
        <v/>
      </c>
    </row>
    <row r="34">
      <c r="A34" s="11" t="n">
        <v>44965</v>
      </c>
      <c r="B34" s="12" t="n">
        <v>85.994232</v>
      </c>
      <c r="C34" s="12" t="n">
        <v>86.50528</v>
      </c>
      <c r="D34" s="12" t="n">
        <v>592.080017</v>
      </c>
      <c r="E34" s="13">
        <f>100*B34/B$7</f>
        <v/>
      </c>
      <c r="F34" s="13">
        <f>100*C34/C$7</f>
        <v/>
      </c>
      <c r="G34" s="13">
        <f>100*D34/D$7</f>
        <v/>
      </c>
    </row>
    <row r="35">
      <c r="A35" s="11" t="n">
        <v>44966</v>
      </c>
      <c r="B35" s="12" t="n">
        <v>85.617401</v>
      </c>
      <c r="C35" s="12" t="n">
        <v>86.116394</v>
      </c>
      <c r="D35" s="12" t="n">
        <v>589.22998</v>
      </c>
      <c r="E35" s="13">
        <f>100*B35/B$7</f>
        <v/>
      </c>
      <c r="F35" s="13">
        <f>100*C35/C$7</f>
        <v/>
      </c>
      <c r="G35" s="13">
        <f>100*D35/D$7</f>
        <v/>
      </c>
    </row>
    <row r="36">
      <c r="A36" s="11" t="n">
        <v>44967</v>
      </c>
      <c r="B36" s="12" t="n">
        <v>85.54203</v>
      </c>
      <c r="C36" s="12" t="n">
        <v>85.70098900000001</v>
      </c>
      <c r="D36" s="12" t="n">
        <v>597.599976</v>
      </c>
      <c r="E36" s="13">
        <f>100*B36/B$7</f>
        <v/>
      </c>
      <c r="F36" s="13">
        <f>100*C36/C$7</f>
        <v/>
      </c>
      <c r="G36" s="13">
        <f>100*D36/D$7</f>
        <v/>
      </c>
    </row>
    <row r="37">
      <c r="A37" s="11" t="n">
        <v>44970</v>
      </c>
      <c r="B37" s="12" t="n">
        <v>86.446449</v>
      </c>
      <c r="C37" s="12" t="n">
        <v>85.90424299999999</v>
      </c>
      <c r="D37" s="12" t="n">
        <v>599.679993</v>
      </c>
      <c r="E37" s="13">
        <f>100*B37/B$7</f>
        <v/>
      </c>
      <c r="F37" s="13">
        <f>100*C37/C$7</f>
        <v/>
      </c>
      <c r="G37" s="13">
        <f>100*D37/D$7</f>
        <v/>
      </c>
    </row>
    <row r="38">
      <c r="A38" s="11" t="n">
        <v>44971</v>
      </c>
      <c r="B38" s="12" t="n">
        <v>86.49354599999999</v>
      </c>
      <c r="C38" s="12" t="n">
        <v>85.515381</v>
      </c>
      <c r="D38" s="12" t="n">
        <v>597.599976</v>
      </c>
      <c r="E38" s="13">
        <f>100*B38/B$7</f>
        <v/>
      </c>
      <c r="F38" s="13">
        <f>100*C38/C$7</f>
        <v/>
      </c>
      <c r="G38" s="13">
        <f>100*D38/D$7</f>
        <v/>
      </c>
    </row>
    <row r="39">
      <c r="A39" s="11" t="n">
        <v>44972</v>
      </c>
      <c r="B39" s="12" t="n">
        <v>86.550079</v>
      </c>
      <c r="C39" s="12" t="n">
        <v>85.259041</v>
      </c>
      <c r="D39" s="12" t="n">
        <v>591.809998</v>
      </c>
      <c r="E39" s="13">
        <f>100*B39/B$7</f>
        <v/>
      </c>
      <c r="F39" s="13">
        <f>100*C39/C$7</f>
        <v/>
      </c>
      <c r="G39" s="13">
        <f>100*D39/D$7</f>
        <v/>
      </c>
    </row>
    <row r="40">
      <c r="A40" s="11" t="n">
        <v>44973</v>
      </c>
      <c r="B40" s="12" t="n">
        <v>85.673935</v>
      </c>
      <c r="C40" s="12" t="n">
        <v>84.976173</v>
      </c>
      <c r="D40" s="12" t="n">
        <v>590.619995</v>
      </c>
      <c r="E40" s="13">
        <f>100*B40/B$7</f>
        <v/>
      </c>
      <c r="F40" s="13">
        <f>100*C40/C$7</f>
        <v/>
      </c>
      <c r="G40" s="13">
        <f>100*D40/D$7</f>
        <v/>
      </c>
    </row>
    <row r="41">
      <c r="A41" s="11" t="n">
        <v>44974</v>
      </c>
      <c r="B41" s="12" t="n">
        <v>85.45723700000001</v>
      </c>
      <c r="C41" s="12" t="n">
        <v>85.214851</v>
      </c>
      <c r="D41" s="12" t="n">
        <v>581.51001</v>
      </c>
      <c r="E41" s="13">
        <f>100*B41/B$7</f>
        <v/>
      </c>
      <c r="F41" s="13">
        <f>100*C41/C$7</f>
        <v/>
      </c>
      <c r="G41" s="13">
        <f>100*D41/D$7</f>
        <v/>
      </c>
    </row>
    <row r="42">
      <c r="A42" s="11" t="n">
        <v>44977</v>
      </c>
      <c r="B42" s="12" t="n">
        <v>85.45723700000001</v>
      </c>
      <c r="C42" s="12" t="n">
        <v>85.214851</v>
      </c>
      <c r="D42" s="12" t="n">
        <v>581.51001</v>
      </c>
      <c r="E42" s="13">
        <f>100*B42/B$7</f>
        <v/>
      </c>
      <c r="F42" s="13">
        <f>100*C42/C$7</f>
        <v/>
      </c>
      <c r="G42" s="13">
        <f>100*D42/D$7</f>
        <v/>
      </c>
    </row>
    <row r="43">
      <c r="A43" s="11" t="n">
        <v>44978</v>
      </c>
      <c r="B43" s="12" t="n">
        <v>83.99700900000001</v>
      </c>
      <c r="C43" s="12" t="n">
        <v>84.286766</v>
      </c>
      <c r="D43" s="12" t="n">
        <v>584.309998</v>
      </c>
      <c r="E43" s="13">
        <f>100*B43/B$7</f>
        <v/>
      </c>
      <c r="F43" s="13">
        <f>100*C43/C$7</f>
        <v/>
      </c>
      <c r="G43" s="13">
        <f>100*D43/D$7</f>
        <v/>
      </c>
    </row>
    <row r="44">
      <c r="A44" s="11" t="n">
        <v>44979</v>
      </c>
      <c r="B44" s="12" t="n">
        <v>83.77089700000001</v>
      </c>
      <c r="C44" s="12" t="n">
        <v>84.437027</v>
      </c>
      <c r="D44" s="12" t="n">
        <v>573.820007</v>
      </c>
      <c r="E44" s="13">
        <f>100*B44/B$7</f>
        <v/>
      </c>
      <c r="F44" s="13">
        <f>100*C44/C$7</f>
        <v/>
      </c>
      <c r="G44" s="13">
        <f>100*D44/D$7</f>
        <v/>
      </c>
    </row>
    <row r="45">
      <c r="A45" s="11" t="n">
        <v>44980</v>
      </c>
      <c r="B45" s="12" t="n">
        <v>84.17600299999999</v>
      </c>
      <c r="C45" s="12" t="n">
        <v>84.764038</v>
      </c>
      <c r="D45" s="12" t="n">
        <v>576.179993</v>
      </c>
      <c r="E45" s="13">
        <f>100*B45/B$7</f>
        <v/>
      </c>
      <c r="F45" s="13">
        <f>100*C45/C$7</f>
        <v/>
      </c>
      <c r="G45" s="13">
        <f>100*D45/D$7</f>
        <v/>
      </c>
    </row>
    <row r="46">
      <c r="A46" s="11" t="n">
        <v>44981</v>
      </c>
      <c r="B46" s="12" t="n">
        <v>83.054901</v>
      </c>
      <c r="C46" s="12" t="n">
        <v>84.25140399999999</v>
      </c>
      <c r="D46" s="12" t="n">
        <v>577.580017</v>
      </c>
      <c r="E46" s="13">
        <f>100*B46/B$7</f>
        <v/>
      </c>
      <c r="F46" s="13">
        <f>100*C46/C$7</f>
        <v/>
      </c>
      <c r="G46" s="13">
        <f>100*D46/D$7</f>
        <v/>
      </c>
    </row>
    <row r="47">
      <c r="A47" s="11" t="n">
        <v>44984</v>
      </c>
      <c r="B47" s="12" t="n">
        <v>83.544792</v>
      </c>
      <c r="C47" s="12" t="n">
        <v>84.507767</v>
      </c>
      <c r="D47" s="12" t="n">
        <v>577.52002</v>
      </c>
      <c r="E47" s="13">
        <f>100*B47/B$7</f>
        <v/>
      </c>
      <c r="F47" s="13">
        <f>100*C47/C$7</f>
        <v/>
      </c>
      <c r="G47" s="13">
        <f>100*D47/D$7</f>
        <v/>
      </c>
    </row>
    <row r="48">
      <c r="A48" s="11" t="n">
        <v>44985</v>
      </c>
      <c r="B48" s="12" t="n">
        <v>83.11144299999999</v>
      </c>
      <c r="C48" s="12" t="n">
        <v>84.640343</v>
      </c>
      <c r="D48" s="12" t="n">
        <v>581.869995</v>
      </c>
      <c r="E48" s="13">
        <f>100*B48/B$7</f>
        <v/>
      </c>
      <c r="F48" s="13">
        <f>100*C48/C$7</f>
        <v/>
      </c>
      <c r="G48" s="13">
        <f>100*D48/D$7</f>
        <v/>
      </c>
    </row>
    <row r="49">
      <c r="A49" s="11" t="n">
        <v>44986</v>
      </c>
      <c r="B49" s="12" t="n">
        <v>83.290413</v>
      </c>
      <c r="C49" s="12" t="n">
        <v>83.963623</v>
      </c>
      <c r="D49" s="12" t="n">
        <v>587.869995</v>
      </c>
      <c r="E49" s="13">
        <f>100*B49/B$7</f>
        <v/>
      </c>
      <c r="F49" s="13">
        <f>100*C49/C$7</f>
        <v/>
      </c>
      <c r="G49" s="13">
        <f>100*D49/D$7</f>
        <v/>
      </c>
    </row>
    <row r="50">
      <c r="A50" s="11" t="n">
        <v>44987</v>
      </c>
      <c r="B50" s="12" t="n">
        <v>83.742645</v>
      </c>
      <c r="C50" s="12" t="n">
        <v>83.61824</v>
      </c>
      <c r="D50" s="12" t="n">
        <v>588.119995</v>
      </c>
      <c r="E50" s="13">
        <f>100*B50/B$7</f>
        <v/>
      </c>
      <c r="F50" s="13">
        <f>100*C50/C$7</f>
        <v/>
      </c>
      <c r="G50" s="13">
        <f>100*D50/D$7</f>
        <v/>
      </c>
    </row>
    <row r="51">
      <c r="A51" s="11" t="n">
        <v>44988</v>
      </c>
      <c r="B51" s="12" t="n">
        <v>85.00505099999999</v>
      </c>
      <c r="C51" s="12" t="n">
        <v>84.29136699999999</v>
      </c>
      <c r="D51" s="12" t="n">
        <v>595.849976</v>
      </c>
      <c r="E51" s="13">
        <f>100*B51/B$7</f>
        <v/>
      </c>
      <c r="F51" s="13">
        <f>100*C51/C$7</f>
        <v/>
      </c>
      <c r="G51" s="13">
        <f>100*D51/D$7</f>
        <v/>
      </c>
    </row>
    <row r="52">
      <c r="A52" s="11" t="n">
        <v>44991</v>
      </c>
      <c r="B52" s="12" t="n">
        <v>84.948509</v>
      </c>
      <c r="C52" s="12" t="n">
        <v>84.140793</v>
      </c>
      <c r="D52" s="12" t="n">
        <v>594.23999</v>
      </c>
      <c r="E52" s="13">
        <f>100*B52/B$7</f>
        <v/>
      </c>
      <c r="F52" s="13">
        <f>100*C52/C$7</f>
        <v/>
      </c>
      <c r="G52" s="13">
        <f>100*D52/D$7</f>
        <v/>
      </c>
    </row>
    <row r="53">
      <c r="A53" s="11" t="n">
        <v>44992</v>
      </c>
      <c r="B53" s="12" t="n">
        <v>83.610741</v>
      </c>
      <c r="C53" s="12" t="n">
        <v>84.149658</v>
      </c>
      <c r="D53" s="12" t="n">
        <v>582.01001</v>
      </c>
      <c r="E53" s="13">
        <f>100*B53/B$7</f>
        <v/>
      </c>
      <c r="F53" s="13">
        <f>100*C53/C$7</f>
        <v/>
      </c>
      <c r="G53" s="13">
        <f>100*D53/D$7</f>
        <v/>
      </c>
    </row>
    <row r="54">
      <c r="A54" s="11" t="n">
        <v>44993</v>
      </c>
      <c r="B54" s="12" t="n">
        <v>83.789734</v>
      </c>
      <c r="C54" s="12" t="n">
        <v>84.123085</v>
      </c>
      <c r="D54" s="12" t="n">
        <v>577.659973</v>
      </c>
      <c r="E54" s="13">
        <f>100*B54/B$7</f>
        <v/>
      </c>
      <c r="F54" s="13">
        <f>100*C54/C$7</f>
        <v/>
      </c>
      <c r="G54" s="13">
        <f>100*D54/D$7</f>
        <v/>
      </c>
    </row>
    <row r="55">
      <c r="A55" s="11" t="n">
        <v>44994</v>
      </c>
      <c r="B55" s="12" t="n">
        <v>82.44253500000001</v>
      </c>
      <c r="C55" s="12" t="n">
        <v>84.64563</v>
      </c>
      <c r="D55" s="12" t="n">
        <v>570.8599850000001</v>
      </c>
      <c r="E55" s="13">
        <f>100*B55/B$7</f>
        <v/>
      </c>
      <c r="F55" s="13">
        <f>100*C55/C$7</f>
        <v/>
      </c>
      <c r="G55" s="13">
        <f>100*D55/D$7</f>
        <v/>
      </c>
    </row>
    <row r="56">
      <c r="A56" s="11" t="n">
        <v>44995</v>
      </c>
      <c r="B56" s="12" t="n">
        <v>81.359138</v>
      </c>
      <c r="C56" s="12" t="n">
        <v>86.20443</v>
      </c>
      <c r="D56" s="12" t="n">
        <v>575.919983</v>
      </c>
      <c r="E56" s="13">
        <f>100*B56/B$7</f>
        <v/>
      </c>
      <c r="F56" s="13">
        <f>100*C56/C$7</f>
        <v/>
      </c>
      <c r="G56" s="13">
        <f>100*D56/D$7</f>
        <v/>
      </c>
    </row>
    <row r="57">
      <c r="A57" s="11" t="n">
        <v>44998</v>
      </c>
      <c r="B57" s="12" t="n">
        <v>81.151878</v>
      </c>
      <c r="C57" s="12" t="n">
        <v>87.249565</v>
      </c>
      <c r="D57" s="12" t="n">
        <v>570.799988</v>
      </c>
      <c r="E57" s="13">
        <f>100*B57/B$7</f>
        <v/>
      </c>
      <c r="F57" s="13">
        <f>100*C57/C$7</f>
        <v/>
      </c>
      <c r="G57" s="13">
        <f>100*D57/D$7</f>
        <v/>
      </c>
    </row>
    <row r="58">
      <c r="A58" s="11" t="n">
        <v>44999</v>
      </c>
      <c r="B58" s="12" t="n">
        <v>82.272964</v>
      </c>
      <c r="C58" s="12" t="n">
        <v>86.42585800000001</v>
      </c>
      <c r="D58" s="12" t="n">
        <v>559.789978</v>
      </c>
      <c r="E58" s="13">
        <f>100*B58/B$7</f>
        <v/>
      </c>
      <c r="F58" s="13">
        <f>100*C58/C$7</f>
        <v/>
      </c>
      <c r="G58" s="13">
        <f>100*D58/D$7</f>
        <v/>
      </c>
    </row>
    <row r="59">
      <c r="A59" s="11" t="n">
        <v>45000</v>
      </c>
      <c r="B59" s="12" t="n">
        <v>81.13304100000001</v>
      </c>
      <c r="C59" s="12" t="n">
        <v>87.67469800000001</v>
      </c>
      <c r="D59" s="12" t="n">
        <v>540.659973</v>
      </c>
      <c r="E59" s="13">
        <f>100*B59/B$7</f>
        <v/>
      </c>
      <c r="F59" s="13">
        <f>100*C59/C$7</f>
        <v/>
      </c>
      <c r="G59" s="13">
        <f>100*D59/D$7</f>
        <v/>
      </c>
    </row>
    <row r="60">
      <c r="A60" s="11" t="n">
        <v>45001</v>
      </c>
      <c r="B60" s="12" t="n">
        <v>82.451958</v>
      </c>
      <c r="C60" s="12" t="n">
        <v>86.886444</v>
      </c>
      <c r="D60" s="12" t="n">
        <v>545.26001</v>
      </c>
      <c r="E60" s="13">
        <f>100*B60/B$7</f>
        <v/>
      </c>
      <c r="F60" s="13">
        <f>100*C60/C$7</f>
        <v/>
      </c>
      <c r="G60" s="13">
        <f>100*D60/D$7</f>
        <v/>
      </c>
    </row>
    <row r="61">
      <c r="A61" s="11" t="n">
        <v>45002</v>
      </c>
      <c r="B61" s="12" t="n">
        <v>81.556984</v>
      </c>
      <c r="C61" s="12" t="n">
        <v>87.91383399999999</v>
      </c>
      <c r="D61" s="12" t="n">
        <v>541.619995</v>
      </c>
      <c r="E61" s="13">
        <f>100*B61/B$7</f>
        <v/>
      </c>
      <c r="F61" s="13">
        <f>100*C61/C$7</f>
        <v/>
      </c>
      <c r="G61" s="13">
        <f>100*D61/D$7</f>
        <v/>
      </c>
    </row>
    <row r="62">
      <c r="A62" s="11" t="n">
        <v>45005</v>
      </c>
      <c r="B62" s="12" t="n">
        <v>82.348343</v>
      </c>
      <c r="C62" s="12" t="n">
        <v>87.559532</v>
      </c>
      <c r="D62" s="12" t="n">
        <v>543.450012</v>
      </c>
      <c r="E62" s="13">
        <f>100*B62/B$7</f>
        <v/>
      </c>
      <c r="F62" s="13">
        <f>100*C62/C$7</f>
        <v/>
      </c>
      <c r="G62" s="13">
        <f>100*D62/D$7</f>
        <v/>
      </c>
    </row>
    <row r="63">
      <c r="A63" s="11" t="n">
        <v>45006</v>
      </c>
      <c r="B63" s="12" t="n">
        <v>83.44117</v>
      </c>
      <c r="C63" s="12" t="n">
        <v>86.79789700000001</v>
      </c>
      <c r="D63" s="12" t="n">
        <v>548.280029</v>
      </c>
      <c r="E63" s="13">
        <f>100*B63/B$7</f>
        <v/>
      </c>
      <c r="F63" s="13">
        <f>100*C63/C$7</f>
        <v/>
      </c>
      <c r="G63" s="13">
        <f>100*D63/D$7</f>
        <v/>
      </c>
    </row>
    <row r="64">
      <c r="A64" s="11" t="n">
        <v>45007</v>
      </c>
      <c r="B64" s="12" t="n">
        <v>82.546165</v>
      </c>
      <c r="C64" s="12" t="n">
        <v>87.940399</v>
      </c>
      <c r="D64" s="12" t="n">
        <v>552.460022</v>
      </c>
      <c r="E64" s="13">
        <f>100*B64/B$7</f>
        <v/>
      </c>
      <c r="F64" s="13">
        <f>100*C64/C$7</f>
        <v/>
      </c>
      <c r="G64" s="13">
        <f>100*D64/D$7</f>
        <v/>
      </c>
    </row>
    <row r="65">
      <c r="A65" s="11" t="n">
        <v>45008</v>
      </c>
      <c r="B65" s="12" t="n">
        <v>82.762856</v>
      </c>
      <c r="C65" s="12" t="n">
        <v>88.445251</v>
      </c>
      <c r="D65" s="12" t="n">
        <v>550.159973</v>
      </c>
      <c r="E65" s="13">
        <f>100*B65/B$7</f>
        <v/>
      </c>
      <c r="F65" s="13">
        <f>100*C65/C$7</f>
        <v/>
      </c>
      <c r="G65" s="13">
        <f>100*D65/D$7</f>
        <v/>
      </c>
    </row>
    <row r="66">
      <c r="A66" s="11" t="n">
        <v>45009</v>
      </c>
      <c r="B66" s="12" t="n">
        <v>82.96069300000001</v>
      </c>
      <c r="C66" s="12" t="n">
        <v>88.471825</v>
      </c>
      <c r="D66" s="12" t="n">
        <v>549.380005</v>
      </c>
      <c r="E66" s="13">
        <f>100*B66/B$7</f>
        <v/>
      </c>
      <c r="F66" s="13">
        <f>100*C66/C$7</f>
        <v/>
      </c>
      <c r="G66" s="13">
        <f>100*D66/D$7</f>
        <v/>
      </c>
    </row>
    <row r="67">
      <c r="A67" s="11" t="n">
        <v>45012</v>
      </c>
      <c r="B67" s="12" t="n">
        <v>83.25273900000001</v>
      </c>
      <c r="C67" s="12" t="n">
        <v>87.382431</v>
      </c>
      <c r="D67" s="12" t="n">
        <v>562.619995</v>
      </c>
      <c r="E67" s="13">
        <f>100*B67/B$7</f>
        <v/>
      </c>
      <c r="F67" s="13">
        <f>100*C67/C$7</f>
        <v/>
      </c>
      <c r="G67" s="13">
        <f>100*D67/D$7</f>
        <v/>
      </c>
    </row>
    <row r="68">
      <c r="A68" s="11" t="n">
        <v>45013</v>
      </c>
      <c r="B68" s="12" t="n">
        <v>83.32811</v>
      </c>
      <c r="C68" s="12" t="n">
        <v>87.329277</v>
      </c>
      <c r="D68" s="12" t="n">
        <v>565.830017</v>
      </c>
      <c r="E68" s="13">
        <f>100*B68/B$7</f>
        <v/>
      </c>
      <c r="F68" s="13">
        <f>100*C68/C$7</f>
        <v/>
      </c>
      <c r="G68" s="13">
        <f>100*D68/D$7</f>
        <v/>
      </c>
    </row>
    <row r="69">
      <c r="A69" s="11" t="n">
        <v>45014</v>
      </c>
      <c r="B69" s="12" t="n">
        <v>84.34556600000001</v>
      </c>
      <c r="C69" s="12" t="n">
        <v>87.178696</v>
      </c>
      <c r="D69" s="12" t="n">
        <v>563.219971</v>
      </c>
      <c r="E69" s="13">
        <f>100*B69/B$7</f>
        <v/>
      </c>
      <c r="F69" s="13">
        <f>100*C69/C$7</f>
        <v/>
      </c>
      <c r="G69" s="13">
        <f>100*D69/D$7</f>
        <v/>
      </c>
    </row>
    <row r="70">
      <c r="A70" s="11" t="n">
        <v>45015</v>
      </c>
      <c r="B70" s="12" t="n">
        <v>85.033295</v>
      </c>
      <c r="C70" s="12" t="n">
        <v>87.311562</v>
      </c>
      <c r="D70" s="12" t="n">
        <v>566.650024</v>
      </c>
      <c r="E70" s="13">
        <f>100*B70/B$7</f>
        <v/>
      </c>
      <c r="F70" s="13">
        <f>100*C70/C$7</f>
        <v/>
      </c>
      <c r="G70" s="13">
        <f>100*D70/D$7</f>
        <v/>
      </c>
    </row>
    <row r="71">
      <c r="A71" s="11" t="n">
        <v>45016</v>
      </c>
      <c r="B71" s="12" t="n">
        <v>85.881187</v>
      </c>
      <c r="C71" s="12" t="n">
        <v>87.789841</v>
      </c>
      <c r="D71" s="12" t="n">
        <v>574.02002</v>
      </c>
      <c r="E71" s="13">
        <f>100*B71/B$7</f>
        <v/>
      </c>
      <c r="F71" s="13">
        <f>100*C71/C$7</f>
        <v/>
      </c>
      <c r="G71" s="13">
        <f>100*D71/D$7</f>
        <v/>
      </c>
    </row>
    <row r="72">
      <c r="A72" s="11" t="n">
        <v>45019</v>
      </c>
      <c r="B72" s="12" t="n">
        <v>86.380501</v>
      </c>
      <c r="C72" s="12" t="n">
        <v>88.203384</v>
      </c>
      <c r="D72" s="12" t="n">
        <v>589.849976</v>
      </c>
      <c r="E72" s="13">
        <f>100*B72/B$7</f>
        <v/>
      </c>
      <c r="F72" s="13">
        <f>100*C72/C$7</f>
        <v/>
      </c>
      <c r="G72" s="13">
        <f>100*D72/D$7</f>
        <v/>
      </c>
    </row>
    <row r="73">
      <c r="A73" s="11" t="n">
        <v>45020</v>
      </c>
      <c r="B73" s="12" t="n">
        <v>86.079025</v>
      </c>
      <c r="C73" s="12" t="n">
        <v>88.77132400000001</v>
      </c>
      <c r="D73" s="12" t="n">
        <v>588.349976</v>
      </c>
      <c r="E73" s="13">
        <f>100*B73/B$7</f>
        <v/>
      </c>
      <c r="F73" s="13">
        <f>100*C73/C$7</f>
        <v/>
      </c>
      <c r="G73" s="13">
        <f>100*D73/D$7</f>
        <v/>
      </c>
    </row>
    <row r="74">
      <c r="A74" s="11" t="n">
        <v>45021</v>
      </c>
      <c r="B74" s="12" t="n">
        <v>85.63623</v>
      </c>
      <c r="C74" s="12" t="n">
        <v>89.14408899999999</v>
      </c>
      <c r="D74" s="12" t="n">
        <v>590.150024</v>
      </c>
      <c r="E74" s="13">
        <f>100*B74/B$7</f>
        <v/>
      </c>
      <c r="F74" s="13">
        <f>100*C74/C$7</f>
        <v/>
      </c>
      <c r="G74" s="13">
        <f>100*D74/D$7</f>
        <v/>
      </c>
    </row>
    <row r="75">
      <c r="A75" s="11" t="n">
        <v>45022</v>
      </c>
      <c r="B75" s="12" t="n">
        <v>85.975403</v>
      </c>
      <c r="C75" s="12" t="n">
        <v>89.170708</v>
      </c>
      <c r="D75" s="12" t="n">
        <v>588.690002</v>
      </c>
      <c r="E75" s="13">
        <f>100*B75/B$7</f>
        <v/>
      </c>
      <c r="F75" s="13">
        <f>100*C75/C$7</f>
        <v/>
      </c>
      <c r="G75" s="13">
        <f>100*D75/D$7</f>
        <v/>
      </c>
    </row>
    <row r="76">
      <c r="A76" s="11" t="n">
        <v>45023</v>
      </c>
      <c r="B76" s="12" t="n">
        <v>85.975403</v>
      </c>
      <c r="C76" s="12" t="n">
        <v>89.170708</v>
      </c>
      <c r="D76" s="12" t="n">
        <v>588.690002</v>
      </c>
      <c r="E76" s="13">
        <f>100*B76/B$7</f>
        <v/>
      </c>
      <c r="F76" s="13">
        <f>100*C76/C$7</f>
        <v/>
      </c>
      <c r="G76" s="13">
        <f>100*D76/D$7</f>
        <v/>
      </c>
    </row>
    <row r="77">
      <c r="A77" s="11" t="n">
        <v>45026</v>
      </c>
      <c r="B77" s="12" t="n">
        <v>86.031914</v>
      </c>
      <c r="C77" s="12" t="n">
        <v>88.292114</v>
      </c>
      <c r="D77" s="12" t="n">
        <v>586.919983</v>
      </c>
      <c r="E77" s="13">
        <f>100*B77/B$7</f>
        <v/>
      </c>
      <c r="F77" s="13">
        <f>100*C77/C$7</f>
        <v/>
      </c>
      <c r="G77" s="13">
        <f>100*D77/D$7</f>
        <v/>
      </c>
    </row>
    <row r="78">
      <c r="A78" s="11" t="n">
        <v>45027</v>
      </c>
      <c r="B78" s="12" t="n">
        <v>86.201492</v>
      </c>
      <c r="C78" s="12" t="n">
        <v>88.25664500000001</v>
      </c>
      <c r="D78" s="12" t="n">
        <v>592.030029</v>
      </c>
      <c r="E78" s="13">
        <f>100*B78/B$7</f>
        <v/>
      </c>
      <c r="F78" s="13">
        <f>100*C78/C$7</f>
        <v/>
      </c>
      <c r="G78" s="13">
        <f>100*D78/D$7</f>
        <v/>
      </c>
    </row>
    <row r="79">
      <c r="A79" s="11" t="n">
        <v>45028</v>
      </c>
      <c r="B79" s="12" t="n">
        <v>86.060181</v>
      </c>
      <c r="C79" s="12" t="n">
        <v>88.51398500000001</v>
      </c>
      <c r="D79" s="12" t="n">
        <v>597.72998</v>
      </c>
      <c r="E79" s="13">
        <f>100*B79/B$7</f>
        <v/>
      </c>
      <c r="F79" s="13">
        <f>100*C79/C$7</f>
        <v/>
      </c>
      <c r="G79" s="13">
        <f>100*D79/D$7</f>
        <v/>
      </c>
    </row>
    <row r="80">
      <c r="A80" s="11" t="n">
        <v>45029</v>
      </c>
      <c r="B80" s="12" t="n">
        <v>87.209526</v>
      </c>
      <c r="C80" s="12" t="n">
        <v>88.221146</v>
      </c>
      <c r="D80" s="12" t="n">
        <v>593.719971</v>
      </c>
      <c r="E80" s="13">
        <f>100*B80/B$7</f>
        <v/>
      </c>
      <c r="F80" s="13">
        <f>100*C80/C$7</f>
        <v/>
      </c>
      <c r="G80" s="13">
        <f>100*D80/D$7</f>
        <v/>
      </c>
    </row>
    <row r="81">
      <c r="A81" s="11" t="n">
        <v>45030</v>
      </c>
      <c r="B81" s="12" t="n">
        <v>86.95517700000001</v>
      </c>
      <c r="C81" s="12" t="n">
        <v>87.78630099999999</v>
      </c>
      <c r="D81" s="12" t="n">
        <v>594.900024</v>
      </c>
      <c r="E81" s="13">
        <f>100*B81/B$7</f>
        <v/>
      </c>
      <c r="F81" s="13">
        <f>100*C81/C$7</f>
        <v/>
      </c>
      <c r="G81" s="13">
        <f>100*D81/D$7</f>
        <v/>
      </c>
    </row>
    <row r="82">
      <c r="A82" s="11" t="n">
        <v>45033</v>
      </c>
      <c r="B82" s="12" t="n">
        <v>87.115334</v>
      </c>
      <c r="C82" s="12" t="n">
        <v>87.227203</v>
      </c>
      <c r="D82" s="12" t="n">
        <v>591.3900149999999</v>
      </c>
      <c r="E82" s="13">
        <f>100*B82/B$7</f>
        <v/>
      </c>
      <c r="F82" s="13">
        <f>100*C82/C$7</f>
        <v/>
      </c>
      <c r="G82" s="13">
        <f>100*D82/D$7</f>
        <v/>
      </c>
    </row>
    <row r="83">
      <c r="A83" s="11" t="n">
        <v>45034</v>
      </c>
      <c r="B83" s="12" t="n">
        <v>87.275475</v>
      </c>
      <c r="C83" s="12" t="n">
        <v>87.369164</v>
      </c>
      <c r="D83" s="12" t="n">
        <v>593.159973</v>
      </c>
      <c r="E83" s="13">
        <f>100*B83/B$7</f>
        <v/>
      </c>
      <c r="F83" s="13">
        <f>100*C83/C$7</f>
        <v/>
      </c>
      <c r="G83" s="13">
        <f>100*D83/D$7</f>
        <v/>
      </c>
    </row>
    <row r="84">
      <c r="A84" s="11" t="n">
        <v>45035</v>
      </c>
      <c r="B84" s="12" t="n">
        <v>87.096481</v>
      </c>
      <c r="C84" s="12" t="n">
        <v>87.182816</v>
      </c>
      <c r="D84" s="12" t="n">
        <v>583.659973</v>
      </c>
      <c r="E84" s="13">
        <f>100*B84/B$7</f>
        <v/>
      </c>
      <c r="F84" s="13">
        <f>100*C84/C$7</f>
        <v/>
      </c>
      <c r="G84" s="13">
        <f>100*D84/D$7</f>
        <v/>
      </c>
    </row>
    <row r="85">
      <c r="A85" s="11" t="n">
        <v>45036</v>
      </c>
      <c r="B85" s="12" t="n">
        <v>86.776169</v>
      </c>
      <c r="C85" s="12" t="n">
        <v>87.68868999999999</v>
      </c>
      <c r="D85" s="12" t="n">
        <v>574.299988</v>
      </c>
      <c r="E85" s="13">
        <f>100*B85/B$7</f>
        <v/>
      </c>
      <c r="F85" s="13">
        <f>100*C85/C$7</f>
        <v/>
      </c>
      <c r="G85" s="13">
        <f>100*D85/D$7</f>
        <v/>
      </c>
    </row>
    <row r="86">
      <c r="A86" s="11" t="n">
        <v>45037</v>
      </c>
      <c r="B86" s="12" t="n">
        <v>86.832695</v>
      </c>
      <c r="C86" s="12" t="n">
        <v>87.475685</v>
      </c>
      <c r="D86" s="12" t="n">
        <v>573.900024</v>
      </c>
      <c r="E86" s="13">
        <f>100*B86/B$7</f>
        <v/>
      </c>
      <c r="F86" s="13">
        <f>100*C86/C$7</f>
        <v/>
      </c>
      <c r="G86" s="13">
        <f>100*D86/D$7</f>
        <v/>
      </c>
    </row>
    <row r="87">
      <c r="A87" s="11" t="n">
        <v>45040</v>
      </c>
      <c r="B87" s="12" t="n">
        <v>86.870377</v>
      </c>
      <c r="C87" s="12" t="n">
        <v>87.90164900000001</v>
      </c>
      <c r="D87" s="12" t="n">
        <v>577.580017</v>
      </c>
      <c r="E87" s="13">
        <f>100*B87/B$7</f>
        <v/>
      </c>
      <c r="F87" s="13">
        <f>100*C87/C$7</f>
        <v/>
      </c>
      <c r="G87" s="13">
        <f>100*D87/D$7</f>
        <v/>
      </c>
    </row>
    <row r="88">
      <c r="A88" s="11" t="n">
        <v>45041</v>
      </c>
      <c r="B88" s="12" t="n">
        <v>85.476097</v>
      </c>
      <c r="C88" s="12" t="n">
        <v>88.77132400000001</v>
      </c>
      <c r="D88" s="12" t="n">
        <v>567.960022</v>
      </c>
      <c r="E88" s="13">
        <f>100*B88/B$7</f>
        <v/>
      </c>
      <c r="F88" s="13">
        <f>100*C88/C$7</f>
        <v/>
      </c>
      <c r="G88" s="13">
        <f>100*D88/D$7</f>
        <v/>
      </c>
    </row>
    <row r="89">
      <c r="A89" s="11" t="n">
        <v>45042</v>
      </c>
      <c r="B89" s="12" t="n">
        <v>85.259399</v>
      </c>
      <c r="C89" s="12" t="n">
        <v>88.42525500000001</v>
      </c>
      <c r="D89" s="12" t="n">
        <v>556.940002</v>
      </c>
      <c r="E89" s="13">
        <f>100*B89/B$7</f>
        <v/>
      </c>
      <c r="F89" s="13">
        <f>100*C89/C$7</f>
        <v/>
      </c>
      <c r="G89" s="13">
        <f>100*D89/D$7</f>
        <v/>
      </c>
    </row>
    <row r="90">
      <c r="A90" s="11" t="n">
        <v>45043</v>
      </c>
      <c r="B90" s="12" t="n">
        <v>86.71965</v>
      </c>
      <c r="C90" s="12" t="n">
        <v>87.848412</v>
      </c>
      <c r="D90" s="12" t="n">
        <v>556.26001</v>
      </c>
      <c r="E90" s="13">
        <f>100*B90/B$7</f>
        <v/>
      </c>
      <c r="F90" s="13">
        <f>100*C90/C$7</f>
        <v/>
      </c>
      <c r="G90" s="13">
        <f>100*D90/D$7</f>
        <v/>
      </c>
    </row>
    <row r="91">
      <c r="A91" s="11" t="n">
        <v>45044</v>
      </c>
      <c r="B91" s="12" t="n">
        <v>87.228371</v>
      </c>
      <c r="C91" s="12" t="n">
        <v>88.505112</v>
      </c>
      <c r="D91" s="12" t="n">
        <v>564.969971</v>
      </c>
      <c r="E91" s="13">
        <f>100*B91/B$7</f>
        <v/>
      </c>
      <c r="F91" s="13">
        <f>100*C91/C$7</f>
        <v/>
      </c>
      <c r="G91" s="13">
        <f>100*D91/D$7</f>
        <v/>
      </c>
    </row>
    <row r="92">
      <c r="A92" s="11" t="n">
        <v>45047</v>
      </c>
      <c r="B92" s="12" t="n">
        <v>87.115334</v>
      </c>
      <c r="C92" s="12" t="n">
        <v>87.463455</v>
      </c>
      <c r="D92" s="12" t="n">
        <v>560.1099850000001</v>
      </c>
      <c r="E92" s="13">
        <f>100*B92/B$7</f>
        <v/>
      </c>
      <c r="F92" s="13">
        <f>100*C92/C$7</f>
        <v/>
      </c>
      <c r="G92" s="13">
        <f>100*D92/D$7</f>
        <v/>
      </c>
    </row>
    <row r="93">
      <c r="A93" s="11" t="n">
        <v>45048</v>
      </c>
      <c r="B93" s="12" t="n">
        <v>86.135544</v>
      </c>
      <c r="C93" s="12" t="n">
        <v>88.602097</v>
      </c>
      <c r="D93" s="12" t="n">
        <v>543.27002</v>
      </c>
      <c r="E93" s="13">
        <f>100*B93/B$7</f>
        <v/>
      </c>
      <c r="F93" s="13">
        <f>100*C93/C$7</f>
        <v/>
      </c>
      <c r="G93" s="13">
        <f>100*D93/D$7</f>
        <v/>
      </c>
    </row>
    <row r="94">
      <c r="A94" s="11" t="n">
        <v>45049</v>
      </c>
      <c r="B94" s="12" t="n">
        <v>85.82466100000001</v>
      </c>
      <c r="C94" s="12" t="n">
        <v>89.18029</v>
      </c>
      <c r="D94" s="12" t="n">
        <v>532.070007</v>
      </c>
      <c r="E94" s="13">
        <f>100*B94/B$7</f>
        <v/>
      </c>
      <c r="F94" s="13">
        <f>100*C94/C$7</f>
        <v/>
      </c>
      <c r="G94" s="13">
        <f>100*D94/D$7</f>
        <v/>
      </c>
    </row>
    <row r="95">
      <c r="A95" s="11" t="n">
        <v>45050</v>
      </c>
      <c r="B95" s="12" t="n">
        <v>85.51377100000001</v>
      </c>
      <c r="C95" s="12" t="n">
        <v>89.162498</v>
      </c>
      <c r="D95" s="12" t="n">
        <v>532.77002</v>
      </c>
      <c r="E95" s="13">
        <f>100*B95/B$7</f>
        <v/>
      </c>
      <c r="F95" s="13">
        <f>100*C95/C$7</f>
        <v/>
      </c>
      <c r="G95" s="13">
        <f>100*D95/D$7</f>
        <v/>
      </c>
    </row>
    <row r="96">
      <c r="A96" s="11" t="n">
        <v>45051</v>
      </c>
      <c r="B96" s="12" t="n">
        <v>86.964584</v>
      </c>
      <c r="C96" s="12" t="n">
        <v>88.682159</v>
      </c>
      <c r="D96" s="12" t="n">
        <v>545.590027</v>
      </c>
      <c r="E96" s="13">
        <f>100*B96/B$7</f>
        <v/>
      </c>
      <c r="F96" s="13">
        <f>100*C96/C$7</f>
        <v/>
      </c>
      <c r="G96" s="13">
        <f>100*D96/D$7</f>
        <v/>
      </c>
    </row>
    <row r="97">
      <c r="A97" s="11" t="n">
        <v>45054</v>
      </c>
      <c r="B97" s="12" t="n">
        <v>87.00226600000001</v>
      </c>
      <c r="C97" s="12" t="n">
        <v>88.139481</v>
      </c>
      <c r="D97" s="12" t="n">
        <v>553.52002</v>
      </c>
      <c r="E97" s="13">
        <f>100*B97/B$7</f>
        <v/>
      </c>
      <c r="F97" s="13">
        <f>100*C97/C$7</f>
        <v/>
      </c>
      <c r="G97" s="13">
        <f>100*D97/D$7</f>
        <v/>
      </c>
    </row>
    <row r="98">
      <c r="A98" s="11" t="n">
        <v>45055</v>
      </c>
      <c r="B98" s="12" t="n">
        <v>86.634857</v>
      </c>
      <c r="C98" s="12" t="n">
        <v>88.03273</v>
      </c>
      <c r="D98" s="12" t="n">
        <v>554.169983</v>
      </c>
      <c r="E98" s="13">
        <f>100*B98/B$7</f>
        <v/>
      </c>
      <c r="F98" s="13">
        <f>100*C98/C$7</f>
        <v/>
      </c>
      <c r="G98" s="13">
        <f>100*D98/D$7</f>
        <v/>
      </c>
    </row>
    <row r="99">
      <c r="A99" s="11" t="n">
        <v>45056</v>
      </c>
      <c r="B99" s="12" t="n">
        <v>86.85154</v>
      </c>
      <c r="C99" s="12" t="n">
        <v>88.69103200000001</v>
      </c>
      <c r="D99" s="12" t="n">
        <v>550.52002</v>
      </c>
      <c r="E99" s="13">
        <f>100*B99/B$7</f>
        <v/>
      </c>
      <c r="F99" s="13">
        <f>100*C99/C$7</f>
        <v/>
      </c>
      <c r="G99" s="13">
        <f>100*D99/D$7</f>
        <v/>
      </c>
    </row>
    <row r="100">
      <c r="A100" s="11" t="n">
        <v>45057</v>
      </c>
      <c r="B100" s="12" t="n">
        <v>86.634857</v>
      </c>
      <c r="C100" s="12" t="n">
        <v>89.02018</v>
      </c>
      <c r="D100" s="12" t="n">
        <v>540.700012</v>
      </c>
      <c r="E100" s="13">
        <f>100*B100/B$7</f>
        <v/>
      </c>
      <c r="F100" s="13">
        <f>100*C100/C$7</f>
        <v/>
      </c>
      <c r="G100" s="13">
        <f>100*D100/D$7</f>
        <v/>
      </c>
    </row>
    <row r="101">
      <c r="A101" s="11" t="n">
        <v>45058</v>
      </c>
      <c r="B101" s="12" t="n">
        <v>86.3899</v>
      </c>
      <c r="C101" s="12" t="n">
        <v>88.486465</v>
      </c>
      <c r="D101" s="12" t="n">
        <v>538.909973</v>
      </c>
      <c r="E101" s="13">
        <f>100*B101/B$7</f>
        <v/>
      </c>
      <c r="F101" s="13">
        <f>100*C101/C$7</f>
        <v/>
      </c>
      <c r="G101" s="13">
        <f>100*D101/D$7</f>
        <v/>
      </c>
    </row>
    <row r="102">
      <c r="A102" s="11" t="n">
        <v>45061</v>
      </c>
      <c r="B102" s="12" t="n">
        <v>86.983437</v>
      </c>
      <c r="C102" s="12" t="n">
        <v>88.290741</v>
      </c>
      <c r="D102" s="12" t="n">
        <v>546.380005</v>
      </c>
      <c r="E102" s="13">
        <f>100*B102/B$7</f>
        <v/>
      </c>
      <c r="F102" s="13">
        <f>100*C102/C$7</f>
        <v/>
      </c>
      <c r="G102" s="13">
        <f>100*D102/D$7</f>
        <v/>
      </c>
    </row>
    <row r="103">
      <c r="A103" s="11" t="n">
        <v>45062</v>
      </c>
      <c r="B103" s="12" t="n">
        <v>86.286278</v>
      </c>
      <c r="C103" s="12" t="n">
        <v>88.00608099999999</v>
      </c>
      <c r="D103" s="12" t="n">
        <v>542.669983</v>
      </c>
      <c r="E103" s="13">
        <f>100*B103/B$7</f>
        <v/>
      </c>
      <c r="F103" s="13">
        <f>100*C103/C$7</f>
        <v/>
      </c>
      <c r="G103" s="13">
        <f>100*D103/D$7</f>
        <v/>
      </c>
    </row>
    <row r="104">
      <c r="A104" s="11" t="n">
        <v>45063</v>
      </c>
      <c r="B104" s="12" t="n">
        <v>87.096481</v>
      </c>
      <c r="C104" s="12" t="n">
        <v>87.72141999999999</v>
      </c>
      <c r="D104" s="12" t="n">
        <v>549.27002</v>
      </c>
      <c r="E104" s="13">
        <f>100*B104/B$7</f>
        <v/>
      </c>
      <c r="F104" s="13">
        <f>100*C104/C$7</f>
        <v/>
      </c>
      <c r="G104" s="13">
        <f>100*D104/D$7</f>
        <v/>
      </c>
    </row>
    <row r="105">
      <c r="A105" s="11" t="n">
        <v>45064</v>
      </c>
      <c r="B105" s="12" t="n">
        <v>87.529854</v>
      </c>
      <c r="C105" s="12" t="n">
        <v>87.17878</v>
      </c>
      <c r="D105" s="12" t="n">
        <v>545</v>
      </c>
      <c r="E105" s="13">
        <f>100*B105/B$7</f>
        <v/>
      </c>
      <c r="F105" s="13">
        <f>100*C105/C$7</f>
        <v/>
      </c>
      <c r="G105" s="13">
        <f>100*D105/D$7</f>
        <v/>
      </c>
    </row>
    <row r="106">
      <c r="A106" s="11" t="n">
        <v>45065</v>
      </c>
      <c r="B106" s="12" t="n">
        <v>87.58638000000001</v>
      </c>
      <c r="C106" s="12" t="n">
        <v>86.849609</v>
      </c>
      <c r="D106" s="12" t="n">
        <v>543.419983</v>
      </c>
      <c r="E106" s="13">
        <f>100*B106/B$7</f>
        <v/>
      </c>
      <c r="F106" s="13">
        <f>100*C106/C$7</f>
        <v/>
      </c>
      <c r="G106" s="13">
        <f>100*D106/D$7</f>
        <v/>
      </c>
    </row>
    <row r="107">
      <c r="A107" s="11" t="n">
        <v>45068</v>
      </c>
      <c r="B107" s="12" t="n">
        <v>87.71826900000001</v>
      </c>
      <c r="C107" s="12" t="n">
        <v>86.68946099999999</v>
      </c>
      <c r="D107" s="12" t="n">
        <v>544.440002</v>
      </c>
      <c r="E107" s="13">
        <f>100*B107/B$7</f>
        <v/>
      </c>
      <c r="F107" s="13">
        <f>100*C107/C$7</f>
        <v/>
      </c>
      <c r="G107" s="13">
        <f>100*D107/D$7</f>
        <v/>
      </c>
    </row>
    <row r="108">
      <c r="A108" s="11" t="n">
        <v>45069</v>
      </c>
      <c r="B108" s="12" t="n">
        <v>86.616028</v>
      </c>
      <c r="C108" s="12" t="n">
        <v>86.83182499999999</v>
      </c>
      <c r="D108" s="12" t="n">
        <v>546.469971</v>
      </c>
      <c r="E108" s="13">
        <f>100*B108/B$7</f>
        <v/>
      </c>
      <c r="F108" s="13">
        <f>100*C108/C$7</f>
        <v/>
      </c>
      <c r="G108" s="13">
        <f>100*D108/D$7</f>
        <v/>
      </c>
    </row>
    <row r="109">
      <c r="A109" s="11" t="n">
        <v>45070</v>
      </c>
      <c r="B109" s="12" t="n">
        <v>85.81523900000001</v>
      </c>
      <c r="C109" s="12" t="n">
        <v>86.609421</v>
      </c>
      <c r="D109" s="12" t="n">
        <v>551.25</v>
      </c>
      <c r="E109" s="13">
        <f>100*B109/B$7</f>
        <v/>
      </c>
      <c r="F109" s="13">
        <f>100*C109/C$7</f>
        <v/>
      </c>
      <c r="G109" s="13">
        <f>100*D109/D$7</f>
        <v/>
      </c>
    </row>
    <row r="110">
      <c r="A110" s="11" t="n">
        <v>45071</v>
      </c>
      <c r="B110" s="12" t="n">
        <v>86.163803</v>
      </c>
      <c r="C110" s="12" t="n">
        <v>86.066788</v>
      </c>
      <c r="D110" s="12" t="n">
        <v>541.429993</v>
      </c>
      <c r="E110" s="13">
        <f>100*B110/B$7</f>
        <v/>
      </c>
      <c r="F110" s="13">
        <f>100*C110/C$7</f>
        <v/>
      </c>
      <c r="G110" s="13">
        <f>100*D110/D$7</f>
        <v/>
      </c>
    </row>
    <row r="111">
      <c r="A111" s="11" t="n">
        <v>45072</v>
      </c>
      <c r="B111" s="12" t="n">
        <v>87.29433400000001</v>
      </c>
      <c r="C111" s="12" t="n">
        <v>86.226906</v>
      </c>
      <c r="D111" s="12" t="n">
        <v>546.8599850000001</v>
      </c>
      <c r="E111" s="13">
        <f>100*B111/B$7</f>
        <v/>
      </c>
      <c r="F111" s="13">
        <f>100*C111/C$7</f>
        <v/>
      </c>
      <c r="G111" s="13">
        <f>100*D111/D$7</f>
        <v/>
      </c>
    </row>
    <row r="112">
      <c r="A112" s="11" t="n">
        <v>45075</v>
      </c>
      <c r="B112" s="12" t="n">
        <v>87.29433400000001</v>
      </c>
      <c r="C112" s="12" t="n">
        <v>86.226906</v>
      </c>
      <c r="D112" s="12" t="n">
        <v>546.8599850000001</v>
      </c>
      <c r="E112" s="13">
        <f>100*B112/B$7</f>
        <v/>
      </c>
      <c r="F112" s="13">
        <f>100*C112/C$7</f>
        <v/>
      </c>
      <c r="G112" s="13">
        <f>100*D112/D$7</f>
        <v/>
      </c>
    </row>
    <row r="113">
      <c r="A113" s="11" t="n">
        <v>45076</v>
      </c>
      <c r="B113" s="12" t="n">
        <v>86.936317</v>
      </c>
      <c r="C113" s="12" t="n">
        <v>86.903015</v>
      </c>
      <c r="D113" s="12" t="n">
        <v>532.570007</v>
      </c>
      <c r="E113" s="13">
        <f>100*B113/B$7</f>
        <v/>
      </c>
      <c r="F113" s="13">
        <f>100*C113/C$7</f>
        <v/>
      </c>
      <c r="G113" s="13">
        <f>100*D113/D$7</f>
        <v/>
      </c>
    </row>
    <row r="114">
      <c r="A114" s="11" t="n">
        <v>45077</v>
      </c>
      <c r="B114" s="12" t="n">
        <v>86.31455200000001</v>
      </c>
      <c r="C114" s="12" t="n">
        <v>87.23214</v>
      </c>
      <c r="D114" s="12" t="n">
        <v>528.219971</v>
      </c>
      <c r="E114" s="13">
        <f>100*B114/B$7</f>
        <v/>
      </c>
      <c r="F114" s="13">
        <f>100*C114/C$7</f>
        <v/>
      </c>
      <c r="G114" s="13">
        <f>100*D114/D$7</f>
        <v/>
      </c>
    </row>
    <row r="115">
      <c r="A115" s="11" t="n">
        <v>45078</v>
      </c>
      <c r="B115" s="12" t="n">
        <v>87.341415</v>
      </c>
      <c r="C115" s="12" t="n">
        <v>87.474655</v>
      </c>
      <c r="D115" s="12" t="n">
        <v>537.409973</v>
      </c>
      <c r="E115" s="13">
        <f>100*B115/B$7</f>
        <v/>
      </c>
      <c r="F115" s="13">
        <f>100*C115/C$7</f>
        <v/>
      </c>
      <c r="G115" s="13">
        <f>100*D115/D$7</f>
        <v/>
      </c>
    </row>
    <row r="116">
      <c r="A116" s="11" t="n">
        <v>45079</v>
      </c>
      <c r="B116" s="12" t="n">
        <v>88.641502</v>
      </c>
      <c r="C116" s="12" t="n">
        <v>86.779152</v>
      </c>
      <c r="D116" s="12" t="n">
        <v>545.580017</v>
      </c>
      <c r="E116" s="13">
        <f>100*B116/B$7</f>
        <v/>
      </c>
      <c r="F116" s="13">
        <f>100*C116/C$7</f>
        <v/>
      </c>
      <c r="G116" s="13">
        <f>100*D116/D$7</f>
        <v/>
      </c>
    </row>
    <row r="117">
      <c r="A117" s="11" t="n">
        <v>45082</v>
      </c>
      <c r="B117" s="12" t="n">
        <v>88.40598300000001</v>
      </c>
      <c r="C117" s="12" t="n">
        <v>86.752403</v>
      </c>
      <c r="D117" s="12" t="n">
        <v>547.690002</v>
      </c>
      <c r="E117" s="13">
        <f>100*B117/B$7</f>
        <v/>
      </c>
      <c r="F117" s="13">
        <f>100*C117/C$7</f>
        <v/>
      </c>
      <c r="G117" s="13">
        <f>100*D117/D$7</f>
        <v/>
      </c>
    </row>
    <row r="118">
      <c r="A118" s="11" t="n">
        <v>45083</v>
      </c>
      <c r="B118" s="12" t="n">
        <v>88.82994100000001</v>
      </c>
      <c r="C118" s="12" t="n">
        <v>86.805908</v>
      </c>
      <c r="D118" s="12" t="n">
        <v>548.200012</v>
      </c>
      <c r="E118" s="13">
        <f>100*B118/B$7</f>
        <v/>
      </c>
      <c r="F118" s="13">
        <f>100*C118/C$7</f>
        <v/>
      </c>
      <c r="G118" s="13">
        <f>100*D118/D$7</f>
        <v/>
      </c>
    </row>
    <row r="119">
      <c r="A119" s="11" t="n">
        <v>45084</v>
      </c>
      <c r="B119" s="12" t="n">
        <v>88.356926</v>
      </c>
      <c r="C119" s="12" t="n">
        <v>86.172798</v>
      </c>
      <c r="D119" s="12" t="n">
        <v>549.01001</v>
      </c>
      <c r="E119" s="13">
        <f>100*B119/B$7</f>
        <v/>
      </c>
      <c r="F119" s="13">
        <f>100*C119/C$7</f>
        <v/>
      </c>
      <c r="G119" s="13">
        <f>100*D119/D$7</f>
        <v/>
      </c>
    </row>
    <row r="120">
      <c r="A120" s="11" t="n">
        <v>45085</v>
      </c>
      <c r="B120" s="12" t="n">
        <v>88.99458300000001</v>
      </c>
      <c r="C120" s="12" t="n">
        <v>86.752403</v>
      </c>
      <c r="D120" s="12" t="n">
        <v>545.51001</v>
      </c>
      <c r="E120" s="13">
        <f>100*B120/B$7</f>
        <v/>
      </c>
      <c r="F120" s="13">
        <f>100*C120/C$7</f>
        <v/>
      </c>
      <c r="G120" s="13">
        <f>100*D120/D$7</f>
        <v/>
      </c>
    </row>
    <row r="121">
      <c r="A121" s="11" t="n">
        <v>45086</v>
      </c>
      <c r="B121" s="12" t="n">
        <v>89.118286</v>
      </c>
      <c r="C121" s="12" t="n">
        <v>86.440308</v>
      </c>
      <c r="D121" s="12" t="n">
        <v>539.809998</v>
      </c>
      <c r="E121" s="13">
        <f>100*B121/B$7</f>
        <v/>
      </c>
      <c r="F121" s="13">
        <f>100*C121/C$7</f>
        <v/>
      </c>
      <c r="G121" s="13">
        <f>100*D121/D$7</f>
        <v/>
      </c>
    </row>
    <row r="122">
      <c r="A122" s="11" t="n">
        <v>45089</v>
      </c>
      <c r="B122" s="12" t="n">
        <v>89.76546500000001</v>
      </c>
      <c r="C122" s="12" t="n">
        <v>86.58297</v>
      </c>
      <c r="D122" s="12" t="n">
        <v>527.3900149999999</v>
      </c>
      <c r="E122" s="13">
        <f>100*B122/B$7</f>
        <v/>
      </c>
      <c r="F122" s="13">
        <f>100*C122/C$7</f>
        <v/>
      </c>
      <c r="G122" s="13">
        <f>100*D122/D$7</f>
        <v/>
      </c>
    </row>
    <row r="123">
      <c r="A123" s="11" t="n">
        <v>45090</v>
      </c>
      <c r="B123" s="12" t="n">
        <v>90.46022000000001</v>
      </c>
      <c r="C123" s="12" t="n">
        <v>85.96771200000001</v>
      </c>
      <c r="D123" s="12" t="n">
        <v>536.6400149999999</v>
      </c>
      <c r="E123" s="13">
        <f>100*B123/B$7</f>
        <v/>
      </c>
      <c r="F123" s="13">
        <f>100*C123/C$7</f>
        <v/>
      </c>
      <c r="G123" s="13">
        <f>100*D123/D$7</f>
        <v/>
      </c>
    </row>
    <row r="124">
      <c r="A124" s="11" t="n">
        <v>45091</v>
      </c>
      <c r="B124" s="12" t="n">
        <v>90.679115</v>
      </c>
      <c r="C124" s="12" t="n">
        <v>86.08364899999999</v>
      </c>
      <c r="D124" s="12" t="n">
        <v>533.349976</v>
      </c>
      <c r="E124" s="13">
        <f>100*B124/B$7</f>
        <v/>
      </c>
      <c r="F124" s="13">
        <f>100*C124/C$7</f>
        <v/>
      </c>
      <c r="G124" s="13">
        <f>100*D124/D$7</f>
        <v/>
      </c>
    </row>
    <row r="125">
      <c r="A125" s="11" t="n">
        <v>45092</v>
      </c>
      <c r="B125" s="12" t="n">
        <v>91.70695499999999</v>
      </c>
      <c r="C125" s="12" t="n">
        <v>86.752403</v>
      </c>
      <c r="D125" s="12" t="n">
        <v>547.969971</v>
      </c>
      <c r="E125" s="13">
        <f>100*B125/B$7</f>
        <v/>
      </c>
      <c r="F125" s="13">
        <f>100*C125/C$7</f>
        <v/>
      </c>
      <c r="G125" s="13">
        <f>100*D125/D$7</f>
        <v/>
      </c>
    </row>
    <row r="126">
      <c r="A126" s="11" t="n">
        <v>45093</v>
      </c>
      <c r="B126" s="12" t="n">
        <v>91.440483</v>
      </c>
      <c r="C126" s="12" t="n">
        <v>86.377892</v>
      </c>
      <c r="D126" s="12" t="n">
        <v>557.219971</v>
      </c>
      <c r="E126" s="13">
        <f>100*B126/B$7</f>
        <v/>
      </c>
      <c r="F126" s="13">
        <f>100*C126/C$7</f>
        <v/>
      </c>
      <c r="G126" s="13">
        <f>100*D126/D$7</f>
        <v/>
      </c>
    </row>
    <row r="127">
      <c r="A127" s="11" t="n">
        <v>45096</v>
      </c>
      <c r="B127" s="12" t="n">
        <v>91.440483</v>
      </c>
      <c r="C127" s="12" t="n">
        <v>86.377892</v>
      </c>
      <c r="D127" s="12" t="n">
        <v>557.219971</v>
      </c>
      <c r="E127" s="13">
        <f>100*B127/B$7</f>
        <v/>
      </c>
      <c r="F127" s="13">
        <f>100*C127/C$7</f>
        <v/>
      </c>
      <c r="G127" s="13">
        <f>100*D127/D$7</f>
        <v/>
      </c>
    </row>
    <row r="128">
      <c r="A128" s="11" t="n">
        <v>45097</v>
      </c>
      <c r="B128" s="12" t="n">
        <v>90.602966</v>
      </c>
      <c r="C128" s="12" t="n">
        <v>86.63648999999999</v>
      </c>
      <c r="D128" s="12" t="n">
        <v>550.6099850000001</v>
      </c>
      <c r="E128" s="13">
        <f>100*B128/B$7</f>
        <v/>
      </c>
      <c r="F128" s="13">
        <f>100*C128/C$7</f>
        <v/>
      </c>
      <c r="G128" s="13">
        <f>100*D128/D$7</f>
        <v/>
      </c>
    </row>
    <row r="129">
      <c r="A129" s="11" t="n">
        <v>45098</v>
      </c>
      <c r="B129" s="12" t="n">
        <v>90.28891</v>
      </c>
      <c r="C129" s="12" t="n">
        <v>86.71672100000001</v>
      </c>
      <c r="D129" s="12" t="n">
        <v>559.919983</v>
      </c>
      <c r="E129" s="13">
        <f>100*B129/B$7</f>
        <v/>
      </c>
      <c r="F129" s="13">
        <f>100*C129/C$7</f>
        <v/>
      </c>
      <c r="G129" s="13">
        <f>100*D129/D$7</f>
        <v/>
      </c>
    </row>
    <row r="130">
      <c r="A130" s="11" t="n">
        <v>45099</v>
      </c>
      <c r="B130" s="12" t="n">
        <v>90.30793799999999</v>
      </c>
      <c r="C130" s="12" t="n">
        <v>86.22629499999999</v>
      </c>
      <c r="D130" s="12" t="n">
        <v>547.039978</v>
      </c>
      <c r="E130" s="13">
        <f>100*B130/B$7</f>
        <v/>
      </c>
      <c r="F130" s="13">
        <f>100*C130/C$7</f>
        <v/>
      </c>
      <c r="G130" s="13">
        <f>100*D130/D$7</f>
        <v/>
      </c>
    </row>
    <row r="131">
      <c r="A131" s="11" t="n">
        <v>45100</v>
      </c>
      <c r="B131" s="12" t="n">
        <v>89.37526699999999</v>
      </c>
      <c r="C131" s="12" t="n">
        <v>86.58297</v>
      </c>
      <c r="D131" s="12" t="n">
        <v>541.559998</v>
      </c>
      <c r="E131" s="13">
        <f>100*B131/B$7</f>
        <v/>
      </c>
      <c r="F131" s="13">
        <f>100*C131/C$7</f>
        <v/>
      </c>
      <c r="G131" s="13">
        <f>100*D131/D$7</f>
        <v/>
      </c>
    </row>
    <row r="132">
      <c r="A132" s="11" t="n">
        <v>45103</v>
      </c>
      <c r="B132" s="12" t="n">
        <v>89.222992</v>
      </c>
      <c r="C132" s="12" t="n">
        <v>86.796989</v>
      </c>
      <c r="D132" s="12" t="n">
        <v>542.6400149999999</v>
      </c>
      <c r="E132" s="13">
        <f>100*B132/B$7</f>
        <v/>
      </c>
      <c r="F132" s="13">
        <f>100*C132/C$7</f>
        <v/>
      </c>
      <c r="G132" s="13">
        <f>100*D132/D$7</f>
        <v/>
      </c>
    </row>
    <row r="133">
      <c r="A133" s="11" t="n">
        <v>45104</v>
      </c>
      <c r="B133" s="12" t="n">
        <v>90.165176</v>
      </c>
      <c r="C133" s="12" t="n">
        <v>86.493797</v>
      </c>
      <c r="D133" s="12" t="n">
        <v>533.710022</v>
      </c>
      <c r="E133" s="13">
        <f>100*B133/B$7</f>
        <v/>
      </c>
      <c r="F133" s="13">
        <f>100*C133/C$7</f>
        <v/>
      </c>
      <c r="G133" s="13">
        <f>100*D133/D$7</f>
        <v/>
      </c>
    </row>
    <row r="134">
      <c r="A134" s="11" t="n">
        <v>45105</v>
      </c>
      <c r="B134" s="12" t="n">
        <v>90.155663</v>
      </c>
      <c r="C134" s="12" t="n">
        <v>86.841553</v>
      </c>
      <c r="D134" s="12" t="n">
        <v>535.380005</v>
      </c>
      <c r="E134" s="13">
        <f>100*B134/B$7</f>
        <v/>
      </c>
      <c r="F134" s="13">
        <f>100*C134/C$7</f>
        <v/>
      </c>
      <c r="G134" s="13">
        <f>100*D134/D$7</f>
        <v/>
      </c>
    </row>
    <row r="135">
      <c r="A135" s="11" t="n">
        <v>45106</v>
      </c>
      <c r="B135" s="12" t="n">
        <v>90.30793799999999</v>
      </c>
      <c r="C135" s="12" t="n">
        <v>85.949883</v>
      </c>
      <c r="D135" s="12" t="n">
        <v>535.549988</v>
      </c>
      <c r="E135" s="13">
        <f>100*B135/B$7</f>
        <v/>
      </c>
      <c r="F135" s="13">
        <f>100*C135/C$7</f>
        <v/>
      </c>
      <c r="G135" s="13">
        <f>100*D135/D$7</f>
        <v/>
      </c>
    </row>
    <row r="136">
      <c r="A136" s="11" t="n">
        <v>45107</v>
      </c>
      <c r="B136" s="12" t="n">
        <v>91.307236</v>
      </c>
      <c r="C136" s="12" t="n">
        <v>86.13713799999999</v>
      </c>
      <c r="D136" s="12" t="n">
        <v>540.460022</v>
      </c>
      <c r="E136" s="13">
        <f>100*B136/B$7</f>
        <v/>
      </c>
      <c r="F136" s="13">
        <f>100*C136/C$7</f>
        <v/>
      </c>
      <c r="G136" s="13">
        <f>100*D136/D$7</f>
        <v/>
      </c>
    </row>
    <row r="137">
      <c r="A137" s="11" t="n">
        <v>45110</v>
      </c>
      <c r="B137" s="12" t="n">
        <v>91.52613100000001</v>
      </c>
      <c r="C137" s="12" t="n">
        <v>85.76348900000001</v>
      </c>
      <c r="D137" s="12" t="n">
        <v>536.659973</v>
      </c>
      <c r="E137" s="13">
        <f>100*B137/B$7</f>
        <v/>
      </c>
      <c r="F137" s="13">
        <f>100*C137/C$7</f>
        <v/>
      </c>
      <c r="G137" s="13">
        <f>100*D137/D$7</f>
        <v/>
      </c>
    </row>
    <row r="138">
      <c r="A138" s="11" t="n">
        <v>45111</v>
      </c>
      <c r="B138" s="12" t="n">
        <v>91.52613100000001</v>
      </c>
      <c r="C138" s="12" t="n">
        <v>85.76348900000001</v>
      </c>
      <c r="D138" s="12" t="n">
        <v>536.659973</v>
      </c>
      <c r="E138" s="13">
        <f>100*B138/B$7</f>
        <v/>
      </c>
      <c r="F138" s="13">
        <f>100*C138/C$7</f>
        <v/>
      </c>
      <c r="G138" s="13">
        <f>100*D138/D$7</f>
        <v/>
      </c>
    </row>
    <row r="139">
      <c r="A139" s="11" t="n">
        <v>45112</v>
      </c>
      <c r="B139" s="12" t="n">
        <v>91.078827</v>
      </c>
      <c r="C139" s="12" t="n">
        <v>85.352379</v>
      </c>
      <c r="D139" s="12" t="n">
        <v>545.76001</v>
      </c>
      <c r="E139" s="13">
        <f>100*B139/B$7</f>
        <v/>
      </c>
      <c r="F139" s="13">
        <f>100*C139/C$7</f>
        <v/>
      </c>
      <c r="G139" s="13">
        <f>100*D139/D$7</f>
        <v/>
      </c>
    </row>
    <row r="140">
      <c r="A140" s="11" t="n">
        <v>45113</v>
      </c>
      <c r="B140" s="12" t="n">
        <v>89.955803</v>
      </c>
      <c r="C140" s="12" t="n">
        <v>84.655159</v>
      </c>
      <c r="D140" s="12" t="n">
        <v>544.1400149999999</v>
      </c>
      <c r="E140" s="13">
        <f>100*B140/B$7</f>
        <v/>
      </c>
      <c r="F140" s="13">
        <f>100*C140/C$7</f>
        <v/>
      </c>
      <c r="G140" s="13">
        <f>100*D140/D$7</f>
        <v/>
      </c>
    </row>
    <row r="141">
      <c r="A141" s="11" t="n">
        <v>45114</v>
      </c>
      <c r="B141" s="12" t="n">
        <v>90.13664199999999</v>
      </c>
      <c r="C141" s="12" t="n">
        <v>84.54789700000001</v>
      </c>
      <c r="D141" s="12" t="n">
        <v>551.840027</v>
      </c>
      <c r="E141" s="13">
        <f>100*B141/B$7</f>
        <v/>
      </c>
      <c r="F141" s="13">
        <f>100*C141/C$7</f>
        <v/>
      </c>
      <c r="G141" s="13">
        <f>100*D141/D$7</f>
        <v/>
      </c>
    </row>
    <row r="142">
      <c r="A142" s="11" t="n">
        <v>45117</v>
      </c>
      <c r="B142" s="12" t="n">
        <v>90.365036</v>
      </c>
      <c r="C142" s="12" t="n">
        <v>84.98588599999999</v>
      </c>
      <c r="D142" s="12" t="n">
        <v>549.8900149999999</v>
      </c>
      <c r="E142" s="13">
        <f>100*B142/B$7</f>
        <v/>
      </c>
      <c r="F142" s="13">
        <f>100*C142/C$7</f>
        <v/>
      </c>
      <c r="G142" s="13">
        <f>100*D142/D$7</f>
        <v/>
      </c>
    </row>
    <row r="143">
      <c r="A143" s="11" t="n">
        <v>45118</v>
      </c>
      <c r="B143" s="12" t="n">
        <v>91.078827</v>
      </c>
      <c r="C143" s="12" t="n">
        <v>85.164635</v>
      </c>
      <c r="D143" s="12" t="n">
        <v>557.679993</v>
      </c>
      <c r="E143" s="13">
        <f>100*B143/B$7</f>
        <v/>
      </c>
      <c r="F143" s="13">
        <f>100*C143/C$7</f>
        <v/>
      </c>
      <c r="G143" s="13">
        <f>100*D143/D$7</f>
        <v/>
      </c>
    </row>
    <row r="144">
      <c r="A144" s="11" t="n">
        <v>45119</v>
      </c>
      <c r="B144" s="12" t="n">
        <v>92.17330200000001</v>
      </c>
      <c r="C144" s="12" t="n">
        <v>85.995903</v>
      </c>
      <c r="D144" s="12" t="n">
        <v>559.219971</v>
      </c>
      <c r="E144" s="13">
        <f>100*B144/B$7</f>
        <v/>
      </c>
      <c r="F144" s="13">
        <f>100*C144/C$7</f>
        <v/>
      </c>
      <c r="G144" s="13">
        <f>100*D144/D$7</f>
        <v/>
      </c>
    </row>
    <row r="145">
      <c r="A145" s="11" t="n">
        <v>45120</v>
      </c>
      <c r="B145" s="12" t="n">
        <v>93.22017700000001</v>
      </c>
      <c r="C145" s="12" t="n">
        <v>86.710999</v>
      </c>
      <c r="D145" s="12" t="n">
        <v>565.419983</v>
      </c>
      <c r="E145" s="13">
        <f>100*B145/B$7</f>
        <v/>
      </c>
      <c r="F145" s="13">
        <f>100*C145/C$7</f>
        <v/>
      </c>
      <c r="G145" s="13">
        <f>100*D145/D$7</f>
        <v/>
      </c>
    </row>
    <row r="146">
      <c r="A146" s="11" t="n">
        <v>45121</v>
      </c>
      <c r="B146" s="12" t="n">
        <v>92.963219</v>
      </c>
      <c r="C146" s="12" t="n">
        <v>86.281952</v>
      </c>
      <c r="D146" s="12" t="n">
        <v>562.52002</v>
      </c>
      <c r="E146" s="13">
        <f>100*B146/B$7</f>
        <v/>
      </c>
      <c r="F146" s="13">
        <f>100*C146/C$7</f>
        <v/>
      </c>
      <c r="G146" s="13">
        <f>100*D146/D$7</f>
        <v/>
      </c>
    </row>
    <row r="147">
      <c r="A147" s="11" t="n">
        <v>45124</v>
      </c>
      <c r="B147" s="12" t="n">
        <v>93.20114100000001</v>
      </c>
      <c r="C147" s="12" t="n">
        <v>86.42497299999999</v>
      </c>
      <c r="D147" s="12" t="n">
        <v>555.830017</v>
      </c>
      <c r="E147" s="13">
        <f>100*B147/B$7</f>
        <v/>
      </c>
      <c r="F147" s="13">
        <f>100*C147/C$7</f>
        <v/>
      </c>
      <c r="G147" s="13">
        <f>100*D147/D$7</f>
        <v/>
      </c>
    </row>
    <row r="148">
      <c r="A148" s="11" t="n">
        <v>45125</v>
      </c>
      <c r="B148" s="12" t="n">
        <v>93.724594</v>
      </c>
      <c r="C148" s="12" t="n">
        <v>86.52327</v>
      </c>
      <c r="D148" s="12" t="n">
        <v>564.200012</v>
      </c>
      <c r="E148" s="13">
        <f>100*B148/B$7</f>
        <v/>
      </c>
      <c r="F148" s="13">
        <f>100*C148/C$7</f>
        <v/>
      </c>
      <c r="G148" s="13">
        <f>100*D148/D$7</f>
        <v/>
      </c>
    </row>
    <row r="149">
      <c r="A149" s="11" t="n">
        <v>45126</v>
      </c>
      <c r="B149" s="12" t="n">
        <v>93.838791</v>
      </c>
      <c r="C149" s="12" t="n">
        <v>86.81823</v>
      </c>
      <c r="D149" s="12" t="n">
        <v>567.820007</v>
      </c>
      <c r="E149" s="13">
        <f>100*B149/B$7</f>
        <v/>
      </c>
      <c r="F149" s="13">
        <f>100*C149/C$7</f>
        <v/>
      </c>
      <c r="G149" s="13">
        <f>100*D149/D$7</f>
        <v/>
      </c>
    </row>
    <row r="150">
      <c r="A150" s="11" t="n">
        <v>45127</v>
      </c>
      <c r="B150" s="12" t="n">
        <v>93.210663</v>
      </c>
      <c r="C150" s="12" t="n">
        <v>86.12996699999999</v>
      </c>
      <c r="D150" s="12" t="n">
        <v>569.8900149999999</v>
      </c>
      <c r="E150" s="13">
        <f>100*B150/B$7</f>
        <v/>
      </c>
      <c r="F150" s="13">
        <f>100*C150/C$7</f>
        <v/>
      </c>
      <c r="G150" s="13">
        <f>100*D150/D$7</f>
        <v/>
      </c>
    </row>
    <row r="151">
      <c r="A151" s="11" t="n">
        <v>45128</v>
      </c>
      <c r="B151" s="12" t="n">
        <v>93.25825500000001</v>
      </c>
      <c r="C151" s="12" t="n">
        <v>86.2015</v>
      </c>
      <c r="D151" s="12" t="n">
        <v>574.719971</v>
      </c>
      <c r="E151" s="13">
        <f>100*B151/B$7</f>
        <v/>
      </c>
      <c r="F151" s="13">
        <f>100*C151/C$7</f>
        <v/>
      </c>
      <c r="G151" s="13">
        <f>100*D151/D$7</f>
        <v/>
      </c>
    </row>
    <row r="152">
      <c r="A152" s="11" t="n">
        <v>45131</v>
      </c>
      <c r="B152" s="12" t="n">
        <v>93.591347</v>
      </c>
      <c r="C152" s="12" t="n">
        <v>85.995903</v>
      </c>
      <c r="D152" s="12" t="n">
        <v>586.049988</v>
      </c>
      <c r="E152" s="13">
        <f>100*B152/B$7</f>
        <v/>
      </c>
      <c r="F152" s="13">
        <f>100*C152/C$7</f>
        <v/>
      </c>
      <c r="G152" s="13">
        <f>100*D152/D$7</f>
        <v/>
      </c>
    </row>
    <row r="153">
      <c r="A153" s="11" t="n">
        <v>45132</v>
      </c>
      <c r="B153" s="12" t="n">
        <v>93.89589700000001</v>
      </c>
      <c r="C153" s="12" t="n">
        <v>85.835007</v>
      </c>
      <c r="D153" s="12" t="n">
        <v>588.869995</v>
      </c>
      <c r="E153" s="13">
        <f>100*B153/B$7</f>
        <v/>
      </c>
      <c r="F153" s="13">
        <f>100*C153/C$7</f>
        <v/>
      </c>
      <c r="G153" s="13">
        <f>100*D153/D$7</f>
        <v/>
      </c>
    </row>
    <row r="154">
      <c r="A154" s="11" t="n">
        <v>45133</v>
      </c>
      <c r="B154" s="12" t="n">
        <v>94.019615</v>
      </c>
      <c r="C154" s="12" t="n">
        <v>86.12996699999999</v>
      </c>
      <c r="D154" s="12" t="n">
        <v>585.219971</v>
      </c>
      <c r="E154" s="13">
        <f>100*B154/B$7</f>
        <v/>
      </c>
      <c r="F154" s="13">
        <f>100*C154/C$7</f>
        <v/>
      </c>
      <c r="G154" s="13">
        <f>100*D154/D$7</f>
        <v/>
      </c>
    </row>
    <row r="155">
      <c r="A155" s="11" t="n">
        <v>45134</v>
      </c>
      <c r="B155" s="12" t="n">
        <v>93.42955000000001</v>
      </c>
      <c r="C155" s="12" t="n">
        <v>85.191452</v>
      </c>
      <c r="D155" s="12" t="n">
        <v>588.409973</v>
      </c>
      <c r="E155" s="13">
        <f>100*B155/B$7</f>
        <v/>
      </c>
      <c r="F155" s="13">
        <f>100*C155/C$7</f>
        <v/>
      </c>
      <c r="G155" s="13">
        <f>100*D155/D$7</f>
        <v/>
      </c>
    </row>
    <row r="156">
      <c r="A156" s="11" t="n">
        <v>45135</v>
      </c>
      <c r="B156" s="12" t="n">
        <v>94.40980500000001</v>
      </c>
      <c r="C156" s="12" t="n">
        <v>85.468536</v>
      </c>
      <c r="D156" s="12" t="n">
        <v>590.940002</v>
      </c>
      <c r="E156" s="13">
        <f>100*B156/B$7</f>
        <v/>
      </c>
      <c r="F156" s="13">
        <f>100*C156/C$7</f>
        <v/>
      </c>
      <c r="G156" s="13">
        <f>100*D156/D$7</f>
        <v/>
      </c>
    </row>
    <row r="157">
      <c r="A157" s="11" t="n">
        <v>45138</v>
      </c>
      <c r="B157" s="12" t="n">
        <v>94.59064499999999</v>
      </c>
      <c r="C157" s="12" t="n">
        <v>85.57579800000001</v>
      </c>
      <c r="D157" s="12" t="n">
        <v>593.400024</v>
      </c>
      <c r="E157" s="13">
        <f>100*B157/B$7</f>
        <v/>
      </c>
      <c r="F157" s="13">
        <f>100*C157/C$7</f>
        <v/>
      </c>
      <c r="G157" s="13">
        <f>100*D157/D$7</f>
        <v/>
      </c>
    </row>
    <row r="158">
      <c r="A158" s="11" t="n">
        <v>45139</v>
      </c>
      <c r="B158" s="12" t="n">
        <v>93.93395200000001</v>
      </c>
      <c r="C158" s="12" t="n">
        <v>85.07579800000001</v>
      </c>
      <c r="D158" s="12" t="n">
        <v>591.679993</v>
      </c>
      <c r="E158" s="13">
        <f>100*B158/B$7</f>
        <v/>
      </c>
      <c r="F158" s="13">
        <f>100*C158/C$7</f>
        <v/>
      </c>
      <c r="G158" s="13">
        <f>100*D158/D$7</f>
        <v/>
      </c>
    </row>
    <row r="159">
      <c r="A159" s="11" t="n">
        <v>45140</v>
      </c>
      <c r="B159" s="12" t="n">
        <v>92.38267500000001</v>
      </c>
      <c r="C159" s="12" t="n">
        <v>84.905525</v>
      </c>
      <c r="D159" s="12" t="n">
        <v>580.710022</v>
      </c>
      <c r="E159" s="13">
        <f>100*B159/B$7</f>
        <v/>
      </c>
      <c r="F159" s="13">
        <f>100*C159/C$7</f>
        <v/>
      </c>
      <c r="G159" s="13">
        <f>100*D159/D$7</f>
        <v/>
      </c>
    </row>
    <row r="160">
      <c r="A160" s="11" t="n">
        <v>45141</v>
      </c>
      <c r="B160" s="12" t="n">
        <v>92.16377300000001</v>
      </c>
      <c r="C160" s="12" t="n">
        <v>84.27827499999999</v>
      </c>
      <c r="D160" s="12" t="n">
        <v>587.400024</v>
      </c>
      <c r="E160" s="13">
        <f>100*B160/B$7</f>
        <v/>
      </c>
      <c r="F160" s="13">
        <f>100*C160/C$7</f>
        <v/>
      </c>
      <c r="G160" s="13">
        <f>100*D160/D$7</f>
        <v/>
      </c>
    </row>
    <row r="161">
      <c r="A161" s="11" t="n">
        <v>45142</v>
      </c>
      <c r="B161" s="12" t="n">
        <v>91.97344200000001</v>
      </c>
      <c r="C161" s="12" t="n">
        <v>85.174324</v>
      </c>
      <c r="D161" s="12" t="n">
        <v>591.690002</v>
      </c>
      <c r="E161" s="13">
        <f>100*B161/B$7</f>
        <v/>
      </c>
      <c r="F161" s="13">
        <f>100*C161/C$7</f>
        <v/>
      </c>
      <c r="G161" s="13">
        <f>100*D161/D$7</f>
        <v/>
      </c>
    </row>
    <row r="162">
      <c r="A162" s="11" t="n">
        <v>45145</v>
      </c>
      <c r="B162" s="12" t="n">
        <v>92.592049</v>
      </c>
      <c r="C162" s="12" t="n">
        <v>84.96824599999999</v>
      </c>
      <c r="D162" s="12" t="n">
        <v>588.320007</v>
      </c>
      <c r="E162" s="13">
        <f>100*B162/B$7</f>
        <v/>
      </c>
      <c r="F162" s="13">
        <f>100*C162/C$7</f>
        <v/>
      </c>
      <c r="G162" s="13">
        <f>100*D162/D$7</f>
        <v/>
      </c>
    </row>
    <row r="163">
      <c r="A163" s="11" t="n">
        <v>45146</v>
      </c>
      <c r="B163" s="12" t="n">
        <v>92.05909</v>
      </c>
      <c r="C163" s="12" t="n">
        <v>85.398392</v>
      </c>
      <c r="D163" s="12" t="n">
        <v>590.5</v>
      </c>
      <c r="E163" s="13">
        <f>100*B163/B$7</f>
        <v/>
      </c>
      <c r="F163" s="13">
        <f>100*C163/C$7</f>
        <v/>
      </c>
      <c r="G163" s="13">
        <f>100*D163/D$7</f>
        <v/>
      </c>
    </row>
    <row r="164">
      <c r="A164" s="11" t="n">
        <v>45147</v>
      </c>
      <c r="B164" s="12" t="n">
        <v>91.668892</v>
      </c>
      <c r="C164" s="12" t="n">
        <v>85.452133</v>
      </c>
      <c r="D164" s="12" t="n">
        <v>597.700012</v>
      </c>
      <c r="E164" s="13">
        <f>100*B164/B$7</f>
        <v/>
      </c>
      <c r="F164" s="13">
        <f>100*C164/C$7</f>
        <v/>
      </c>
      <c r="G164" s="13">
        <f>100*D164/D$7</f>
        <v/>
      </c>
    </row>
    <row r="165">
      <c r="A165" s="11" t="n">
        <v>45148</v>
      </c>
      <c r="B165" s="12" t="n">
        <v>91.811646</v>
      </c>
      <c r="C165" s="12" t="n">
        <v>84.79800400000001</v>
      </c>
      <c r="D165" s="12" t="n">
        <v>591.900024</v>
      </c>
      <c r="E165" s="13">
        <f>100*B165/B$7</f>
        <v/>
      </c>
      <c r="F165" s="13">
        <f>100*C165/C$7</f>
        <v/>
      </c>
      <c r="G165" s="13">
        <f>100*D165/D$7</f>
        <v/>
      </c>
    </row>
    <row r="166">
      <c r="A166" s="11" t="n">
        <v>45149</v>
      </c>
      <c r="B166" s="12" t="n">
        <v>91.469032</v>
      </c>
      <c r="C166" s="12" t="n">
        <v>84.349937</v>
      </c>
      <c r="D166" s="12" t="n">
        <v>590.75</v>
      </c>
      <c r="E166" s="13">
        <f>100*B166/B$7</f>
        <v/>
      </c>
      <c r="F166" s="13">
        <f>100*C166/C$7</f>
        <v/>
      </c>
      <c r="G166" s="13">
        <f>100*D166/D$7</f>
        <v/>
      </c>
    </row>
    <row r="167">
      <c r="A167" s="11" t="n">
        <v>45152</v>
      </c>
      <c r="B167" s="12" t="n">
        <v>91.649857</v>
      </c>
      <c r="C167" s="12" t="n">
        <v>84.21553</v>
      </c>
      <c r="D167" s="12" t="n">
        <v>586.340027</v>
      </c>
      <c r="E167" s="13">
        <f>100*B167/B$7</f>
        <v/>
      </c>
      <c r="F167" s="13">
        <f>100*C167/C$7</f>
        <v/>
      </c>
      <c r="G167" s="13">
        <f>100*D167/D$7</f>
        <v/>
      </c>
    </row>
    <row r="168">
      <c r="A168" s="11" t="n">
        <v>45153</v>
      </c>
      <c r="B168" s="12" t="n">
        <v>90.526833</v>
      </c>
      <c r="C168" s="12" t="n">
        <v>84.05420700000001</v>
      </c>
      <c r="D168" s="12" t="n">
        <v>577.460022</v>
      </c>
      <c r="E168" s="13">
        <f>100*B168/B$7</f>
        <v/>
      </c>
      <c r="F168" s="13">
        <f>100*C168/C$7</f>
        <v/>
      </c>
      <c r="G168" s="13">
        <f>100*D168/D$7</f>
        <v/>
      </c>
    </row>
    <row r="169">
      <c r="A169" s="11" t="n">
        <v>45154</v>
      </c>
      <c r="B169" s="12" t="n">
        <v>89.83208500000001</v>
      </c>
      <c r="C169" s="12" t="n">
        <v>83.73165899999999</v>
      </c>
      <c r="D169" s="12" t="n">
        <v>573.559998</v>
      </c>
      <c r="E169" s="13">
        <f>100*B169/B$7</f>
        <v/>
      </c>
      <c r="F169" s="13">
        <f>100*C169/C$7</f>
        <v/>
      </c>
      <c r="G169" s="13">
        <f>100*D169/D$7</f>
        <v/>
      </c>
    </row>
    <row r="170">
      <c r="A170" s="11" t="n">
        <v>45155</v>
      </c>
      <c r="B170" s="12" t="n">
        <v>89.24202</v>
      </c>
      <c r="C170" s="12" t="n">
        <v>83.6241</v>
      </c>
      <c r="D170" s="12" t="n">
        <v>577.179993</v>
      </c>
      <c r="E170" s="13">
        <f>100*B170/B$7</f>
        <v/>
      </c>
      <c r="F170" s="13">
        <f>100*C170/C$7</f>
        <v/>
      </c>
      <c r="G170" s="13">
        <f>100*D170/D$7</f>
        <v/>
      </c>
    </row>
    <row r="171">
      <c r="A171" s="11" t="n">
        <v>45156</v>
      </c>
      <c r="B171" s="12" t="n">
        <v>89.20394899999999</v>
      </c>
      <c r="C171" s="12" t="n">
        <v>83.87500799999999</v>
      </c>
      <c r="D171" s="12" t="n">
        <v>582.039978</v>
      </c>
      <c r="E171" s="13">
        <f>100*B171/B$7</f>
        <v/>
      </c>
      <c r="F171" s="13">
        <f>100*C171/C$7</f>
        <v/>
      </c>
      <c r="G171" s="13">
        <f>100*D171/D$7</f>
        <v/>
      </c>
    </row>
    <row r="172">
      <c r="A172" s="11" t="n">
        <v>45159</v>
      </c>
      <c r="B172" s="12" t="n">
        <v>89.670288</v>
      </c>
      <c r="C172" s="12" t="n">
        <v>83.35528600000001</v>
      </c>
      <c r="D172" s="12" t="n">
        <v>579.51001</v>
      </c>
      <c r="E172" s="13">
        <f>100*B172/B$7</f>
        <v/>
      </c>
      <c r="F172" s="13">
        <f>100*C172/C$7</f>
        <v/>
      </c>
      <c r="G172" s="13">
        <f>100*D172/D$7</f>
        <v/>
      </c>
    </row>
    <row r="173">
      <c r="A173" s="11" t="n">
        <v>45160</v>
      </c>
      <c r="B173" s="12" t="n">
        <v>89.47043600000001</v>
      </c>
      <c r="C173" s="12" t="n">
        <v>83.391121</v>
      </c>
      <c r="D173" s="12" t="n">
        <v>578.130005</v>
      </c>
      <c r="E173" s="13">
        <f>100*B173/B$7</f>
        <v/>
      </c>
      <c r="F173" s="13">
        <f>100*C173/C$7</f>
        <v/>
      </c>
      <c r="G173" s="13">
        <f>100*D173/D$7</f>
        <v/>
      </c>
    </row>
    <row r="174">
      <c r="A174" s="11" t="n">
        <v>45161</v>
      </c>
      <c r="B174" s="12" t="n">
        <v>90.526833</v>
      </c>
      <c r="C174" s="12" t="n">
        <v>84.296181</v>
      </c>
      <c r="D174" s="12" t="n">
        <v>577.75</v>
      </c>
      <c r="E174" s="13">
        <f>100*B174/B$7</f>
        <v/>
      </c>
      <c r="F174" s="13">
        <f>100*C174/C$7</f>
        <v/>
      </c>
      <c r="G174" s="13">
        <f>100*D174/D$7</f>
        <v/>
      </c>
    </row>
    <row r="175">
      <c r="A175" s="11" t="n">
        <v>45162</v>
      </c>
      <c r="B175" s="12" t="n">
        <v>89.37526699999999</v>
      </c>
      <c r="C175" s="12" t="n">
        <v>83.982544</v>
      </c>
      <c r="D175" s="12" t="n">
        <v>579.090027</v>
      </c>
      <c r="E175" s="13">
        <f>100*B175/B$7</f>
        <v/>
      </c>
      <c r="F175" s="13">
        <f>100*C175/C$7</f>
        <v/>
      </c>
      <c r="G175" s="13">
        <f>100*D175/D$7</f>
        <v/>
      </c>
    </row>
    <row r="176">
      <c r="A176" s="11" t="n">
        <v>45163</v>
      </c>
      <c r="B176" s="12" t="n">
        <v>89.91773999999999</v>
      </c>
      <c r="C176" s="12" t="n">
        <v>83.955635</v>
      </c>
      <c r="D176" s="12" t="n">
        <v>585.02002</v>
      </c>
      <c r="E176" s="13">
        <f>100*B176/B$7</f>
        <v/>
      </c>
      <c r="F176" s="13">
        <f>100*C176/C$7</f>
        <v/>
      </c>
      <c r="G176" s="13">
        <f>100*D176/D$7</f>
        <v/>
      </c>
    </row>
    <row r="177">
      <c r="A177" s="11" t="n">
        <v>45166</v>
      </c>
      <c r="B177" s="12" t="n">
        <v>90.612488</v>
      </c>
      <c r="C177" s="12" t="n">
        <v>84.188644</v>
      </c>
      <c r="D177" s="12" t="n">
        <v>585.119995</v>
      </c>
      <c r="E177" s="13">
        <f>100*B177/B$7</f>
        <v/>
      </c>
      <c r="F177" s="13">
        <f>100*C177/C$7</f>
        <v/>
      </c>
      <c r="G177" s="13">
        <f>100*D177/D$7</f>
        <v/>
      </c>
    </row>
    <row r="178">
      <c r="A178" s="11" t="n">
        <v>45167</v>
      </c>
      <c r="B178" s="12" t="n">
        <v>91.897301</v>
      </c>
      <c r="C178" s="12" t="n">
        <v>84.789017</v>
      </c>
      <c r="D178" s="12" t="n">
        <v>586.72998</v>
      </c>
      <c r="E178" s="13">
        <f>100*B178/B$7</f>
        <v/>
      </c>
      <c r="F178" s="13">
        <f>100*C178/C$7</f>
        <v/>
      </c>
      <c r="G178" s="13">
        <f>100*D178/D$7</f>
        <v/>
      </c>
    </row>
    <row r="179">
      <c r="A179" s="11" t="n">
        <v>45168</v>
      </c>
      <c r="B179" s="12" t="n">
        <v>92.12571</v>
      </c>
      <c r="C179" s="12" t="n">
        <v>84.78006000000001</v>
      </c>
      <c r="D179" s="12" t="n">
        <v>586.77002</v>
      </c>
      <c r="E179" s="13">
        <f>100*B179/B$7</f>
        <v/>
      </c>
      <c r="F179" s="13">
        <f>100*C179/C$7</f>
        <v/>
      </c>
      <c r="G179" s="13">
        <f>100*D179/D$7</f>
        <v/>
      </c>
    </row>
    <row r="180">
      <c r="A180" s="11" t="n">
        <v>45169</v>
      </c>
      <c r="B180" s="12" t="n">
        <v>91.84020200000001</v>
      </c>
      <c r="C180" s="12" t="n">
        <v>84.95031</v>
      </c>
      <c r="D180" s="12" t="n">
        <v>591.179993</v>
      </c>
      <c r="E180" s="13">
        <f>100*B180/B$7</f>
        <v/>
      </c>
      <c r="F180" s="13">
        <f>100*C180/C$7</f>
        <v/>
      </c>
      <c r="G180" s="13">
        <f>100*D180/D$7</f>
        <v/>
      </c>
    </row>
    <row r="181">
      <c r="A181" s="11" t="n">
        <v>45170</v>
      </c>
      <c r="B181" s="12" t="n">
        <v>92.09715300000001</v>
      </c>
      <c r="C181" s="12" t="n">
        <v>84.431061</v>
      </c>
      <c r="D181" s="12" t="n">
        <v>598.97998</v>
      </c>
      <c r="E181" s="13">
        <f>100*B181/B$7</f>
        <v/>
      </c>
      <c r="F181" s="13">
        <f>100*C181/C$7</f>
        <v/>
      </c>
      <c r="G181" s="13">
        <f>100*D181/D$7</f>
        <v/>
      </c>
    </row>
    <row r="182">
      <c r="A182" s="11" t="n">
        <v>45173</v>
      </c>
      <c r="B182" s="12" t="n">
        <v>92.09715300000001</v>
      </c>
      <c r="C182" s="12" t="n">
        <v>84.431061</v>
      </c>
      <c r="D182" s="12" t="n">
        <v>598.97998</v>
      </c>
      <c r="E182" s="13">
        <f>100*B182/B$7</f>
        <v/>
      </c>
      <c r="F182" s="13">
        <f>100*C182/C$7</f>
        <v/>
      </c>
      <c r="G182" s="13">
        <f>100*D182/D$7</f>
        <v/>
      </c>
    </row>
    <row r="183">
      <c r="A183" s="11" t="n">
        <v>45174</v>
      </c>
      <c r="B183" s="12" t="n">
        <v>91.564194</v>
      </c>
      <c r="C183" s="12" t="n">
        <v>83.918953</v>
      </c>
      <c r="D183" s="12" t="n">
        <v>604.210022</v>
      </c>
      <c r="E183" s="13">
        <f>100*B183/B$7</f>
        <v/>
      </c>
      <c r="F183" s="13">
        <f>100*C183/C$7</f>
        <v/>
      </c>
      <c r="G183" s="13">
        <f>100*D183/D$7</f>
        <v/>
      </c>
    </row>
    <row r="184">
      <c r="A184" s="11" t="n">
        <v>45175</v>
      </c>
      <c r="B184" s="12" t="n">
        <v>91.03124200000001</v>
      </c>
      <c r="C184" s="12" t="n">
        <v>83.703377</v>
      </c>
      <c r="D184" s="12" t="n">
        <v>605.099976</v>
      </c>
      <c r="E184" s="13">
        <f>100*B184/B$7</f>
        <v/>
      </c>
      <c r="F184" s="13">
        <f>100*C184/C$7</f>
        <v/>
      </c>
      <c r="G184" s="13">
        <f>100*D184/D$7</f>
        <v/>
      </c>
    </row>
    <row r="185">
      <c r="A185" s="11" t="n">
        <v>45176</v>
      </c>
      <c r="B185" s="12" t="n">
        <v>90.688637</v>
      </c>
      <c r="C185" s="12" t="n">
        <v>83.990852</v>
      </c>
      <c r="D185" s="12" t="n">
        <v>603.880005</v>
      </c>
      <c r="E185" s="13">
        <f>100*B185/B$7</f>
        <v/>
      </c>
      <c r="F185" s="13">
        <f>100*C185/C$7</f>
        <v/>
      </c>
      <c r="G185" s="13">
        <f>100*D185/D$7</f>
        <v/>
      </c>
    </row>
    <row r="186">
      <c r="A186" s="11" t="n">
        <v>45177</v>
      </c>
      <c r="B186" s="12" t="n">
        <v>90.72669999999999</v>
      </c>
      <c r="C186" s="12" t="n">
        <v>84.00882</v>
      </c>
      <c r="D186" s="12" t="n">
        <v>606.98999</v>
      </c>
      <c r="E186" s="13">
        <f>100*B186/B$7</f>
        <v/>
      </c>
      <c r="F186" s="13">
        <f>100*C186/C$7</f>
        <v/>
      </c>
      <c r="G186" s="13">
        <f>100*D186/D$7</f>
        <v/>
      </c>
    </row>
    <row r="187">
      <c r="A187" s="11" t="n">
        <v>45180</v>
      </c>
      <c r="B187" s="12" t="n">
        <v>91.507103</v>
      </c>
      <c r="C187" s="12" t="n">
        <v>83.865067</v>
      </c>
      <c r="D187" s="12" t="n">
        <v>609.280029</v>
      </c>
      <c r="E187" s="13">
        <f>100*B187/B$7</f>
        <v/>
      </c>
      <c r="F187" s="13">
        <f>100*C187/C$7</f>
        <v/>
      </c>
      <c r="G187" s="13">
        <f>100*D187/D$7</f>
        <v/>
      </c>
    </row>
    <row r="188">
      <c r="A188" s="11" t="n">
        <v>45181</v>
      </c>
      <c r="B188" s="12" t="n">
        <v>91.06931299999999</v>
      </c>
      <c r="C188" s="12" t="n">
        <v>83.98184999999999</v>
      </c>
      <c r="D188" s="12" t="n">
        <v>612.400024</v>
      </c>
      <c r="E188" s="13">
        <f>100*B188/B$7</f>
        <v/>
      </c>
      <c r="F188" s="13">
        <f>100*C188/C$7</f>
        <v/>
      </c>
      <c r="G188" s="13">
        <f>100*D188/D$7</f>
        <v/>
      </c>
    </row>
    <row r="189">
      <c r="A189" s="11" t="n">
        <v>45182</v>
      </c>
      <c r="B189" s="12" t="n">
        <v>91.09786200000001</v>
      </c>
      <c r="C189" s="12" t="n">
        <v>84.08064299999999</v>
      </c>
      <c r="D189" s="12" t="n">
        <v>613.01001</v>
      </c>
      <c r="E189" s="13">
        <f>100*B189/B$7</f>
        <v/>
      </c>
      <c r="F189" s="13">
        <f>100*C189/C$7</f>
        <v/>
      </c>
      <c r="G189" s="13">
        <f>100*D189/D$7</f>
        <v/>
      </c>
    </row>
    <row r="190">
      <c r="A190" s="11" t="n">
        <v>45183</v>
      </c>
      <c r="B190" s="12" t="n">
        <v>91.935379</v>
      </c>
      <c r="C190" s="12" t="n">
        <v>83.891998</v>
      </c>
      <c r="D190" s="12" t="n">
        <v>619.630005</v>
      </c>
      <c r="E190" s="13">
        <f>100*B190/B$7</f>
        <v/>
      </c>
      <c r="F190" s="13">
        <f>100*C190/C$7</f>
        <v/>
      </c>
      <c r="G190" s="13">
        <f>100*D190/D$7</f>
        <v/>
      </c>
    </row>
    <row r="191">
      <c r="A191" s="11" t="n">
        <v>45184</v>
      </c>
      <c r="B191" s="12" t="n">
        <v>91.193039</v>
      </c>
      <c r="C191" s="12" t="n">
        <v>83.631462</v>
      </c>
      <c r="D191" s="12" t="n">
        <v>618.049988</v>
      </c>
      <c r="E191" s="13">
        <f>100*B191/B$7</f>
        <v/>
      </c>
      <c r="F191" s="13">
        <f>100*C191/C$7</f>
        <v/>
      </c>
      <c r="G191" s="13">
        <f>100*D191/D$7</f>
        <v/>
      </c>
    </row>
    <row r="192">
      <c r="A192" s="11" t="n">
        <v>45187</v>
      </c>
      <c r="B192" s="12" t="n">
        <v>91.09786200000001</v>
      </c>
      <c r="C192" s="12" t="n">
        <v>83.712334</v>
      </c>
      <c r="D192" s="12" t="n">
        <v>616.919983</v>
      </c>
      <c r="E192" s="13">
        <f>100*B192/B$7</f>
        <v/>
      </c>
      <c r="F192" s="13">
        <f>100*C192/C$7</f>
        <v/>
      </c>
      <c r="G192" s="13">
        <f>100*D192/D$7</f>
        <v/>
      </c>
    </row>
    <row r="193">
      <c r="A193" s="11" t="n">
        <v>45188</v>
      </c>
      <c r="B193" s="12" t="n">
        <v>90.89801</v>
      </c>
      <c r="C193" s="12" t="n">
        <v>83.406891</v>
      </c>
      <c r="D193" s="12" t="n">
        <v>617.52002</v>
      </c>
      <c r="E193" s="13">
        <f>100*B193/B$7</f>
        <v/>
      </c>
      <c r="F193" s="13">
        <f>100*C193/C$7</f>
        <v/>
      </c>
      <c r="G193" s="13">
        <f>100*D193/D$7</f>
        <v/>
      </c>
    </row>
    <row r="194">
      <c r="A194" s="11" t="n">
        <v>45189</v>
      </c>
      <c r="B194" s="12" t="n">
        <v>90.30793799999999</v>
      </c>
      <c r="C194" s="12" t="n">
        <v>83.343987</v>
      </c>
      <c r="D194" s="12" t="n">
        <v>614.469971</v>
      </c>
      <c r="E194" s="13">
        <f>100*B194/B$7</f>
        <v/>
      </c>
      <c r="F194" s="13">
        <f>100*C194/C$7</f>
        <v/>
      </c>
      <c r="G194" s="13">
        <f>100*D194/D$7</f>
        <v/>
      </c>
    </row>
    <row r="195">
      <c r="A195" s="11" t="n">
        <v>45190</v>
      </c>
      <c r="B195" s="12" t="n">
        <v>88.813751</v>
      </c>
      <c r="C195" s="12" t="n">
        <v>82.724113</v>
      </c>
      <c r="D195" s="12" t="n">
        <v>612.099976</v>
      </c>
      <c r="E195" s="13">
        <f>100*B195/B$7</f>
        <v/>
      </c>
      <c r="F195" s="13">
        <f>100*C195/C$7</f>
        <v/>
      </c>
      <c r="G195" s="13">
        <f>100*D195/D$7</f>
        <v/>
      </c>
    </row>
    <row r="196">
      <c r="A196" s="11" t="n">
        <v>45191</v>
      </c>
      <c r="B196" s="12" t="n">
        <v>88.75666</v>
      </c>
      <c r="C196" s="12" t="n">
        <v>83.04753100000001</v>
      </c>
      <c r="D196" s="12" t="n">
        <v>611.23999</v>
      </c>
      <c r="E196" s="13">
        <f>100*B196/B$7</f>
        <v/>
      </c>
      <c r="F196" s="13">
        <f>100*C196/C$7</f>
        <v/>
      </c>
      <c r="G196" s="13">
        <f>100*D196/D$7</f>
        <v/>
      </c>
    </row>
    <row r="197">
      <c r="A197" s="11" t="n">
        <v>45194</v>
      </c>
      <c r="B197" s="12" t="n">
        <v>88.87085</v>
      </c>
      <c r="C197" s="12" t="n">
        <v>82.436615</v>
      </c>
      <c r="D197" s="12" t="n">
        <v>609.190002</v>
      </c>
      <c r="E197" s="13">
        <f>100*B197/B$7</f>
        <v/>
      </c>
      <c r="F197" s="13">
        <f>100*C197/C$7</f>
        <v/>
      </c>
      <c r="G197" s="13">
        <f>100*D197/D$7</f>
        <v/>
      </c>
    </row>
    <row r="198">
      <c r="A198" s="11" t="n">
        <v>45195</v>
      </c>
      <c r="B198" s="12" t="n">
        <v>87.57652299999999</v>
      </c>
      <c r="C198" s="12" t="n">
        <v>82.409668</v>
      </c>
      <c r="D198" s="12" t="n">
        <v>609.049988</v>
      </c>
      <c r="E198" s="13">
        <f>100*B198/B$7</f>
        <v/>
      </c>
      <c r="F198" s="13">
        <f>100*C198/C$7</f>
        <v/>
      </c>
      <c r="G198" s="13">
        <f>100*D198/D$7</f>
        <v/>
      </c>
    </row>
    <row r="199">
      <c r="A199" s="11" t="n">
        <v>45196</v>
      </c>
      <c r="B199" s="12" t="n">
        <v>87.614594</v>
      </c>
      <c r="C199" s="12" t="n">
        <v>82.04135100000001</v>
      </c>
      <c r="D199" s="12" t="n">
        <v>618.299988</v>
      </c>
      <c r="E199" s="13">
        <f>100*B199/B$7</f>
        <v/>
      </c>
      <c r="F199" s="13">
        <f>100*C199/C$7</f>
        <v/>
      </c>
      <c r="G199" s="13">
        <f>100*D199/D$7</f>
        <v/>
      </c>
    </row>
    <row r="200">
      <c r="A200" s="11" t="n">
        <v>45197</v>
      </c>
      <c r="B200" s="12" t="n">
        <v>88.15707399999999</v>
      </c>
      <c r="C200" s="12" t="n">
        <v>82.26593800000001</v>
      </c>
      <c r="D200" s="12" t="n">
        <v>615.719971</v>
      </c>
      <c r="E200" s="13">
        <f>100*B200/B$7</f>
        <v/>
      </c>
      <c r="F200" s="13">
        <f>100*C200/C$7</f>
        <v/>
      </c>
      <c r="G200" s="13">
        <f>100*D200/D$7</f>
        <v/>
      </c>
    </row>
    <row r="201">
      <c r="A201" s="11" t="n">
        <v>45198</v>
      </c>
      <c r="B201" s="12" t="n">
        <v>87.909622</v>
      </c>
      <c r="C201" s="12" t="n">
        <v>82.28388200000001</v>
      </c>
      <c r="D201" s="12" t="n">
        <v>609.669983</v>
      </c>
      <c r="E201" s="13">
        <f>100*B201/B$7</f>
        <v/>
      </c>
      <c r="F201" s="13">
        <f>100*C201/C$7</f>
        <v/>
      </c>
      <c r="G201" s="13">
        <f>100*D201/D$7</f>
        <v/>
      </c>
    </row>
    <row r="202">
      <c r="A202" s="11" t="n">
        <v>45201</v>
      </c>
      <c r="B202" s="12" t="n">
        <v>87.519424</v>
      </c>
      <c r="C202" s="12" t="n">
        <v>81.616463</v>
      </c>
      <c r="D202" s="12" t="n">
        <v>602.01001</v>
      </c>
      <c r="E202" s="13">
        <f>100*B202/B$7</f>
        <v/>
      </c>
      <c r="F202" s="13">
        <f>100*C202/C$7</f>
        <v/>
      </c>
      <c r="G202" s="13">
        <f>100*D202/D$7</f>
        <v/>
      </c>
    </row>
    <row r="203">
      <c r="A203" s="11" t="n">
        <v>45202</v>
      </c>
      <c r="B203" s="12" t="n">
        <v>86.348831</v>
      </c>
      <c r="C203" s="12" t="n">
        <v>80.940895</v>
      </c>
      <c r="D203" s="12" t="n">
        <v>600.280029</v>
      </c>
      <c r="E203" s="13">
        <f>100*B203/B$7</f>
        <v/>
      </c>
      <c r="F203" s="13">
        <f>100*C203/C$7</f>
        <v/>
      </c>
      <c r="G203" s="13">
        <f>100*D203/D$7</f>
        <v/>
      </c>
    </row>
    <row r="204">
      <c r="A204" s="11" t="n">
        <v>45203</v>
      </c>
      <c r="B204" s="12" t="n">
        <v>86.71998600000001</v>
      </c>
      <c r="C204" s="12" t="n">
        <v>81.45431499999999</v>
      </c>
      <c r="D204" s="12" t="n">
        <v>579.72998</v>
      </c>
      <c r="E204" s="13">
        <f>100*B204/B$7</f>
        <v/>
      </c>
      <c r="F204" s="13">
        <f>100*C204/C$7</f>
        <v/>
      </c>
      <c r="G204" s="13">
        <f>100*D204/D$7</f>
        <v/>
      </c>
    </row>
    <row r="205">
      <c r="A205" s="11" t="n">
        <v>45204</v>
      </c>
      <c r="B205" s="12" t="n">
        <v>86.93888099999999</v>
      </c>
      <c r="C205" s="12" t="n">
        <v>81.607437</v>
      </c>
      <c r="D205" s="12" t="n">
        <v>573.27002</v>
      </c>
      <c r="E205" s="13">
        <f>100*B205/B$7</f>
        <v/>
      </c>
      <c r="F205" s="13">
        <f>100*C205/C$7</f>
        <v/>
      </c>
      <c r="G205" s="13">
        <f>100*D205/D$7</f>
        <v/>
      </c>
    </row>
    <row r="206">
      <c r="A206" s="11" t="n">
        <v>45205</v>
      </c>
      <c r="B206" s="12" t="n">
        <v>88.014313</v>
      </c>
      <c r="C206" s="12" t="n">
        <v>81.13003500000001</v>
      </c>
      <c r="D206" s="12" t="n">
        <v>575.710022</v>
      </c>
      <c r="E206" s="13">
        <f>100*B206/B$7</f>
        <v/>
      </c>
      <c r="F206" s="13">
        <f>100*C206/C$7</f>
        <v/>
      </c>
      <c r="G206" s="13">
        <f>100*D206/D$7</f>
        <v/>
      </c>
    </row>
    <row r="207">
      <c r="A207" s="11" t="n">
        <v>45208</v>
      </c>
      <c r="B207" s="12" t="n">
        <v>88.328377</v>
      </c>
      <c r="C207" s="12" t="n">
        <v>82.16590100000001</v>
      </c>
      <c r="D207" s="12" t="n">
        <v>587.6400149999999</v>
      </c>
      <c r="E207" s="13">
        <f>100*B207/B$7</f>
        <v/>
      </c>
      <c r="F207" s="13">
        <f>100*C207/C$7</f>
        <v/>
      </c>
      <c r="G207" s="13">
        <f>100*D207/D$7</f>
        <v/>
      </c>
    </row>
    <row r="208">
      <c r="A208" s="11" t="n">
        <v>45209</v>
      </c>
      <c r="B208" s="12" t="n">
        <v>89.07070899999999</v>
      </c>
      <c r="C208" s="12" t="n">
        <v>82.00376900000001</v>
      </c>
      <c r="D208" s="12" t="n">
        <v>585.090027</v>
      </c>
      <c r="E208" s="13">
        <f>100*B208/B$7</f>
        <v/>
      </c>
      <c r="F208" s="13">
        <f>100*C208/C$7</f>
        <v/>
      </c>
      <c r="G208" s="13">
        <f>100*D208/D$7</f>
        <v/>
      </c>
    </row>
    <row r="209">
      <c r="A209" s="11" t="n">
        <v>45210</v>
      </c>
      <c r="B209" s="12" t="n">
        <v>89.47995</v>
      </c>
      <c r="C209" s="12" t="n">
        <v>82.45414</v>
      </c>
      <c r="D209" s="12" t="n">
        <v>577.210022</v>
      </c>
      <c r="E209" s="13">
        <f>100*B209/B$7</f>
        <v/>
      </c>
      <c r="F209" s="13">
        <f>100*C209/C$7</f>
        <v/>
      </c>
      <c r="G209" s="13">
        <f>100*D209/D$7</f>
        <v/>
      </c>
    </row>
    <row r="210">
      <c r="A210" s="11" t="n">
        <v>45211</v>
      </c>
      <c r="B210" s="12" t="n">
        <v>88.794724</v>
      </c>
      <c r="C210" s="12" t="n">
        <v>81.661484</v>
      </c>
      <c r="D210" s="12" t="n">
        <v>577.97998</v>
      </c>
      <c r="E210" s="13">
        <f>100*B210/B$7</f>
        <v/>
      </c>
      <c r="F210" s="13">
        <f>100*C210/C$7</f>
        <v/>
      </c>
      <c r="G210" s="13">
        <f>100*D210/D$7</f>
        <v/>
      </c>
    </row>
    <row r="211">
      <c r="A211" s="11" t="n">
        <v>45212</v>
      </c>
      <c r="B211" s="12" t="n">
        <v>88.290314</v>
      </c>
      <c r="C211" s="12" t="n">
        <v>82.18392900000001</v>
      </c>
      <c r="D211" s="12" t="n">
        <v>595.849976</v>
      </c>
      <c r="E211" s="13">
        <f>100*B211/B$7</f>
        <v/>
      </c>
      <c r="F211" s="13">
        <f>100*C211/C$7</f>
        <v/>
      </c>
      <c r="G211" s="13">
        <f>100*D211/D$7</f>
        <v/>
      </c>
    </row>
    <row r="212">
      <c r="A212" s="11" t="n">
        <v>45215</v>
      </c>
      <c r="B212" s="12" t="n">
        <v>89.09927399999999</v>
      </c>
      <c r="C212" s="12" t="n">
        <v>81.697517</v>
      </c>
      <c r="D212" s="12" t="n">
        <v>591.330017</v>
      </c>
      <c r="E212" s="13">
        <f>100*B212/B$7</f>
        <v/>
      </c>
      <c r="F212" s="13">
        <f>100*C212/C$7</f>
        <v/>
      </c>
      <c r="G212" s="13">
        <f>100*D212/D$7</f>
        <v/>
      </c>
    </row>
    <row r="213">
      <c r="A213" s="11" t="n">
        <v>45216</v>
      </c>
      <c r="B213" s="12" t="n">
        <v>89.137344</v>
      </c>
      <c r="C213" s="12" t="n">
        <v>80.89585099999999</v>
      </c>
      <c r="D213" s="12" t="n">
        <v>591.400024</v>
      </c>
      <c r="E213" s="13">
        <f>100*B213/B$7</f>
        <v/>
      </c>
      <c r="F213" s="13">
        <f>100*C213/C$7</f>
        <v/>
      </c>
      <c r="G213" s="13">
        <f>100*D213/D$7</f>
        <v/>
      </c>
    </row>
    <row r="214">
      <c r="A214" s="11" t="n">
        <v>45217</v>
      </c>
      <c r="B214" s="12" t="n">
        <v>87.86204499999999</v>
      </c>
      <c r="C214" s="12" t="n">
        <v>80.517532</v>
      </c>
      <c r="D214" s="12" t="n">
        <v>598.97998</v>
      </c>
      <c r="E214" s="13">
        <f>100*B214/B$7</f>
        <v/>
      </c>
      <c r="F214" s="13">
        <f>100*C214/C$7</f>
        <v/>
      </c>
      <c r="G214" s="13">
        <f>100*D214/D$7</f>
        <v/>
      </c>
    </row>
    <row r="215">
      <c r="A215" s="11" t="n">
        <v>45218</v>
      </c>
      <c r="B215" s="12" t="n">
        <v>87.072113</v>
      </c>
      <c r="C215" s="12" t="n">
        <v>80.121185</v>
      </c>
      <c r="D215" s="12" t="n">
        <v>602.409973</v>
      </c>
      <c r="E215" s="13">
        <f>100*B215/B$7</f>
        <v/>
      </c>
      <c r="F215" s="13">
        <f>100*C215/C$7</f>
        <v/>
      </c>
      <c r="G215" s="13">
        <f>100*D215/D$7</f>
        <v/>
      </c>
    </row>
    <row r="216">
      <c r="A216" s="11" t="n">
        <v>45219</v>
      </c>
      <c r="B216" s="12" t="n">
        <v>86.034752</v>
      </c>
      <c r="C216" s="12" t="n">
        <v>80.589592</v>
      </c>
      <c r="D216" s="12" t="n">
        <v>600.799988</v>
      </c>
      <c r="E216" s="13">
        <f>100*B216/B$7</f>
        <v/>
      </c>
      <c r="F216" s="13">
        <f>100*C216/C$7</f>
        <v/>
      </c>
      <c r="G216" s="13">
        <f>100*D216/D$7</f>
        <v/>
      </c>
    </row>
    <row r="217">
      <c r="A217" s="11" t="n">
        <v>45222</v>
      </c>
      <c r="B217" s="12" t="n">
        <v>85.968132</v>
      </c>
      <c r="C217" s="12" t="n">
        <v>80.96790300000001</v>
      </c>
      <c r="D217" s="12" t="n">
        <v>590.77002</v>
      </c>
      <c r="E217" s="13">
        <f>100*B217/B$7</f>
        <v/>
      </c>
      <c r="F217" s="13">
        <f>100*C217/C$7</f>
        <v/>
      </c>
      <c r="G217" s="13">
        <f>100*D217/D$7</f>
        <v/>
      </c>
    </row>
    <row r="218">
      <c r="A218" s="11" t="n">
        <v>45223</v>
      </c>
      <c r="B218" s="12" t="n">
        <v>86.59625200000001</v>
      </c>
      <c r="C218" s="12" t="n">
        <v>81.11204499999999</v>
      </c>
      <c r="D218" s="12" t="n">
        <v>583.460022</v>
      </c>
      <c r="E218" s="13">
        <f>100*B218/B$7</f>
        <v/>
      </c>
      <c r="F218" s="13">
        <f>100*C218/C$7</f>
        <v/>
      </c>
      <c r="G218" s="13">
        <f>100*D218/D$7</f>
        <v/>
      </c>
    </row>
    <row r="219">
      <c r="A219" s="11" t="n">
        <v>45224</v>
      </c>
      <c r="B219" s="12" t="n">
        <v>85.492279</v>
      </c>
      <c r="C219" s="12" t="n">
        <v>80.40044399999999</v>
      </c>
      <c r="D219" s="12" t="n">
        <v>589.01001</v>
      </c>
      <c r="E219" s="13">
        <f>100*B219/B$7</f>
        <v/>
      </c>
      <c r="F219" s="13">
        <f>100*C219/C$7</f>
        <v/>
      </c>
      <c r="G219" s="13">
        <f>100*D219/D$7</f>
        <v/>
      </c>
    </row>
    <row r="220">
      <c r="A220" s="11" t="n">
        <v>45225</v>
      </c>
      <c r="B220" s="12" t="n">
        <v>84.616699</v>
      </c>
      <c r="C220" s="12" t="n">
        <v>81.012939</v>
      </c>
      <c r="D220" s="12" t="n">
        <v>582.780029</v>
      </c>
      <c r="E220" s="13">
        <f>100*B220/B$7</f>
        <v/>
      </c>
      <c r="F220" s="13">
        <f>100*C220/C$7</f>
        <v/>
      </c>
      <c r="G220" s="13">
        <f>100*D220/D$7</f>
        <v/>
      </c>
    </row>
    <row r="221">
      <c r="A221" s="11" t="n">
        <v>45226</v>
      </c>
      <c r="B221" s="12" t="n">
        <v>84.31214900000001</v>
      </c>
      <c r="C221" s="12" t="n">
        <v>81.139053</v>
      </c>
      <c r="D221" s="12" t="n">
        <v>591.409973</v>
      </c>
      <c r="E221" s="13">
        <f>100*B221/B$7</f>
        <v/>
      </c>
      <c r="F221" s="13">
        <f>100*C221/C$7</f>
        <v/>
      </c>
      <c r="G221" s="13">
        <f>100*D221/D$7</f>
        <v/>
      </c>
    </row>
    <row r="222">
      <c r="A222" s="11" t="n">
        <v>45229</v>
      </c>
      <c r="B222" s="12" t="n">
        <v>85.292419</v>
      </c>
      <c r="C222" s="12" t="n">
        <v>80.868835</v>
      </c>
      <c r="D222" s="12" t="n">
        <v>579.51001</v>
      </c>
      <c r="E222" s="13">
        <f>100*B222/B$7</f>
        <v/>
      </c>
      <c r="F222" s="13">
        <f>100*C222/C$7</f>
        <v/>
      </c>
      <c r="G222" s="13">
        <f>100*D222/D$7</f>
        <v/>
      </c>
    </row>
    <row r="223">
      <c r="A223" s="11" t="n">
        <v>45230</v>
      </c>
      <c r="B223" s="12" t="n">
        <v>85.673119</v>
      </c>
      <c r="C223" s="12" t="n">
        <v>80.697678</v>
      </c>
      <c r="D223" s="12" t="n">
        <v>576.969971</v>
      </c>
      <c r="E223" s="13">
        <f>100*B223/B$7</f>
        <v/>
      </c>
      <c r="F223" s="13">
        <f>100*C223/C$7</f>
        <v/>
      </c>
      <c r="G223" s="13">
        <f>100*D223/D$7</f>
        <v/>
      </c>
    </row>
    <row r="224">
      <c r="A224" s="11" t="n">
        <v>45231</v>
      </c>
      <c r="B224" s="12" t="n">
        <v>86.52964799999999</v>
      </c>
      <c r="C224" s="12" t="n">
        <v>81.62713599999999</v>
      </c>
      <c r="D224" s="12" t="n">
        <v>575.289978</v>
      </c>
      <c r="E224" s="13">
        <f>100*B224/B$7</f>
        <v/>
      </c>
      <c r="F224" s="13">
        <f>100*C224/C$7</f>
        <v/>
      </c>
      <c r="G224" s="13">
        <f>100*D224/D$7</f>
        <v/>
      </c>
    </row>
    <row r="225">
      <c r="A225" s="11" t="n">
        <v>45232</v>
      </c>
      <c r="B225" s="12" t="n">
        <v>88.242729</v>
      </c>
      <c r="C225" s="12" t="n">
        <v>82.132957</v>
      </c>
      <c r="D225" s="12" t="n">
        <v>584.179993</v>
      </c>
      <c r="E225" s="13">
        <f>100*B225/B$7</f>
        <v/>
      </c>
      <c r="F225" s="13">
        <f>100*C225/C$7</f>
        <v/>
      </c>
      <c r="G225" s="13">
        <f>100*D225/D$7</f>
        <v/>
      </c>
    </row>
    <row r="226">
      <c r="A226" s="11" t="n">
        <v>45233</v>
      </c>
      <c r="B226" s="12" t="n">
        <v>89.26107</v>
      </c>
      <c r="C226" s="12" t="n">
        <v>82.765221</v>
      </c>
      <c r="D226" s="12" t="n">
        <v>577.8900149999999</v>
      </c>
      <c r="E226" s="13">
        <f>100*B226/B$7</f>
        <v/>
      </c>
      <c r="F226" s="13">
        <f>100*C226/C$7</f>
        <v/>
      </c>
      <c r="G226" s="13">
        <f>100*D226/D$7</f>
        <v/>
      </c>
    </row>
    <row r="227">
      <c r="A227" s="11" t="n">
        <v>45236</v>
      </c>
      <c r="B227" s="12" t="n">
        <v>89.33719600000001</v>
      </c>
      <c r="C227" s="12" t="n">
        <v>82.28649900000001</v>
      </c>
      <c r="D227" s="12" t="n">
        <v>578.669983</v>
      </c>
      <c r="E227" s="13">
        <f>100*B227/B$7</f>
        <v/>
      </c>
      <c r="F227" s="13">
        <f>100*C227/C$7</f>
        <v/>
      </c>
      <c r="G227" s="13">
        <f>100*D227/D$7</f>
        <v/>
      </c>
    </row>
    <row r="228">
      <c r="A228" s="11" t="n">
        <v>45237</v>
      </c>
      <c r="B228" s="12" t="n">
        <v>89.28961200000001</v>
      </c>
      <c r="C228" s="12" t="n">
        <v>82.75619500000001</v>
      </c>
      <c r="D228" s="12" t="n">
        <v>562.580017</v>
      </c>
      <c r="E228" s="13">
        <f>100*B228/B$7</f>
        <v/>
      </c>
      <c r="F228" s="13">
        <f>100*C228/C$7</f>
        <v/>
      </c>
      <c r="G228" s="13">
        <f>100*D228/D$7</f>
        <v/>
      </c>
    </row>
    <row r="229">
      <c r="A229" s="11" t="n">
        <v>45238</v>
      </c>
      <c r="B229" s="12" t="n">
        <v>89.270584</v>
      </c>
      <c r="C229" s="12" t="n">
        <v>83.090401</v>
      </c>
      <c r="D229" s="12" t="n">
        <v>555.76001</v>
      </c>
      <c r="E229" s="13">
        <f>100*B229/B$7</f>
        <v/>
      </c>
      <c r="F229" s="13">
        <f>100*C229/C$7</f>
        <v/>
      </c>
      <c r="G229" s="13">
        <f>100*D229/D$7</f>
        <v/>
      </c>
    </row>
    <row r="230">
      <c r="A230" s="11" t="n">
        <v>45239</v>
      </c>
      <c r="B230" s="12" t="n">
        <v>88.73761</v>
      </c>
      <c r="C230" s="12" t="n">
        <v>82.26844</v>
      </c>
      <c r="D230" s="12" t="n">
        <v>554.799988</v>
      </c>
      <c r="E230" s="13">
        <f>100*B230/B$7</f>
        <v/>
      </c>
      <c r="F230" s="13">
        <f>100*C230/C$7</f>
        <v/>
      </c>
      <c r="G230" s="13">
        <f>100*D230/D$7</f>
        <v/>
      </c>
    </row>
    <row r="231">
      <c r="A231" s="11" t="n">
        <v>45240</v>
      </c>
      <c r="B231" s="12" t="n">
        <v>89.75593600000001</v>
      </c>
      <c r="C231" s="12" t="n">
        <v>82.358772</v>
      </c>
      <c r="D231" s="12" t="n">
        <v>558.049988</v>
      </c>
      <c r="E231" s="13">
        <f>100*B231/B$7</f>
        <v/>
      </c>
      <c r="F231" s="13">
        <f>100*C231/C$7</f>
        <v/>
      </c>
      <c r="G231" s="13">
        <f>100*D231/D$7</f>
        <v/>
      </c>
    </row>
    <row r="232">
      <c r="A232" s="11" t="n">
        <v>45243</v>
      </c>
      <c r="B232" s="12" t="n">
        <v>89.77499400000001</v>
      </c>
      <c r="C232" s="12" t="n">
        <v>82.313591</v>
      </c>
      <c r="D232" s="12" t="n">
        <v>566.969971</v>
      </c>
      <c r="E232" s="13">
        <f>100*B232/B$7</f>
        <v/>
      </c>
      <c r="F232" s="13">
        <f>100*C232/C$7</f>
        <v/>
      </c>
      <c r="G232" s="13">
        <f>100*D232/D$7</f>
        <v/>
      </c>
    </row>
    <row r="233">
      <c r="A233" s="11" t="n">
        <v>45244</v>
      </c>
      <c r="B233" s="12" t="n">
        <v>91.735512</v>
      </c>
      <c r="C233" s="12" t="n">
        <v>83.55107099999999</v>
      </c>
      <c r="D233" s="12" t="n">
        <v>567.559998</v>
      </c>
      <c r="E233" s="13">
        <f>100*B233/B$7</f>
        <v/>
      </c>
      <c r="F233" s="13">
        <f>100*C233/C$7</f>
        <v/>
      </c>
      <c r="G233" s="13">
        <f>100*D233/D$7</f>
        <v/>
      </c>
    </row>
    <row r="234">
      <c r="A234" s="11" t="n">
        <v>45245</v>
      </c>
      <c r="B234" s="12" t="n">
        <v>91.925842</v>
      </c>
      <c r="C234" s="12" t="n">
        <v>82.90072600000001</v>
      </c>
      <c r="D234" s="12" t="n">
        <v>563.52002</v>
      </c>
      <c r="E234" s="13">
        <f>100*B234/B$7</f>
        <v/>
      </c>
      <c r="F234" s="13">
        <f>100*C234/C$7</f>
        <v/>
      </c>
      <c r="G234" s="13">
        <f>100*D234/D$7</f>
        <v/>
      </c>
    </row>
    <row r="235">
      <c r="A235" s="11" t="n">
        <v>45246</v>
      </c>
      <c r="B235" s="12" t="n">
        <v>91.859222</v>
      </c>
      <c r="C235" s="12" t="n">
        <v>83.52398700000001</v>
      </c>
      <c r="D235" s="12" t="n">
        <v>547.6099850000001</v>
      </c>
      <c r="E235" s="13">
        <f>100*B235/B$7</f>
        <v/>
      </c>
      <c r="F235" s="13">
        <f>100*C235/C$7</f>
        <v/>
      </c>
      <c r="G235" s="13">
        <f>100*D235/D$7</f>
        <v/>
      </c>
    </row>
    <row r="236">
      <c r="A236" s="11" t="n">
        <v>45247</v>
      </c>
      <c r="B236" s="12" t="n">
        <v>92.26847100000001</v>
      </c>
      <c r="C236" s="12" t="n">
        <v>83.578163</v>
      </c>
      <c r="D236" s="12" t="n">
        <v>556.75</v>
      </c>
      <c r="E236" s="13">
        <f>100*B236/B$7</f>
        <v/>
      </c>
      <c r="F236" s="13">
        <f>100*C236/C$7</f>
        <v/>
      </c>
      <c r="G236" s="13">
        <f>100*D236/D$7</f>
        <v/>
      </c>
    </row>
    <row r="237">
      <c r="A237" s="11" t="n">
        <v>45250</v>
      </c>
      <c r="B237" s="12" t="n">
        <v>92.915634</v>
      </c>
      <c r="C237" s="12" t="n">
        <v>83.695564</v>
      </c>
      <c r="D237" s="12" t="n">
        <v>565</v>
      </c>
      <c r="E237" s="13">
        <f>100*B237/B$7</f>
        <v/>
      </c>
      <c r="F237" s="13">
        <f>100*C237/C$7</f>
        <v/>
      </c>
      <c r="G237" s="13">
        <f>100*D237/D$7</f>
        <v/>
      </c>
    </row>
    <row r="238">
      <c r="A238" s="11" t="n">
        <v>45251</v>
      </c>
      <c r="B238" s="12" t="n">
        <v>92.66819</v>
      </c>
      <c r="C238" s="12" t="n">
        <v>83.803963</v>
      </c>
      <c r="D238" s="12" t="n">
        <v>566.349976</v>
      </c>
      <c r="E238" s="13">
        <f>100*B238/B$7</f>
        <v/>
      </c>
      <c r="F238" s="13">
        <f>100*C238/C$7</f>
        <v/>
      </c>
      <c r="G238" s="13">
        <f>100*D238/D$7</f>
        <v/>
      </c>
    </row>
    <row r="239">
      <c r="A239" s="11" t="n">
        <v>45252</v>
      </c>
      <c r="B239" s="12" t="n">
        <v>92.925156</v>
      </c>
      <c r="C239" s="12" t="n">
        <v>83.776878</v>
      </c>
      <c r="D239" s="12" t="n">
        <v>561.710022</v>
      </c>
      <c r="E239" s="13">
        <f>100*B239/B$7</f>
        <v/>
      </c>
      <c r="F239" s="13">
        <f>100*C239/C$7</f>
        <v/>
      </c>
      <c r="G239" s="13">
        <f>100*D239/D$7</f>
        <v/>
      </c>
    </row>
    <row r="240">
      <c r="A240" s="11" t="n">
        <v>45253</v>
      </c>
      <c r="B240" s="12" t="n">
        <v>92.925156</v>
      </c>
      <c r="C240" s="12" t="n">
        <v>83.776878</v>
      </c>
      <c r="D240" s="12" t="n">
        <v>561.710022</v>
      </c>
      <c r="E240" s="13">
        <f>100*B240/B$7</f>
        <v/>
      </c>
      <c r="F240" s="13">
        <f>100*C240/C$7</f>
        <v/>
      </c>
      <c r="G240" s="13">
        <f>100*D240/D$7</f>
        <v/>
      </c>
    </row>
    <row r="241">
      <c r="A241" s="11" t="n">
        <v>45254</v>
      </c>
      <c r="B241" s="12" t="n">
        <v>93.15355700000001</v>
      </c>
      <c r="C241" s="12" t="n">
        <v>83.343323</v>
      </c>
      <c r="D241" s="12" t="n">
        <v>554.539978</v>
      </c>
      <c r="E241" s="13">
        <f>100*B241/B$7</f>
        <v/>
      </c>
      <c r="F241" s="13">
        <f>100*C241/C$7</f>
        <v/>
      </c>
      <c r="G241" s="13">
        <f>100*D241/D$7</f>
        <v/>
      </c>
    </row>
    <row r="242">
      <c r="A242" s="11" t="n">
        <v>45257</v>
      </c>
      <c r="B242" s="12" t="n">
        <v>92.906113</v>
      </c>
      <c r="C242" s="12" t="n">
        <v>83.97558600000001</v>
      </c>
      <c r="D242" s="12" t="n">
        <v>549.73999</v>
      </c>
      <c r="E242" s="13">
        <f>100*B242/B$7</f>
        <v/>
      </c>
      <c r="F242" s="13">
        <f>100*C242/C$7</f>
        <v/>
      </c>
      <c r="G242" s="13">
        <f>100*D242/D$7</f>
        <v/>
      </c>
    </row>
    <row r="243">
      <c r="A243" s="11" t="n">
        <v>45258</v>
      </c>
      <c r="B243" s="12" t="n">
        <v>93.05838799999999</v>
      </c>
      <c r="C243" s="12" t="n">
        <v>84.34590900000001</v>
      </c>
      <c r="D243" s="12" t="n">
        <v>558.47998</v>
      </c>
      <c r="E243" s="13">
        <f>100*B243/B$7</f>
        <v/>
      </c>
      <c r="F243" s="13">
        <f>100*C243/C$7</f>
        <v/>
      </c>
      <c r="G243" s="13">
        <f>100*D243/D$7</f>
        <v/>
      </c>
    </row>
    <row r="244">
      <c r="A244" s="11" t="n">
        <v>45259</v>
      </c>
      <c r="B244" s="12" t="n">
        <v>93.04888200000001</v>
      </c>
      <c r="C244" s="12" t="n">
        <v>84.78851299999999</v>
      </c>
      <c r="D244" s="12" t="n">
        <v>563.380005</v>
      </c>
      <c r="E244" s="13">
        <f>100*B244/B$7</f>
        <v/>
      </c>
      <c r="F244" s="13">
        <f>100*C244/C$7</f>
        <v/>
      </c>
      <c r="G244" s="13">
        <f>100*D244/D$7</f>
        <v/>
      </c>
    </row>
    <row r="245">
      <c r="A245" s="11" t="n">
        <v>45260</v>
      </c>
      <c r="B245" s="12" t="n">
        <v>93.286804</v>
      </c>
      <c r="C245" s="12" t="n">
        <v>84.373024</v>
      </c>
      <c r="D245" s="12" t="n">
        <v>555.77002</v>
      </c>
      <c r="E245" s="13">
        <f>100*B245/B$7</f>
        <v/>
      </c>
      <c r="F245" s="13">
        <f>100*C245/C$7</f>
        <v/>
      </c>
      <c r="G245" s="13">
        <f>100*D245/D$7</f>
        <v/>
      </c>
    </row>
    <row r="246">
      <c r="A246" s="11" t="n">
        <v>45261</v>
      </c>
      <c r="B246" s="12" t="n">
        <v>93.981544</v>
      </c>
      <c r="C246" s="12" t="n">
        <v>85.169121</v>
      </c>
      <c r="D246" s="12" t="n">
        <v>548.710022</v>
      </c>
      <c r="E246" s="13">
        <f>100*B246/B$7</f>
        <v/>
      </c>
      <c r="F246" s="13">
        <f>100*C246/C$7</f>
        <v/>
      </c>
      <c r="G246" s="13">
        <f>100*D246/D$7</f>
        <v/>
      </c>
    </row>
    <row r="247">
      <c r="A247" s="11" t="n">
        <v>45264</v>
      </c>
      <c r="B247" s="12" t="n">
        <v>93.40100099999999</v>
      </c>
      <c r="C247" s="12" t="n">
        <v>84.815918</v>
      </c>
      <c r="D247" s="12" t="n">
        <v>543.049988</v>
      </c>
      <c r="E247" s="13">
        <f>100*B247/B$7</f>
        <v/>
      </c>
      <c r="F247" s="13">
        <f>100*C247/C$7</f>
        <v/>
      </c>
      <c r="G247" s="13">
        <f>100*D247/D$7</f>
        <v/>
      </c>
    </row>
    <row r="248">
      <c r="A248" s="11" t="n">
        <v>45265</v>
      </c>
      <c r="B248" s="12" t="n">
        <v>93.22017700000001</v>
      </c>
      <c r="C248" s="12" t="n">
        <v>85.413635</v>
      </c>
      <c r="D248" s="12" t="n">
        <v>539.900024</v>
      </c>
      <c r="E248" s="13">
        <f>100*B248/B$7</f>
        <v/>
      </c>
      <c r="F248" s="13">
        <f>100*C248/C$7</f>
        <v/>
      </c>
      <c r="G248" s="13">
        <f>100*D248/D$7</f>
        <v/>
      </c>
    </row>
    <row r="249">
      <c r="A249" s="11" t="n">
        <v>45266</v>
      </c>
      <c r="B249" s="12" t="n">
        <v>93.03936</v>
      </c>
      <c r="C249" s="12" t="n">
        <v>85.76683800000001</v>
      </c>
      <c r="D249" s="12" t="n">
        <v>525.049988</v>
      </c>
      <c r="E249" s="13">
        <f>100*B249/B$7</f>
        <v/>
      </c>
      <c r="F249" s="13">
        <f>100*C249/C$7</f>
        <v/>
      </c>
      <c r="G249" s="13">
        <f>100*D249/D$7</f>
        <v/>
      </c>
    </row>
    <row r="250">
      <c r="A250" s="11" t="n">
        <v>45267</v>
      </c>
      <c r="B250" s="12" t="n">
        <v>93.638931</v>
      </c>
      <c r="C250" s="12" t="n">
        <v>85.640038</v>
      </c>
      <c r="D250" s="12" t="n">
        <v>525.1400149999999</v>
      </c>
      <c r="E250" s="13">
        <f>100*B250/B$7</f>
        <v/>
      </c>
      <c r="F250" s="13">
        <f>100*C250/C$7</f>
        <v/>
      </c>
      <c r="G250" s="13">
        <f>100*D250/D$7</f>
        <v/>
      </c>
    </row>
    <row r="251">
      <c r="A251" s="11" t="n">
        <v>45268</v>
      </c>
      <c r="B251" s="12" t="n">
        <v>93.94347399999999</v>
      </c>
      <c r="C251" s="12" t="n">
        <v>85.087631</v>
      </c>
      <c r="D251" s="12" t="n">
        <v>531.900024</v>
      </c>
      <c r="E251" s="13">
        <f>100*B251/B$7</f>
        <v/>
      </c>
      <c r="F251" s="13">
        <f>100*C251/C$7</f>
        <v/>
      </c>
      <c r="G251" s="13">
        <f>100*D251/D$7</f>
        <v/>
      </c>
    </row>
    <row r="252">
      <c r="A252" s="11" t="n">
        <v>45271</v>
      </c>
      <c r="B252" s="12" t="n">
        <v>94.27658099999999</v>
      </c>
      <c r="C252" s="12" t="n">
        <v>85.096672</v>
      </c>
      <c r="D252" s="12" t="n">
        <v>530.400024</v>
      </c>
      <c r="E252" s="13">
        <f>100*B252/B$7</f>
        <v/>
      </c>
      <c r="F252" s="13">
        <f>100*C252/C$7</f>
        <v/>
      </c>
      <c r="G252" s="13">
        <f>100*D252/D$7</f>
        <v/>
      </c>
    </row>
    <row r="253">
      <c r="A253" s="11" t="n">
        <v>45272</v>
      </c>
      <c r="B253" s="12" t="n">
        <v>94.58112300000001</v>
      </c>
      <c r="C253" s="12" t="n">
        <v>85.277779</v>
      </c>
      <c r="D253" s="12" t="n">
        <v>520.26001</v>
      </c>
      <c r="E253" s="13">
        <f>100*B253/B$7</f>
        <v/>
      </c>
      <c r="F253" s="13">
        <f>100*C253/C$7</f>
        <v/>
      </c>
      <c r="G253" s="13">
        <f>100*D253/D$7</f>
        <v/>
      </c>
    </row>
    <row r="254">
      <c r="A254" s="11" t="n">
        <v>45273</v>
      </c>
      <c r="B254" s="12" t="n">
        <v>95.884972</v>
      </c>
      <c r="C254" s="12" t="n">
        <v>86.545715</v>
      </c>
      <c r="D254" s="12" t="n">
        <v>522.710022</v>
      </c>
      <c r="E254" s="13">
        <f>100*B254/B$7</f>
        <v/>
      </c>
      <c r="F254" s="13">
        <f>100*C254/C$7</f>
        <v/>
      </c>
      <c r="G254" s="13">
        <f>100*D254/D$7</f>
        <v/>
      </c>
    </row>
    <row r="255">
      <c r="A255" s="11" t="n">
        <v>45274</v>
      </c>
      <c r="B255" s="12" t="n">
        <v>96.503586</v>
      </c>
      <c r="C255" s="12" t="n">
        <v>87.26512099999999</v>
      </c>
      <c r="D255" s="12" t="n">
        <v>535.47998</v>
      </c>
      <c r="E255" s="13">
        <f>100*B255/B$7</f>
        <v/>
      </c>
      <c r="F255" s="13">
        <f>100*C255/C$7</f>
        <v/>
      </c>
      <c r="G255" s="13">
        <f>100*D255/D$7</f>
        <v/>
      </c>
    </row>
    <row r="256">
      <c r="A256" s="11" t="n">
        <v>45275</v>
      </c>
      <c r="B256" s="12" t="n">
        <v>96.094353</v>
      </c>
      <c r="C256" s="12" t="n">
        <v>87.192459</v>
      </c>
      <c r="D256" s="12" t="n">
        <v>537.559998</v>
      </c>
      <c r="E256" s="13">
        <f>100*B256/B$7</f>
        <v/>
      </c>
      <c r="F256" s="13">
        <f>100*C256/C$7</f>
        <v/>
      </c>
      <c r="G256" s="13">
        <f>100*D256/D$7</f>
        <v/>
      </c>
    </row>
    <row r="257">
      <c r="A257" s="11" t="n">
        <v>45278</v>
      </c>
      <c r="B257" s="12" t="n">
        <v>96.522614</v>
      </c>
      <c r="C257" s="12" t="n">
        <v>87.001701</v>
      </c>
      <c r="D257" s="12" t="n">
        <v>541.549988</v>
      </c>
      <c r="E257" s="13">
        <f>100*B257/B$7</f>
        <v/>
      </c>
      <c r="F257" s="13">
        <f>100*C257/C$7</f>
        <v/>
      </c>
      <c r="G257" s="13">
        <f>100*D257/D$7</f>
        <v/>
      </c>
    </row>
    <row r="258">
      <c r="A258" s="11" t="n">
        <v>45279</v>
      </c>
      <c r="B258" s="12" t="n">
        <v>97.217361</v>
      </c>
      <c r="C258" s="12" t="n">
        <v>87.16522999999999</v>
      </c>
      <c r="D258" s="12" t="n">
        <v>546.27002</v>
      </c>
      <c r="E258" s="13">
        <f>100*B258/B$7</f>
        <v/>
      </c>
      <c r="F258" s="13">
        <f>100*C258/C$7</f>
        <v/>
      </c>
      <c r="G258" s="13">
        <f>100*D258/D$7</f>
        <v/>
      </c>
    </row>
    <row r="259">
      <c r="A259" s="11" t="n">
        <v>45280</v>
      </c>
      <c r="B259" s="12" t="n">
        <v>95.86462400000001</v>
      </c>
      <c r="C259" s="12" t="n">
        <v>87.59214799999999</v>
      </c>
      <c r="D259" s="12" t="n">
        <v>545.820007</v>
      </c>
      <c r="E259" s="13">
        <f>100*B259/B$7</f>
        <v/>
      </c>
      <c r="F259" s="13">
        <f>100*C259/C$7</f>
        <v/>
      </c>
      <c r="G259" s="13">
        <f>100*D259/D$7</f>
        <v/>
      </c>
    </row>
    <row r="260">
      <c r="A260" s="11" t="n">
        <v>45281</v>
      </c>
      <c r="B260" s="12" t="n">
        <v>97.065567</v>
      </c>
      <c r="C260" s="12" t="n">
        <v>87.45590199999999</v>
      </c>
      <c r="D260" s="12" t="n">
        <v>543.789978</v>
      </c>
      <c r="E260" s="13">
        <f>100*B260/B$7</f>
        <v/>
      </c>
      <c r="F260" s="13">
        <f>100*C260/C$7</f>
        <v/>
      </c>
      <c r="G260" s="13">
        <f>100*D260/D$7</f>
        <v/>
      </c>
    </row>
    <row r="261">
      <c r="A261" s="11" t="n">
        <v>45282</v>
      </c>
      <c r="B261" s="12" t="n">
        <v>97.209694</v>
      </c>
      <c r="C261" s="12" t="n">
        <v>87.374138</v>
      </c>
      <c r="D261" s="12" t="n">
        <v>543.72998</v>
      </c>
      <c r="E261" s="13">
        <f>100*B261/B$7</f>
        <v/>
      </c>
      <c r="F261" s="13">
        <f>100*C261/C$7</f>
        <v/>
      </c>
      <c r="G261" s="13">
        <f>100*D261/D$7</f>
        <v/>
      </c>
    </row>
    <row r="262">
      <c r="A262" s="11" t="n">
        <v>45285</v>
      </c>
      <c r="B262" s="12" t="n">
        <v>97.209694</v>
      </c>
      <c r="C262" s="12" t="n">
        <v>87.374138</v>
      </c>
      <c r="D262" s="12" t="n">
        <v>543.72998</v>
      </c>
      <c r="E262" s="13">
        <f>100*B262/B$7</f>
        <v/>
      </c>
      <c r="F262" s="13">
        <f>100*C262/C$7</f>
        <v/>
      </c>
      <c r="G262" s="13">
        <f>100*D262/D$7</f>
        <v/>
      </c>
    </row>
    <row r="263">
      <c r="A263" s="11" t="n">
        <v>45286</v>
      </c>
      <c r="B263" s="12" t="n">
        <v>97.68044999999999</v>
      </c>
      <c r="C263" s="12" t="n">
        <v>87.428635</v>
      </c>
      <c r="D263" s="12" t="n">
        <v>551.150024</v>
      </c>
      <c r="E263" s="13">
        <f>100*B263/B$7</f>
        <v/>
      </c>
      <c r="F263" s="13">
        <f>100*C263/C$7</f>
        <v/>
      </c>
      <c r="G263" s="13">
        <f>100*D263/D$7</f>
        <v/>
      </c>
    </row>
    <row r="264">
      <c r="A264" s="11" t="n">
        <v>45287</v>
      </c>
      <c r="B264" s="12" t="n">
        <v>97.959076</v>
      </c>
      <c r="C264" s="12" t="n">
        <v>88.109886</v>
      </c>
      <c r="D264" s="12" t="n">
        <v>547.059998</v>
      </c>
      <c r="E264" s="13">
        <f>100*B264/B$7</f>
        <v/>
      </c>
      <c r="F264" s="13">
        <f>100*C264/C$7</f>
        <v/>
      </c>
      <c r="G264" s="13">
        <f>100*D264/D$7</f>
        <v/>
      </c>
    </row>
    <row r="265">
      <c r="A265" s="11" t="n">
        <v>45288</v>
      </c>
      <c r="B265" s="12" t="n">
        <v>97.959076</v>
      </c>
      <c r="C265" s="12" t="n">
        <v>87.77381099999999</v>
      </c>
      <c r="D265" s="12" t="n">
        <v>538.900024</v>
      </c>
      <c r="E265" s="13">
        <f>100*B265/B$7</f>
        <v/>
      </c>
      <c r="F265" s="13">
        <f>100*C265/C$7</f>
        <v/>
      </c>
      <c r="G265" s="13">
        <f>100*D265/D$7</f>
        <v/>
      </c>
    </row>
    <row r="266">
      <c r="A266" s="11" t="n">
        <v>45289</v>
      </c>
      <c r="B266" s="12" t="n">
        <v>97.776527</v>
      </c>
      <c r="C266" s="12" t="n">
        <v>87.555801</v>
      </c>
      <c r="D266" s="12" t="n">
        <v>535.6400149999999</v>
      </c>
      <c r="E266" s="13">
        <f>100*B266/B$7</f>
        <v/>
      </c>
      <c r="F266" s="13">
        <f>100*C266/C$7</f>
        <v/>
      </c>
      <c r="G266" s="13">
        <f>100*D266/D$7</f>
        <v/>
      </c>
    </row>
    <row r="267">
      <c r="A267" s="11" t="n">
        <v>45292</v>
      </c>
      <c r="B267" s="12" t="n">
        <v>97.776527</v>
      </c>
      <c r="C267" s="12" t="n">
        <v>87.555801</v>
      </c>
      <c r="D267" s="12" t="n">
        <v>535.6400149999999</v>
      </c>
      <c r="E267" s="13">
        <f>100*B267/B$7</f>
        <v/>
      </c>
      <c r="F267" s="13">
        <f>100*C267/C$7</f>
        <v/>
      </c>
      <c r="G267" s="13">
        <f>100*D267/D$7</f>
        <v/>
      </c>
    </row>
    <row r="268">
      <c r="A268" s="11" t="n">
        <v>45293</v>
      </c>
      <c r="B268" s="12" t="n">
        <v>96.940674</v>
      </c>
      <c r="C268" s="12" t="n">
        <v>87.22879</v>
      </c>
      <c r="D268" s="12" t="n">
        <v>530.48999</v>
      </c>
      <c r="E268" s="13">
        <f>100*B268/B$7</f>
        <v/>
      </c>
      <c r="F268" s="13">
        <f>100*C268/C$7</f>
        <v/>
      </c>
      <c r="G268" s="13">
        <f>100*D268/D$7</f>
        <v/>
      </c>
    </row>
    <row r="269">
      <c r="A269" s="11" t="n">
        <v>45294</v>
      </c>
      <c r="B269" s="12" t="n">
        <v>96.17205800000001</v>
      </c>
      <c r="C269" s="12" t="n">
        <v>87.43770600000001</v>
      </c>
      <c r="D269" s="12" t="n">
        <v>539.159973</v>
      </c>
      <c r="E269" s="13">
        <f>100*B269/B$7</f>
        <v/>
      </c>
      <c r="F269" s="13">
        <f>100*C269/C$7</f>
        <v/>
      </c>
      <c r="G269" s="13">
        <f>100*D269/D$7</f>
        <v/>
      </c>
    </row>
    <row r="270">
      <c r="A270" s="11" t="n">
        <v>45295</v>
      </c>
      <c r="B270" s="12" t="n">
        <v>96.06637600000001</v>
      </c>
      <c r="C270" s="12" t="n">
        <v>86.910873</v>
      </c>
      <c r="D270" s="12" t="n">
        <v>536.98999</v>
      </c>
      <c r="E270" s="13">
        <f>100*B270/B$7</f>
        <v/>
      </c>
      <c r="F270" s="13">
        <f>100*C270/C$7</f>
        <v/>
      </c>
      <c r="G270" s="13">
        <f>100*D270/D$7</f>
        <v/>
      </c>
    </row>
    <row r="271">
      <c r="A271" s="11" t="n">
        <v>45296</v>
      </c>
      <c r="B271" s="12" t="n">
        <v>96.152855</v>
      </c>
      <c r="C271" s="12" t="n">
        <v>86.592949</v>
      </c>
      <c r="D271" s="12" t="n">
        <v>541.76001</v>
      </c>
      <c r="E271" s="13">
        <f>100*B271/B$7</f>
        <v/>
      </c>
      <c r="F271" s="13">
        <f>100*C271/C$7</f>
        <v/>
      </c>
      <c r="G271" s="13">
        <f>100*D271/D$7</f>
        <v/>
      </c>
    </row>
    <row r="272">
      <c r="A272" s="11" t="n">
        <v>45299</v>
      </c>
      <c r="B272" s="12" t="n">
        <v>97.305756</v>
      </c>
      <c r="C272" s="12" t="n">
        <v>86.88362100000001</v>
      </c>
      <c r="D272" s="12" t="n">
        <v>530.190002</v>
      </c>
      <c r="E272" s="13">
        <f>100*B272/B$7</f>
        <v/>
      </c>
      <c r="F272" s="13">
        <f>100*C272/C$7</f>
        <v/>
      </c>
      <c r="G272" s="13">
        <f>100*D272/D$7</f>
        <v/>
      </c>
    </row>
    <row r="273">
      <c r="A273" s="11" t="n">
        <v>45300</v>
      </c>
      <c r="B273" s="12" t="n">
        <v>96.86380800000001</v>
      </c>
      <c r="C273" s="12" t="n">
        <v>86.84729</v>
      </c>
      <c r="D273" s="12" t="n">
        <v>538.190002</v>
      </c>
      <c r="E273" s="13">
        <f>100*B273/B$7</f>
        <v/>
      </c>
      <c r="F273" s="13">
        <f>100*C273/C$7</f>
        <v/>
      </c>
      <c r="G273" s="13">
        <f>100*D273/D$7</f>
        <v/>
      </c>
    </row>
    <row r="274">
      <c r="A274" s="11" t="n">
        <v>45301</v>
      </c>
      <c r="B274" s="12" t="n">
        <v>97.315369</v>
      </c>
      <c r="C274" s="12" t="n">
        <v>86.711029</v>
      </c>
      <c r="D274" s="12" t="n">
        <v>533.72998</v>
      </c>
      <c r="E274" s="13">
        <f>100*B274/B$7</f>
        <v/>
      </c>
      <c r="F274" s="13">
        <f>100*C274/C$7</f>
        <v/>
      </c>
      <c r="G274" s="13">
        <f>100*D274/D$7</f>
        <v/>
      </c>
    </row>
    <row r="275">
      <c r="A275" s="11" t="n">
        <v>45302</v>
      </c>
      <c r="B275" s="12" t="n">
        <v>97.26733400000001</v>
      </c>
      <c r="C275" s="12" t="n">
        <v>87.174316</v>
      </c>
      <c r="D275" s="12" t="n">
        <v>537.070007</v>
      </c>
      <c r="E275" s="13">
        <f>100*B275/B$7</f>
        <v/>
      </c>
      <c r="F275" s="13">
        <f>100*C275/C$7</f>
        <v/>
      </c>
      <c r="G275" s="13">
        <f>100*D275/D$7</f>
        <v/>
      </c>
    </row>
    <row r="276">
      <c r="A276" s="11" t="n">
        <v>45303</v>
      </c>
      <c r="B276" s="12" t="n">
        <v>97.469086</v>
      </c>
      <c r="C276" s="12" t="n">
        <v>87.410477</v>
      </c>
      <c r="D276" s="12" t="n">
        <v>538.330017</v>
      </c>
      <c r="E276" s="13">
        <f>100*B276/B$7</f>
        <v/>
      </c>
      <c r="F276" s="13">
        <f>100*C276/C$7</f>
        <v/>
      </c>
      <c r="G276" s="13">
        <f>100*D276/D$7</f>
        <v/>
      </c>
    </row>
    <row r="277">
      <c r="A277" s="11" t="n">
        <v>45306</v>
      </c>
      <c r="B277" s="12" t="n">
        <v>97.469086</v>
      </c>
      <c r="C277" s="12" t="n">
        <v>87.410477</v>
      </c>
      <c r="D277" s="12" t="n">
        <v>538.330017</v>
      </c>
      <c r="E277" s="13">
        <f>100*B277/B$7</f>
        <v/>
      </c>
      <c r="F277" s="13">
        <f>100*C277/C$7</f>
        <v/>
      </c>
      <c r="G277" s="13">
        <f>100*D277/D$7</f>
        <v/>
      </c>
    </row>
    <row r="278">
      <c r="A278" s="11" t="n">
        <v>45307</v>
      </c>
      <c r="B278" s="12" t="n">
        <v>96.614006</v>
      </c>
      <c r="C278" s="12" t="n">
        <v>86.70193500000001</v>
      </c>
      <c r="D278" s="12" t="n">
        <v>537.01001</v>
      </c>
      <c r="E278" s="13">
        <f>100*B278/B$7</f>
        <v/>
      </c>
      <c r="F278" s="13">
        <f>100*C278/C$7</f>
        <v/>
      </c>
      <c r="G278" s="13">
        <f>100*D278/D$7</f>
        <v/>
      </c>
    </row>
    <row r="279">
      <c r="A279" s="11" t="n">
        <v>45308</v>
      </c>
      <c r="B279" s="12" t="n">
        <v>95.874229</v>
      </c>
      <c r="C279" s="12" t="n">
        <v>86.420357</v>
      </c>
      <c r="D279" s="12" t="n">
        <v>534.309998</v>
      </c>
      <c r="E279" s="13">
        <f>100*B279/B$7</f>
        <v/>
      </c>
      <c r="F279" s="13">
        <f>100*C279/C$7</f>
        <v/>
      </c>
      <c r="G279" s="13">
        <f>100*D279/D$7</f>
        <v/>
      </c>
    </row>
    <row r="280">
      <c r="A280" s="11" t="n">
        <v>45309</v>
      </c>
      <c r="B280" s="12" t="n">
        <v>96.71009100000001</v>
      </c>
      <c r="C280" s="12" t="n">
        <v>86.229614</v>
      </c>
      <c r="D280" s="12" t="n">
        <v>540.6400149999999</v>
      </c>
      <c r="E280" s="13">
        <f>100*B280/B$7</f>
        <v/>
      </c>
      <c r="F280" s="13">
        <f>100*C280/C$7</f>
        <v/>
      </c>
      <c r="G280" s="13">
        <f>100*D280/D$7</f>
        <v/>
      </c>
    </row>
    <row r="281">
      <c r="A281" s="11" t="n">
        <v>45310</v>
      </c>
      <c r="B281" s="12" t="n">
        <v>97.68044999999999</v>
      </c>
      <c r="C281" s="12" t="n">
        <v>86.238716</v>
      </c>
      <c r="D281" s="12" t="n">
        <v>538.830017</v>
      </c>
      <c r="E281" s="13">
        <f>100*B281/B$7</f>
        <v/>
      </c>
      <c r="F281" s="13">
        <f>100*C281/C$7</f>
        <v/>
      </c>
      <c r="G281" s="13">
        <f>100*D281/D$7</f>
        <v/>
      </c>
    </row>
    <row r="282">
      <c r="A282" s="11" t="n">
        <v>45313</v>
      </c>
      <c r="B282" s="12" t="n">
        <v>97.834183</v>
      </c>
      <c r="C282" s="12" t="n">
        <v>86.50211299999999</v>
      </c>
      <c r="D282" s="12" t="n">
        <v>543.8599850000001</v>
      </c>
      <c r="E282" s="13">
        <f>100*B282/B$7</f>
        <v/>
      </c>
      <c r="F282" s="13">
        <f>100*C282/C$7</f>
        <v/>
      </c>
      <c r="G282" s="13">
        <f>100*D282/D$7</f>
        <v/>
      </c>
    </row>
    <row r="283">
      <c r="A283" s="11" t="n">
        <v>45314</v>
      </c>
      <c r="B283" s="12" t="n">
        <v>98.035934</v>
      </c>
      <c r="C283" s="12" t="n">
        <v>86.284126</v>
      </c>
      <c r="D283" s="12" t="n">
        <v>545.429993</v>
      </c>
      <c r="E283" s="13">
        <f>100*B283/B$7</f>
        <v/>
      </c>
      <c r="F283" s="13">
        <f>100*C283/C$7</f>
        <v/>
      </c>
      <c r="G283" s="13">
        <f>100*D283/D$7</f>
        <v/>
      </c>
    </row>
    <row r="284">
      <c r="A284" s="11" t="n">
        <v>45315</v>
      </c>
      <c r="B284" s="12" t="n">
        <v>98.362587</v>
      </c>
      <c r="C284" s="12" t="n">
        <v>86.038872</v>
      </c>
      <c r="D284" s="12" t="n">
        <v>549.8599850000001</v>
      </c>
      <c r="E284" s="13">
        <f>100*B284/B$7</f>
        <v/>
      </c>
      <c r="F284" s="13">
        <f>100*C284/C$7</f>
        <v/>
      </c>
      <c r="G284" s="13">
        <f>100*D284/D$7</f>
        <v/>
      </c>
    </row>
    <row r="285">
      <c r="A285" s="11" t="n">
        <v>45316</v>
      </c>
      <c r="B285" s="12" t="n">
        <v>98.756516</v>
      </c>
      <c r="C285" s="12" t="n">
        <v>86.41128500000001</v>
      </c>
      <c r="D285" s="12" t="n">
        <v>558.650024</v>
      </c>
      <c r="E285" s="13">
        <f>100*B285/B$7</f>
        <v/>
      </c>
      <c r="F285" s="13">
        <f>100*C285/C$7</f>
        <v/>
      </c>
      <c r="G285" s="13">
        <f>100*D285/D$7</f>
        <v/>
      </c>
    </row>
    <row r="286">
      <c r="A286" s="11" t="n">
        <v>45317</v>
      </c>
      <c r="B286" s="12" t="n">
        <v>98.842979</v>
      </c>
      <c r="C286" s="12" t="n">
        <v>86.256866</v>
      </c>
      <c r="D286" s="12" t="n">
        <v>561.450012</v>
      </c>
      <c r="E286" s="13">
        <f>100*B286/B$7</f>
        <v/>
      </c>
      <c r="F286" s="13">
        <f>100*C286/C$7</f>
        <v/>
      </c>
      <c r="G286" s="13">
        <f>100*D286/D$7</f>
        <v/>
      </c>
    </row>
    <row r="287">
      <c r="A287" s="11" t="n">
        <v>45320</v>
      </c>
      <c r="B287" s="12" t="n">
        <v>99.496284</v>
      </c>
      <c r="C287" s="12" t="n">
        <v>86.77462</v>
      </c>
      <c r="D287" s="12" t="n">
        <v>556.179993</v>
      </c>
      <c r="E287" s="13">
        <f>100*B287/B$7</f>
        <v/>
      </c>
      <c r="F287" s="13">
        <f>100*C287/C$7</f>
        <v/>
      </c>
      <c r="G287" s="13">
        <f>100*D287/D$7</f>
        <v/>
      </c>
    </row>
    <row r="288">
      <c r="A288" s="11" t="n">
        <v>45321</v>
      </c>
      <c r="B288" s="12" t="n">
        <v>99.33296199999999</v>
      </c>
      <c r="C288" s="12" t="n">
        <v>86.892731</v>
      </c>
      <c r="D288" s="12" t="n">
        <v>561.22998</v>
      </c>
      <c r="E288" s="13">
        <f>100*B288/B$7</f>
        <v/>
      </c>
      <c r="F288" s="13">
        <f>100*C288/C$7</f>
        <v/>
      </c>
      <c r="G288" s="13">
        <f>100*D288/D$7</f>
        <v/>
      </c>
    </row>
    <row r="289">
      <c r="A289" s="11" t="n">
        <v>45322</v>
      </c>
      <c r="B289" s="12" t="n">
        <v>98.04555499999999</v>
      </c>
      <c r="C289" s="12" t="n">
        <v>87.619377</v>
      </c>
      <c r="D289" s="12" t="n">
        <v>555.070007</v>
      </c>
      <c r="E289" s="13">
        <f>100*B289/B$7</f>
        <v/>
      </c>
      <c r="F289" s="13">
        <f>100*C289/C$7</f>
        <v/>
      </c>
      <c r="G289" s="13">
        <f>100*D289/D$7</f>
        <v/>
      </c>
    </row>
    <row r="290">
      <c r="A290" s="11" t="n">
        <v>45323</v>
      </c>
      <c r="B290" s="12" t="n">
        <v>99.265709</v>
      </c>
      <c r="C290" s="12" t="n">
        <v>88.162102</v>
      </c>
      <c r="D290" s="12" t="n">
        <v>547.570007</v>
      </c>
      <c r="E290" s="13">
        <f>100*B290/B$7</f>
        <v/>
      </c>
      <c r="F290" s="13">
        <f>100*C290/C$7</f>
        <v/>
      </c>
      <c r="G290" s="13">
        <f>100*D290/D$7</f>
        <v/>
      </c>
    </row>
    <row r="291">
      <c r="A291" s="11" t="n">
        <v>45324</v>
      </c>
      <c r="B291" s="12" t="n">
        <v>99.669228</v>
      </c>
      <c r="C291" s="12" t="n">
        <v>87.014771</v>
      </c>
      <c r="D291" s="12" t="n">
        <v>540.01001</v>
      </c>
      <c r="E291" s="13">
        <f>100*B291/B$7</f>
        <v/>
      </c>
      <c r="F291" s="13">
        <f>100*C291/C$7</f>
        <v/>
      </c>
      <c r="G291" s="13">
        <f>100*D291/D$7</f>
        <v/>
      </c>
    </row>
    <row r="292">
      <c r="A292" s="11" t="n">
        <v>45327</v>
      </c>
      <c r="B292" s="12" t="n">
        <v>99.28492</v>
      </c>
      <c r="C292" s="12" t="n">
        <v>86.167946</v>
      </c>
      <c r="D292" s="12" t="n">
        <v>541.289978</v>
      </c>
      <c r="E292" s="13">
        <f>100*B292/B$7</f>
        <v/>
      </c>
      <c r="F292" s="13">
        <f>100*C292/C$7</f>
        <v/>
      </c>
      <c r="G292" s="13">
        <f>100*D292/D$7</f>
        <v/>
      </c>
    </row>
    <row r="293">
      <c r="A293" s="11" t="n">
        <v>45328</v>
      </c>
      <c r="B293" s="12" t="n">
        <v>99.86138200000001</v>
      </c>
      <c r="C293" s="12" t="n">
        <v>86.632317</v>
      </c>
      <c r="D293" s="12" t="n">
        <v>544.690002</v>
      </c>
      <c r="E293" s="13">
        <f>100*B293/B$7</f>
        <v/>
      </c>
      <c r="F293" s="13">
        <f>100*C293/C$7</f>
        <v/>
      </c>
      <c r="G293" s="13">
        <f>100*D293/D$7</f>
        <v/>
      </c>
    </row>
    <row r="294">
      <c r="A294" s="11" t="n">
        <v>45329</v>
      </c>
      <c r="B294" s="12" t="n">
        <v>100.370583</v>
      </c>
      <c r="C294" s="12" t="n">
        <v>86.477524</v>
      </c>
      <c r="D294" s="12" t="n">
        <v>547.75</v>
      </c>
      <c r="E294" s="13">
        <f>100*B294/B$7</f>
        <v/>
      </c>
      <c r="F294" s="13">
        <f>100*C294/C$7</f>
        <v/>
      </c>
      <c r="G294" s="13">
        <f>100*D294/D$7</f>
        <v/>
      </c>
    </row>
    <row r="295">
      <c r="A295" s="11" t="n">
        <v>45330</v>
      </c>
      <c r="B295" s="12" t="n">
        <v>100.351364</v>
      </c>
      <c r="C295" s="12" t="n">
        <v>86.195244</v>
      </c>
      <c r="D295" s="12" t="n">
        <v>556.099976</v>
      </c>
      <c r="E295" s="13">
        <f>100*B295/B$7</f>
        <v/>
      </c>
      <c r="F295" s="13">
        <f>100*C295/C$7</f>
        <v/>
      </c>
      <c r="G295" s="13">
        <f>100*D295/D$7</f>
        <v/>
      </c>
    </row>
    <row r="296">
      <c r="A296" s="11" t="n">
        <v>45331</v>
      </c>
      <c r="B296" s="12" t="n">
        <v>100.889404</v>
      </c>
      <c r="C296" s="12" t="n">
        <v>86.040443</v>
      </c>
      <c r="D296" s="12" t="n">
        <v>558.98999</v>
      </c>
      <c r="E296" s="13">
        <f>100*B296/B$7</f>
        <v/>
      </c>
      <c r="F296" s="13">
        <f>100*C296/C$7</f>
        <v/>
      </c>
      <c r="G296" s="13">
        <f>100*D296/D$7</f>
        <v/>
      </c>
    </row>
    <row r="297">
      <c r="A297" s="11" t="n">
        <v>45334</v>
      </c>
      <c r="B297" s="12" t="n">
        <v>101.01429</v>
      </c>
      <c r="C297" s="12" t="n">
        <v>86.12237500000001</v>
      </c>
      <c r="D297" s="12" t="n">
        <v>558.070007</v>
      </c>
      <c r="E297" s="13">
        <f>100*B297/B$7</f>
        <v/>
      </c>
      <c r="F297" s="13">
        <f>100*C297/C$7</f>
        <v/>
      </c>
      <c r="G297" s="13">
        <f>100*D297/D$7</f>
        <v/>
      </c>
    </row>
    <row r="298">
      <c r="A298" s="11" t="n">
        <v>45335</v>
      </c>
      <c r="B298" s="12" t="n">
        <v>99.40982099999999</v>
      </c>
      <c r="C298" s="12" t="n">
        <v>85.17540700000001</v>
      </c>
      <c r="D298" s="12" t="n">
        <v>559.299988</v>
      </c>
      <c r="E298" s="13">
        <f>100*B298/B$7</f>
        <v/>
      </c>
      <c r="F298" s="13">
        <f>100*C298/C$7</f>
        <v/>
      </c>
      <c r="G298" s="13">
        <f>100*D298/D$7</f>
        <v/>
      </c>
    </row>
    <row r="299">
      <c r="A299" s="11" t="n">
        <v>45336</v>
      </c>
      <c r="B299" s="12" t="n">
        <v>100.505089</v>
      </c>
      <c r="C299" s="12" t="n">
        <v>85.494095</v>
      </c>
      <c r="D299" s="12" t="n">
        <v>552.700012</v>
      </c>
      <c r="E299" s="13">
        <f>100*B299/B$7</f>
        <v/>
      </c>
      <c r="F299" s="13">
        <f>100*C299/C$7</f>
        <v/>
      </c>
      <c r="G299" s="13">
        <f>100*D299/D$7</f>
        <v/>
      </c>
    </row>
    <row r="300">
      <c r="A300" s="11" t="n">
        <v>45337</v>
      </c>
      <c r="B300" s="12" t="n">
        <v>101.312119</v>
      </c>
      <c r="C300" s="12" t="n">
        <v>85.73084299999999</v>
      </c>
      <c r="D300" s="12" t="n">
        <v>556.090027</v>
      </c>
      <c r="E300" s="13">
        <f>100*B300/B$7</f>
        <v/>
      </c>
      <c r="F300" s="13">
        <f>100*C300/C$7</f>
        <v/>
      </c>
      <c r="G300" s="13">
        <f>100*D300/D$7</f>
        <v/>
      </c>
    </row>
    <row r="301">
      <c r="A301" s="11" t="n">
        <v>45338</v>
      </c>
      <c r="B301" s="12" t="n">
        <v>101.062332</v>
      </c>
      <c r="C301" s="12" t="n">
        <v>85.357529</v>
      </c>
      <c r="D301" s="12" t="n">
        <v>558.950012</v>
      </c>
      <c r="E301" s="13">
        <f>100*B301/B$7</f>
        <v/>
      </c>
      <c r="F301" s="13">
        <f>100*C301/C$7</f>
        <v/>
      </c>
      <c r="G301" s="13">
        <f>100*D301/D$7</f>
        <v/>
      </c>
    </row>
    <row r="302">
      <c r="A302" s="11" t="n">
        <v>45341</v>
      </c>
      <c r="B302" s="12" t="n">
        <v>101.062332</v>
      </c>
      <c r="C302" s="12" t="n">
        <v>85.357529</v>
      </c>
      <c r="D302" s="12" t="n">
        <v>558.950012</v>
      </c>
      <c r="E302" s="13">
        <f>100*B302/B$7</f>
        <v/>
      </c>
      <c r="F302" s="13">
        <f>100*C302/C$7</f>
        <v/>
      </c>
      <c r="G302" s="13">
        <f>100*D302/D$7</f>
        <v/>
      </c>
    </row>
    <row r="303">
      <c r="A303" s="11" t="n">
        <v>45342</v>
      </c>
      <c r="B303" s="12" t="n">
        <v>100.774109</v>
      </c>
      <c r="C303" s="12" t="n">
        <v>85.503204</v>
      </c>
      <c r="D303" s="12" t="n">
        <v>553.869995</v>
      </c>
      <c r="E303" s="13">
        <f>100*B303/B$7</f>
        <v/>
      </c>
      <c r="F303" s="13">
        <f>100*C303/C$7</f>
        <v/>
      </c>
      <c r="G303" s="13">
        <f>100*D303/D$7</f>
        <v/>
      </c>
    </row>
    <row r="304">
      <c r="A304" s="11" t="n">
        <v>45343</v>
      </c>
      <c r="B304" s="12" t="n">
        <v>100.802925</v>
      </c>
      <c r="C304" s="12" t="n">
        <v>85.230042</v>
      </c>
      <c r="D304" s="12" t="n">
        <v>557.330017</v>
      </c>
      <c r="E304" s="13">
        <f>100*B304/B$7</f>
        <v/>
      </c>
      <c r="F304" s="13">
        <f>100*C304/C$7</f>
        <v/>
      </c>
      <c r="G304" s="13">
        <f>100*D304/D$7</f>
        <v/>
      </c>
    </row>
    <row r="305">
      <c r="A305" s="11" t="n">
        <v>45344</v>
      </c>
      <c r="B305" s="12" t="n">
        <v>102.541908</v>
      </c>
      <c r="C305" s="12" t="n">
        <v>85.23912799999999</v>
      </c>
      <c r="D305" s="12" t="n">
        <v>559.289978</v>
      </c>
      <c r="E305" s="13">
        <f>100*B305/B$7</f>
        <v/>
      </c>
      <c r="F305" s="13">
        <f>100*C305/C$7</f>
        <v/>
      </c>
      <c r="G305" s="13">
        <f>100*D305/D$7</f>
        <v/>
      </c>
    </row>
    <row r="306">
      <c r="A306" s="11" t="n">
        <v>45345</v>
      </c>
      <c r="B306" s="12" t="n">
        <v>102.58033</v>
      </c>
      <c r="C306" s="12" t="n">
        <v>85.630692</v>
      </c>
      <c r="D306" s="12" t="n">
        <v>550.940002</v>
      </c>
      <c r="E306" s="13">
        <f>100*B306/B$7</f>
        <v/>
      </c>
      <c r="F306" s="13">
        <f>100*C306/C$7</f>
        <v/>
      </c>
      <c r="G306" s="13">
        <f>100*D306/D$7</f>
        <v/>
      </c>
    </row>
    <row r="307">
      <c r="A307" s="11" t="n">
        <v>45348</v>
      </c>
      <c r="B307" s="12" t="n">
        <v>102.30172</v>
      </c>
      <c r="C307" s="12" t="n">
        <v>85.503204</v>
      </c>
      <c r="D307" s="12" t="n">
        <v>555.919983</v>
      </c>
      <c r="E307" s="13">
        <f>100*B307/B$7</f>
        <v/>
      </c>
      <c r="F307" s="13">
        <f>100*C307/C$7</f>
        <v/>
      </c>
      <c r="G307" s="13">
        <f>100*D307/D$7</f>
        <v/>
      </c>
    </row>
    <row r="308">
      <c r="A308" s="11" t="n">
        <v>45349</v>
      </c>
      <c r="B308" s="12" t="n">
        <v>102.503479</v>
      </c>
      <c r="C308" s="12" t="n">
        <v>85.311981</v>
      </c>
      <c r="D308" s="12" t="n">
        <v>561.23999</v>
      </c>
      <c r="E308" s="13">
        <f>100*B308/B$7</f>
        <v/>
      </c>
      <c r="F308" s="13">
        <f>100*C308/C$7</f>
        <v/>
      </c>
      <c r="G308" s="13">
        <f>100*D308/D$7</f>
        <v/>
      </c>
    </row>
    <row r="309">
      <c r="A309" s="11" t="n">
        <v>45350</v>
      </c>
      <c r="B309" s="12" t="n">
        <v>102.071121</v>
      </c>
      <c r="C309" s="12" t="n">
        <v>85.621582</v>
      </c>
      <c r="D309" s="12" t="n">
        <v>557.73999</v>
      </c>
      <c r="E309" s="13">
        <f>100*B309/B$7</f>
        <v/>
      </c>
      <c r="F309" s="13">
        <f>100*C309/C$7</f>
        <v/>
      </c>
      <c r="G309" s="13">
        <f>100*D309/D$7</f>
        <v/>
      </c>
    </row>
    <row r="310">
      <c r="A310" s="11" t="n">
        <v>45351</v>
      </c>
      <c r="B310" s="12" t="n">
        <v>102.465042</v>
      </c>
      <c r="C310" s="12" t="n">
        <v>85.794601</v>
      </c>
      <c r="D310" s="12" t="n">
        <v>557.929993</v>
      </c>
      <c r="E310" s="13">
        <f>100*B310/B$7</f>
        <v/>
      </c>
      <c r="F310" s="13">
        <f>100*C310/C$7</f>
        <v/>
      </c>
      <c r="G310" s="13">
        <f>100*D310/D$7</f>
        <v/>
      </c>
    </row>
    <row r="311">
      <c r="A311" s="11" t="n">
        <v>45352</v>
      </c>
      <c r="B311" s="12" t="n">
        <v>103.45462</v>
      </c>
      <c r="C311" s="12" t="n">
        <v>86.186256</v>
      </c>
      <c r="D311" s="12" t="n">
        <v>564.659973</v>
      </c>
      <c r="E311" s="13">
        <f>100*B311/B$7</f>
        <v/>
      </c>
      <c r="F311" s="13">
        <f>100*C311/C$7</f>
        <v/>
      </c>
      <c r="G311" s="13">
        <f>100*D311/D$7</f>
        <v/>
      </c>
    </row>
    <row r="312">
      <c r="A312" s="11" t="n">
        <v>45355</v>
      </c>
      <c r="B312" s="12" t="n">
        <v>103.300896</v>
      </c>
      <c r="C312" s="12" t="n">
        <v>85.994545</v>
      </c>
      <c r="D312" s="12" t="n">
        <v>561.22998</v>
      </c>
      <c r="E312" s="13">
        <f>100*B312/B$7</f>
        <v/>
      </c>
      <c r="F312" s="13">
        <f>100*C312/C$7</f>
        <v/>
      </c>
      <c r="G312" s="13">
        <f>100*D312/D$7</f>
        <v/>
      </c>
    </row>
    <row r="313">
      <c r="A313" s="11" t="n">
        <v>45356</v>
      </c>
      <c r="B313" s="12" t="n">
        <v>102.465042</v>
      </c>
      <c r="C313" s="12" t="n">
        <v>86.524063</v>
      </c>
      <c r="D313" s="12" t="n">
        <v>557.530029</v>
      </c>
      <c r="E313" s="13">
        <f>100*B313/B$7</f>
        <v/>
      </c>
      <c r="F313" s="13">
        <f>100*C313/C$7</f>
        <v/>
      </c>
      <c r="G313" s="13">
        <f>100*D313/D$7</f>
        <v/>
      </c>
    </row>
    <row r="314">
      <c r="A314" s="11" t="n">
        <v>45357</v>
      </c>
      <c r="B314" s="12" t="n">
        <v>103.262474</v>
      </c>
      <c r="C314" s="12" t="n">
        <v>86.734032</v>
      </c>
      <c r="D314" s="12" t="n">
        <v>562.02002</v>
      </c>
      <c r="E314" s="13">
        <f>100*B314/B$7</f>
        <v/>
      </c>
      <c r="F314" s="13">
        <f>100*C314/C$7</f>
        <v/>
      </c>
      <c r="G314" s="13">
        <f>100*D314/D$7</f>
        <v/>
      </c>
    </row>
    <row r="315">
      <c r="A315" s="11" t="n">
        <v>45358</v>
      </c>
      <c r="B315" s="12" t="n">
        <v>104.338531</v>
      </c>
      <c r="C315" s="12" t="n">
        <v>86.880157</v>
      </c>
      <c r="D315" s="12" t="n">
        <v>563.559998</v>
      </c>
      <c r="E315" s="13">
        <f>100*B315/B$7</f>
        <v/>
      </c>
      <c r="F315" s="13">
        <f>100*C315/C$7</f>
        <v/>
      </c>
      <c r="G315" s="13">
        <f>100*D315/D$7</f>
        <v/>
      </c>
    </row>
    <row r="316">
      <c r="A316" s="11" t="n">
        <v>45359</v>
      </c>
      <c r="B316" s="12" t="n">
        <v>103.829323</v>
      </c>
      <c r="C316" s="12" t="n">
        <v>86.944046</v>
      </c>
      <c r="D316" s="12" t="n">
        <v>559.460022</v>
      </c>
      <c r="E316" s="13">
        <f>100*B316/B$7</f>
        <v/>
      </c>
      <c r="F316" s="13">
        <f>100*C316/C$7</f>
        <v/>
      </c>
      <c r="G316" s="13">
        <f>100*D316/D$7</f>
        <v/>
      </c>
    </row>
    <row r="317">
      <c r="A317" s="11" t="n">
        <v>45362</v>
      </c>
      <c r="B317" s="12" t="n">
        <v>103.617943</v>
      </c>
      <c r="C317" s="12" t="n">
        <v>86.83448</v>
      </c>
      <c r="D317" s="12" t="n">
        <v>561.76001</v>
      </c>
      <c r="E317" s="13">
        <f>100*B317/B$7</f>
        <v/>
      </c>
      <c r="F317" s="13">
        <f>100*C317/C$7</f>
        <v/>
      </c>
      <c r="G317" s="13">
        <f>100*D317/D$7</f>
        <v/>
      </c>
    </row>
    <row r="318">
      <c r="A318" s="11" t="n">
        <v>45363</v>
      </c>
      <c r="B318" s="12" t="n">
        <v>104.665184</v>
      </c>
      <c r="C318" s="12" t="n">
        <v>86.478424</v>
      </c>
      <c r="D318" s="12" t="n">
        <v>561.320007</v>
      </c>
      <c r="E318" s="13">
        <f>100*B318/B$7</f>
        <v/>
      </c>
      <c r="F318" s="13">
        <f>100*C318/C$7</f>
        <v/>
      </c>
      <c r="G318" s="13">
        <f>100*D318/D$7</f>
        <v/>
      </c>
    </row>
    <row r="319">
      <c r="A319" s="11" t="n">
        <v>45364</v>
      </c>
      <c r="B319" s="12" t="n">
        <v>104.53067</v>
      </c>
      <c r="C319" s="12" t="n">
        <v>86.286697</v>
      </c>
      <c r="D319" s="12" t="n">
        <v>570.289978</v>
      </c>
      <c r="E319" s="13">
        <f>100*B319/B$7</f>
        <v/>
      </c>
      <c r="F319" s="13">
        <f>100*C319/C$7</f>
        <v/>
      </c>
      <c r="G319" s="13">
        <f>100*D319/D$7</f>
        <v/>
      </c>
    </row>
    <row r="320">
      <c r="A320" s="11" t="n">
        <v>45365</v>
      </c>
      <c r="B320" s="12" t="n">
        <v>104.117546</v>
      </c>
      <c r="C320" s="12" t="n">
        <v>85.647575</v>
      </c>
      <c r="D320" s="12" t="n">
        <v>573.849976</v>
      </c>
      <c r="E320" s="13">
        <f>100*B320/B$7</f>
        <v/>
      </c>
      <c r="F320" s="13">
        <f>100*C320/C$7</f>
        <v/>
      </c>
      <c r="G320" s="13">
        <f>100*D320/D$7</f>
        <v/>
      </c>
    </row>
    <row r="321">
      <c r="A321" s="11" t="n">
        <v>45366</v>
      </c>
      <c r="B321" s="12" t="n">
        <v>103.589127</v>
      </c>
      <c r="C321" s="12" t="n">
        <v>85.50153400000001</v>
      </c>
      <c r="D321" s="12" t="n">
        <v>575.340027</v>
      </c>
      <c r="E321" s="13">
        <f>100*B321/B$7</f>
        <v/>
      </c>
      <c r="F321" s="13">
        <f>100*C321/C$7</f>
        <v/>
      </c>
      <c r="G321" s="13">
        <f>100*D321/D$7</f>
        <v/>
      </c>
    </row>
    <row r="322">
      <c r="A322" s="11" t="n">
        <v>45369</v>
      </c>
      <c r="B322" s="12" t="n">
        <v>104.011864</v>
      </c>
      <c r="C322" s="12" t="n">
        <v>85.4011</v>
      </c>
      <c r="D322" s="12" t="n">
        <v>582.400024</v>
      </c>
      <c r="E322" s="13">
        <f>100*B322/B$7</f>
        <v/>
      </c>
      <c r="F322" s="13">
        <f>100*C322/C$7</f>
        <v/>
      </c>
      <c r="G322" s="13">
        <f>100*D322/D$7</f>
        <v/>
      </c>
    </row>
    <row r="323">
      <c r="A323" s="11" t="n">
        <v>45370</v>
      </c>
      <c r="B323" s="12" t="n">
        <v>104.376945</v>
      </c>
      <c r="C323" s="12" t="n">
        <v>85.647575</v>
      </c>
      <c r="D323" s="12" t="n">
        <v>582.909973</v>
      </c>
      <c r="E323" s="13">
        <f>100*B323/B$7</f>
        <v/>
      </c>
      <c r="F323" s="13">
        <f>100*C323/C$7</f>
        <v/>
      </c>
      <c r="G323" s="13">
        <f>100*D323/D$7</f>
        <v/>
      </c>
    </row>
    <row r="324">
      <c r="A324" s="11" t="n">
        <v>45371</v>
      </c>
      <c r="B324" s="12" t="n">
        <v>105.433777</v>
      </c>
      <c r="C324" s="12" t="n">
        <v>85.848457</v>
      </c>
      <c r="D324" s="12" t="n">
        <v>577.150024</v>
      </c>
      <c r="E324" s="13">
        <f>100*B324/B$7</f>
        <v/>
      </c>
      <c r="F324" s="13">
        <f>100*C324/C$7</f>
        <v/>
      </c>
      <c r="G324" s="13">
        <f>100*D324/D$7</f>
        <v/>
      </c>
    </row>
    <row r="325">
      <c r="A325" s="11" t="n">
        <v>45372</v>
      </c>
      <c r="B325" s="12" t="n">
        <v>105.664375</v>
      </c>
      <c r="C325" s="12" t="n">
        <v>85.85758199999999</v>
      </c>
      <c r="D325" s="12" t="n">
        <v>576.950012</v>
      </c>
      <c r="E325" s="13">
        <f>100*B325/B$7</f>
        <v/>
      </c>
      <c r="F325" s="13">
        <f>100*C325/C$7</f>
        <v/>
      </c>
      <c r="G325" s="13">
        <f>100*D325/D$7</f>
        <v/>
      </c>
    </row>
    <row r="326">
      <c r="A326" s="11" t="n">
        <v>45373</v>
      </c>
      <c r="B326" s="12" t="n">
        <v>105.414574</v>
      </c>
      <c r="C326" s="12" t="n">
        <v>86.277557</v>
      </c>
      <c r="D326" s="12" t="n">
        <v>574.440002</v>
      </c>
      <c r="E326" s="13">
        <f>100*B326/B$7</f>
        <v/>
      </c>
      <c r="F326" s="13">
        <f>100*C326/C$7</f>
        <v/>
      </c>
      <c r="G326" s="13">
        <f>100*D326/D$7</f>
        <v/>
      </c>
    </row>
    <row r="327">
      <c r="A327" s="11" t="n">
        <v>45376</v>
      </c>
      <c r="B327" s="12" t="n">
        <v>105.203209</v>
      </c>
      <c r="C327" s="12" t="n">
        <v>86.049324</v>
      </c>
      <c r="D327" s="12" t="n">
        <v>579.76001</v>
      </c>
      <c r="E327" s="13">
        <f>100*B327/B$7</f>
        <v/>
      </c>
      <c r="F327" s="13">
        <f>100*C327/C$7</f>
        <v/>
      </c>
      <c r="G327" s="13">
        <f>100*D327/D$7</f>
        <v/>
      </c>
    </row>
    <row r="328">
      <c r="A328" s="11" t="n">
        <v>45377</v>
      </c>
      <c r="B328" s="12" t="n">
        <v>105.059097</v>
      </c>
      <c r="C328" s="12" t="n">
        <v>86.177139</v>
      </c>
      <c r="D328" s="12" t="n">
        <v>575.570007</v>
      </c>
      <c r="E328" s="13">
        <f>100*B328/B$7</f>
        <v/>
      </c>
      <c r="F328" s="13">
        <f>100*C328/C$7</f>
        <v/>
      </c>
      <c r="G328" s="13">
        <f>100*D328/D$7</f>
        <v/>
      </c>
    </row>
    <row r="329">
      <c r="A329" s="11" t="n">
        <v>45378</v>
      </c>
      <c r="B329" s="12" t="n">
        <v>105.827705</v>
      </c>
      <c r="C329" s="12" t="n">
        <v>86.50580600000001</v>
      </c>
      <c r="D329" s="12" t="n">
        <v>573.8900149999999</v>
      </c>
      <c r="E329" s="13">
        <f>100*B329/B$7</f>
        <v/>
      </c>
      <c r="F329" s="13">
        <f>100*C329/C$7</f>
        <v/>
      </c>
      <c r="G329" s="13">
        <f>100*D329/D$7</f>
        <v/>
      </c>
    </row>
    <row r="330">
      <c r="A330" s="11" t="n">
        <v>45379</v>
      </c>
      <c r="B330" s="12" t="n">
        <v>105.808479</v>
      </c>
      <c r="C330" s="12" t="n">
        <v>86.42362199999999</v>
      </c>
      <c r="D330" s="12" t="n">
        <v>582.47998</v>
      </c>
      <c r="E330" s="13">
        <f>100*B330/B$7</f>
        <v/>
      </c>
      <c r="F330" s="13">
        <f>100*C330/C$7</f>
        <v/>
      </c>
      <c r="G330" s="13">
        <f>100*D330/D$7</f>
        <v/>
      </c>
    </row>
    <row r="331">
      <c r="A331" s="11" t="n">
        <v>45380</v>
      </c>
      <c r="B331" s="12" t="n">
        <v>105.808479</v>
      </c>
      <c r="C331" s="12" t="n">
        <v>86.42362199999999</v>
      </c>
      <c r="D331" s="12" t="n">
        <v>582.47998</v>
      </c>
      <c r="E331" s="13">
        <f>100*B331/B$7</f>
        <v/>
      </c>
      <c r="F331" s="13">
        <f>100*C331/C$7</f>
        <v/>
      </c>
      <c r="G331" s="13">
        <f>100*D331/D$7</f>
        <v/>
      </c>
    </row>
    <row r="332">
      <c r="A332" s="11" t="n">
        <v>45383</v>
      </c>
      <c r="B332" s="12" t="n">
        <v>105.558685</v>
      </c>
      <c r="C332" s="12" t="n">
        <v>85.641678</v>
      </c>
      <c r="D332" s="12" t="n">
        <v>583.880005</v>
      </c>
      <c r="E332" s="13">
        <f>100*B332/B$7</f>
        <v/>
      </c>
      <c r="F332" s="13">
        <f>100*C332/C$7</f>
        <v/>
      </c>
      <c r="G332" s="13">
        <f>100*D332/D$7</f>
        <v/>
      </c>
    </row>
    <row r="333">
      <c r="A333" s="11" t="n">
        <v>45384</v>
      </c>
      <c r="B333" s="12" t="n">
        <v>104.934196</v>
      </c>
      <c r="C333" s="12" t="n">
        <v>85.458527</v>
      </c>
      <c r="D333" s="12" t="n">
        <v>590.570007</v>
      </c>
      <c r="E333" s="13">
        <f>100*B333/B$7</f>
        <v/>
      </c>
      <c r="F333" s="13">
        <f>100*C333/C$7</f>
        <v/>
      </c>
      <c r="G333" s="13">
        <f>100*D333/D$7</f>
        <v/>
      </c>
    </row>
    <row r="334">
      <c r="A334" s="11" t="n">
        <v>45385</v>
      </c>
      <c r="B334" s="12" t="n">
        <v>105.183998</v>
      </c>
      <c r="C334" s="12" t="n">
        <v>85.559265</v>
      </c>
      <c r="D334" s="12" t="n">
        <v>595.030029</v>
      </c>
      <c r="E334" s="13">
        <f>100*B334/B$7</f>
        <v/>
      </c>
      <c r="F334" s="13">
        <f>100*C334/C$7</f>
        <v/>
      </c>
      <c r="G334" s="13">
        <f>100*D334/D$7</f>
        <v/>
      </c>
    </row>
    <row r="335">
      <c r="A335" s="11" t="n">
        <v>45386</v>
      </c>
      <c r="B335" s="12" t="n">
        <v>104.127151</v>
      </c>
      <c r="C335" s="12" t="n">
        <v>85.852295</v>
      </c>
      <c r="D335" s="12" t="n">
        <v>599.179993</v>
      </c>
      <c r="E335" s="13">
        <f>100*B335/B$7</f>
        <v/>
      </c>
      <c r="F335" s="13">
        <f>100*C335/C$7</f>
        <v/>
      </c>
      <c r="G335" s="13">
        <f>100*D335/D$7</f>
        <v/>
      </c>
    </row>
    <row r="336">
      <c r="A336" s="11" t="n">
        <v>45387</v>
      </c>
      <c r="B336" s="12" t="n">
        <v>104.94381</v>
      </c>
      <c r="C336" s="12" t="n">
        <v>85.284554</v>
      </c>
      <c r="D336" s="12" t="n">
        <v>601.909973</v>
      </c>
      <c r="E336" s="13">
        <f>100*B336/B$7</f>
        <v/>
      </c>
      <c r="F336" s="13">
        <f>100*C336/C$7</f>
        <v/>
      </c>
      <c r="G336" s="13">
        <f>100*D336/D$7</f>
        <v/>
      </c>
    </row>
    <row r="337">
      <c r="A337" s="11" t="n">
        <v>45390</v>
      </c>
      <c r="B337" s="12" t="n">
        <v>105.164772</v>
      </c>
      <c r="C337" s="12" t="n">
        <v>85.092285</v>
      </c>
      <c r="D337" s="12" t="n">
        <v>599.169983</v>
      </c>
      <c r="E337" s="13">
        <f>100*B337/B$7</f>
        <v/>
      </c>
      <c r="F337" s="13">
        <f>100*C337/C$7</f>
        <v/>
      </c>
      <c r="G337" s="13">
        <f>100*D337/D$7</f>
        <v/>
      </c>
    </row>
    <row r="338">
      <c r="A338" s="11" t="n">
        <v>45391</v>
      </c>
      <c r="B338" s="12" t="n">
        <v>105.318497</v>
      </c>
      <c r="C338" s="12" t="n">
        <v>85.431068</v>
      </c>
      <c r="D338" s="12" t="n">
        <v>595.700012</v>
      </c>
      <c r="E338" s="13">
        <f>100*B338/B$7</f>
        <v/>
      </c>
      <c r="F338" s="13">
        <f>100*C338/C$7</f>
        <v/>
      </c>
      <c r="G338" s="13">
        <f>100*D338/D$7</f>
        <v/>
      </c>
    </row>
    <row r="339">
      <c r="A339" s="11" t="n">
        <v>45392</v>
      </c>
      <c r="B339" s="12" t="n">
        <v>104.117546</v>
      </c>
      <c r="C339" s="12" t="n">
        <v>84.295624</v>
      </c>
      <c r="D339" s="12" t="n">
        <v>598.090027</v>
      </c>
      <c r="E339" s="13">
        <f>100*B339/B$7</f>
        <v/>
      </c>
      <c r="F339" s="13">
        <f>100*C339/C$7</f>
        <v/>
      </c>
      <c r="G339" s="13">
        <f>100*D339/D$7</f>
        <v/>
      </c>
    </row>
    <row r="340">
      <c r="A340" s="11" t="n">
        <v>45393</v>
      </c>
      <c r="B340" s="12" t="n">
        <v>104.732437</v>
      </c>
      <c r="C340" s="12" t="n">
        <v>84.176613</v>
      </c>
      <c r="D340" s="12" t="n">
        <v>594.130005</v>
      </c>
      <c r="E340" s="13">
        <f>100*B340/B$7</f>
        <v/>
      </c>
      <c r="F340" s="13">
        <f>100*C340/C$7</f>
        <v/>
      </c>
      <c r="G340" s="13">
        <f>100*D340/D$7</f>
        <v/>
      </c>
    </row>
    <row r="341">
      <c r="A341" s="11" t="n">
        <v>45394</v>
      </c>
      <c r="B341" s="12" t="n">
        <v>103.118362</v>
      </c>
      <c r="C341" s="12" t="n">
        <v>84.524567</v>
      </c>
      <c r="D341" s="12" t="n">
        <v>598.320007</v>
      </c>
      <c r="E341" s="13">
        <f>100*B341/B$7</f>
        <v/>
      </c>
      <c r="F341" s="13">
        <f>100*C341/C$7</f>
        <v/>
      </c>
      <c r="G341" s="13">
        <f>100*D341/D$7</f>
        <v/>
      </c>
    </row>
    <row r="342">
      <c r="A342" s="11" t="n">
        <v>45397</v>
      </c>
      <c r="B342" s="12" t="n">
        <v>102.119171</v>
      </c>
      <c r="C342" s="12" t="n">
        <v>83.98432200000001</v>
      </c>
      <c r="D342" s="12" t="n">
        <v>596.950012</v>
      </c>
      <c r="E342" s="13">
        <f>100*B342/B$7</f>
        <v/>
      </c>
      <c r="F342" s="13">
        <f>100*C342/C$7</f>
        <v/>
      </c>
      <c r="G342" s="13">
        <f>100*D342/D$7</f>
        <v/>
      </c>
    </row>
    <row r="343">
      <c r="A343" s="11" t="n">
        <v>45398</v>
      </c>
      <c r="B343" s="12" t="n">
        <v>101.581139</v>
      </c>
      <c r="C343" s="12" t="n">
        <v>83.654686</v>
      </c>
      <c r="D343" s="12" t="n">
        <v>596.809998</v>
      </c>
      <c r="E343" s="13">
        <f>100*B343/B$7</f>
        <v/>
      </c>
      <c r="F343" s="13">
        <f>100*C343/C$7</f>
        <v/>
      </c>
      <c r="G343" s="13">
        <f>100*D343/D$7</f>
        <v/>
      </c>
    </row>
    <row r="344">
      <c r="A344" s="11" t="n">
        <v>45399</v>
      </c>
      <c r="B344" s="12" t="n">
        <v>101.206436</v>
      </c>
      <c r="C344" s="12" t="n">
        <v>84.185768</v>
      </c>
      <c r="D344" s="12" t="n">
        <v>587.150024</v>
      </c>
      <c r="E344" s="13">
        <f>100*B344/B$7</f>
        <v/>
      </c>
      <c r="F344" s="13">
        <f>100*C344/C$7</f>
        <v/>
      </c>
      <c r="G344" s="13">
        <f>100*D344/D$7</f>
        <v/>
      </c>
    </row>
    <row r="345">
      <c r="A345" s="11" t="n">
        <v>45400</v>
      </c>
      <c r="B345" s="12" t="n">
        <v>101.062332</v>
      </c>
      <c r="C345" s="12" t="n">
        <v>83.892746</v>
      </c>
      <c r="D345" s="12" t="n">
        <v>586.460022</v>
      </c>
      <c r="E345" s="13">
        <f>100*B345/B$7</f>
        <v/>
      </c>
      <c r="F345" s="13">
        <f>100*C345/C$7</f>
        <v/>
      </c>
      <c r="G345" s="13">
        <f>100*D345/D$7</f>
        <v/>
      </c>
    </row>
    <row r="346">
      <c r="A346" s="11" t="n">
        <v>45401</v>
      </c>
      <c r="B346" s="12" t="n">
        <v>100.437836</v>
      </c>
      <c r="C346" s="12" t="n">
        <v>84.002617</v>
      </c>
      <c r="D346" s="12" t="n">
        <v>590.27002</v>
      </c>
      <c r="E346" s="13">
        <f>100*B346/B$7</f>
        <v/>
      </c>
      <c r="F346" s="13">
        <f>100*C346/C$7</f>
        <v/>
      </c>
      <c r="G346" s="13">
        <f>100*D346/D$7</f>
        <v/>
      </c>
    </row>
    <row r="347">
      <c r="A347" s="11" t="n">
        <v>45404</v>
      </c>
      <c r="B347" s="12" t="n">
        <v>101.456245</v>
      </c>
      <c r="C347" s="12" t="n">
        <v>84.01179500000001</v>
      </c>
      <c r="D347" s="12" t="n">
        <v>589.960022</v>
      </c>
      <c r="E347" s="13">
        <f>100*B347/B$7</f>
        <v/>
      </c>
      <c r="F347" s="13">
        <f>100*C347/C$7</f>
        <v/>
      </c>
      <c r="G347" s="13">
        <f>100*D347/D$7</f>
        <v/>
      </c>
    </row>
    <row r="348">
      <c r="A348" s="11" t="n">
        <v>45405</v>
      </c>
      <c r="B348" s="12" t="n">
        <v>102.589935</v>
      </c>
      <c r="C348" s="12" t="n">
        <v>84.121674</v>
      </c>
      <c r="D348" s="12" t="n">
        <v>593.820007</v>
      </c>
      <c r="E348" s="13">
        <f>100*B348/B$7</f>
        <v/>
      </c>
      <c r="F348" s="13">
        <f>100*C348/C$7</f>
        <v/>
      </c>
      <c r="G348" s="13">
        <f>100*D348/D$7</f>
        <v/>
      </c>
    </row>
    <row r="349">
      <c r="A349" s="11" t="n">
        <v>45406</v>
      </c>
      <c r="B349" s="12" t="n">
        <v>102.532303</v>
      </c>
      <c r="C349" s="12" t="n">
        <v>83.86526499999999</v>
      </c>
      <c r="D349" s="12" t="n">
        <v>592.159973</v>
      </c>
      <c r="E349" s="13">
        <f>100*B349/B$7</f>
        <v/>
      </c>
      <c r="F349" s="13">
        <f>100*C349/C$7</f>
        <v/>
      </c>
      <c r="G349" s="13">
        <f>100*D349/D$7</f>
        <v/>
      </c>
    </row>
    <row r="350">
      <c r="A350" s="11" t="n">
        <v>45407</v>
      </c>
      <c r="B350" s="12" t="n">
        <v>102.215248</v>
      </c>
      <c r="C350" s="12" t="n">
        <v>83.544792</v>
      </c>
      <c r="D350" s="12" t="n">
        <v>594.599976</v>
      </c>
      <c r="E350" s="13">
        <f>100*B350/B$7</f>
        <v/>
      </c>
      <c r="F350" s="13">
        <f>100*C350/C$7</f>
        <v/>
      </c>
      <c r="G350" s="13">
        <f>100*D350/D$7</f>
        <v/>
      </c>
    </row>
    <row r="351">
      <c r="A351" s="11" t="n">
        <v>45408</v>
      </c>
      <c r="B351" s="12" t="n">
        <v>103.166389</v>
      </c>
      <c r="C351" s="12" t="n">
        <v>83.773712</v>
      </c>
      <c r="D351" s="12" t="n">
        <v>595.940002</v>
      </c>
      <c r="E351" s="13">
        <f>100*B351/B$7</f>
        <v/>
      </c>
      <c r="F351" s="13">
        <f>100*C351/C$7</f>
        <v/>
      </c>
      <c r="G351" s="13">
        <f>100*D351/D$7</f>
        <v/>
      </c>
    </row>
    <row r="352">
      <c r="A352" s="11" t="n">
        <v>45411</v>
      </c>
      <c r="B352" s="12" t="n">
        <v>103.617943</v>
      </c>
      <c r="C352" s="12" t="n">
        <v>84.112534</v>
      </c>
      <c r="D352" s="12" t="n">
        <v>592.559998</v>
      </c>
      <c r="E352" s="13">
        <f>100*B352/B$7</f>
        <v/>
      </c>
      <c r="F352" s="13">
        <f>100*C352/C$7</f>
        <v/>
      </c>
      <c r="G352" s="13">
        <f>100*D352/D$7</f>
        <v/>
      </c>
    </row>
    <row r="353">
      <c r="A353" s="11" t="n">
        <v>45412</v>
      </c>
      <c r="B353" s="12" t="n">
        <v>102.051918</v>
      </c>
      <c r="C353" s="12" t="n">
        <v>83.718773</v>
      </c>
      <c r="D353" s="12" t="n">
        <v>586.169983</v>
      </c>
      <c r="E353" s="13">
        <f>100*B353/B$7</f>
        <v/>
      </c>
      <c r="F353" s="13">
        <f>100*C353/C$7</f>
        <v/>
      </c>
      <c r="G353" s="13">
        <f>100*D353/D$7</f>
        <v/>
      </c>
    </row>
    <row r="354">
      <c r="A354" s="11" t="n">
        <v>45413</v>
      </c>
      <c r="B354" s="12" t="n">
        <v>101.782906</v>
      </c>
      <c r="C354" s="12" t="n">
        <v>84.050316</v>
      </c>
      <c r="D354" s="12" t="n">
        <v>572.669983</v>
      </c>
      <c r="E354" s="13">
        <f>100*B354/B$7</f>
        <v/>
      </c>
      <c r="F354" s="13">
        <f>100*C354/C$7</f>
        <v/>
      </c>
      <c r="G354" s="13">
        <f>100*D354/D$7</f>
        <v/>
      </c>
    </row>
    <row r="355">
      <c r="A355" s="11" t="n">
        <v>45414</v>
      </c>
      <c r="B355" s="12" t="n">
        <v>103.051102</v>
      </c>
      <c r="C355" s="12" t="n">
        <v>84.445221</v>
      </c>
      <c r="D355" s="12" t="n">
        <v>573.169983</v>
      </c>
      <c r="E355" s="13">
        <f>100*B355/B$7</f>
        <v/>
      </c>
      <c r="F355" s="13">
        <f>100*C355/C$7</f>
        <v/>
      </c>
      <c r="G355" s="13">
        <f>100*D355/D$7</f>
        <v/>
      </c>
    </row>
    <row r="356">
      <c r="A356" s="11" t="n">
        <v>45415</v>
      </c>
      <c r="B356" s="12" t="n">
        <v>104.175194</v>
      </c>
      <c r="C356" s="12" t="n">
        <v>84.913589</v>
      </c>
      <c r="D356" s="12" t="n">
        <v>573.190002</v>
      </c>
      <c r="E356" s="13">
        <f>100*B356/B$7</f>
        <v/>
      </c>
      <c r="F356" s="13">
        <f>100*C356/C$7</f>
        <v/>
      </c>
      <c r="G356" s="13">
        <f>100*D356/D$7</f>
        <v/>
      </c>
    </row>
    <row r="357">
      <c r="A357" s="11" t="n">
        <v>45418</v>
      </c>
      <c r="B357" s="12" t="n">
        <v>105.116737</v>
      </c>
      <c r="C357" s="12" t="n">
        <v>84.987083</v>
      </c>
      <c r="D357" s="12" t="n">
        <v>576.950012</v>
      </c>
      <c r="E357" s="13">
        <f>100*B357/B$7</f>
        <v/>
      </c>
      <c r="F357" s="13">
        <f>100*C357/C$7</f>
        <v/>
      </c>
      <c r="G357" s="13">
        <f>100*D357/D$7</f>
        <v/>
      </c>
    </row>
    <row r="358">
      <c r="A358" s="11" t="n">
        <v>45419</v>
      </c>
      <c r="B358" s="12" t="n">
        <v>105.145561</v>
      </c>
      <c r="C358" s="12" t="n">
        <v>85.207481</v>
      </c>
      <c r="D358" s="12" t="n">
        <v>577.73999</v>
      </c>
      <c r="E358" s="13">
        <f>100*B358/B$7</f>
        <v/>
      </c>
      <c r="F358" s="13">
        <f>100*C358/C$7</f>
        <v/>
      </c>
      <c r="G358" s="13">
        <f>100*D358/D$7</f>
        <v/>
      </c>
    </row>
    <row r="359">
      <c r="A359" s="11" t="n">
        <v>45420</v>
      </c>
      <c r="B359" s="12" t="n">
        <v>105.087914</v>
      </c>
      <c r="C359" s="12" t="n">
        <v>84.968681</v>
      </c>
      <c r="D359" s="12" t="n">
        <v>577.289978</v>
      </c>
      <c r="E359" s="13">
        <f>100*B359/B$7</f>
        <v/>
      </c>
      <c r="F359" s="13">
        <f>100*C359/C$7</f>
        <v/>
      </c>
      <c r="G359" s="13">
        <f>100*D359/D$7</f>
        <v/>
      </c>
    </row>
    <row r="360">
      <c r="A360" s="11" t="n">
        <v>45421</v>
      </c>
      <c r="B360" s="12" t="n">
        <v>105.722015</v>
      </c>
      <c r="C360" s="12" t="n">
        <v>85.22583</v>
      </c>
      <c r="D360" s="12" t="n">
        <v>578.950012</v>
      </c>
      <c r="E360" s="13">
        <f>100*B360/B$7</f>
        <v/>
      </c>
      <c r="F360" s="13">
        <f>100*C360/C$7</f>
        <v/>
      </c>
      <c r="G360" s="13">
        <f>100*D360/D$7</f>
        <v/>
      </c>
    </row>
    <row r="361">
      <c r="A361" s="11" t="n">
        <v>45422</v>
      </c>
      <c r="B361" s="12" t="n">
        <v>105.856514</v>
      </c>
      <c r="C361" s="12" t="n">
        <v>84.95034800000001</v>
      </c>
      <c r="D361" s="12" t="n">
        <v>577.150024</v>
      </c>
      <c r="E361" s="13">
        <f>100*B361/B$7</f>
        <v/>
      </c>
      <c r="F361" s="13">
        <f>100*C361/C$7</f>
        <v/>
      </c>
      <c r="G361" s="13">
        <f>100*D361/D$7</f>
        <v/>
      </c>
    </row>
    <row r="362">
      <c r="A362" s="11" t="n">
        <v>45425</v>
      </c>
      <c r="B362" s="12" t="n">
        <v>105.923782</v>
      </c>
      <c r="C362" s="12" t="n">
        <v>85.051346</v>
      </c>
      <c r="D362" s="12" t="n">
        <v>579.5</v>
      </c>
      <c r="E362" s="13">
        <f>100*B362/B$7</f>
        <v/>
      </c>
      <c r="F362" s="13">
        <f>100*C362/C$7</f>
        <v/>
      </c>
      <c r="G362" s="13">
        <f>100*D362/D$7</f>
        <v/>
      </c>
    </row>
    <row r="363">
      <c r="A363" s="11" t="n">
        <v>45426</v>
      </c>
      <c r="B363" s="12" t="n">
        <v>106.509834</v>
      </c>
      <c r="C363" s="12" t="n">
        <v>85.299324</v>
      </c>
      <c r="D363" s="12" t="n">
        <v>575.52002</v>
      </c>
      <c r="E363" s="13">
        <f>100*B363/B$7</f>
        <v/>
      </c>
      <c r="F363" s="13">
        <f>100*C363/C$7</f>
        <v/>
      </c>
      <c r="G363" s="13">
        <f>100*D363/D$7</f>
        <v/>
      </c>
    </row>
    <row r="364">
      <c r="A364" s="11" t="n">
        <v>45427</v>
      </c>
      <c r="B364" s="12" t="n">
        <v>107.730003</v>
      </c>
      <c r="C364" s="12" t="n">
        <v>85.94219200000001</v>
      </c>
      <c r="D364" s="12" t="n">
        <v>578.869995</v>
      </c>
      <c r="E364" s="13">
        <f>100*B364/B$7</f>
        <v/>
      </c>
      <c r="F364" s="13">
        <f>100*C364/C$7</f>
        <v/>
      </c>
      <c r="G364" s="13">
        <f>100*D364/D$7</f>
        <v/>
      </c>
    </row>
    <row r="365">
      <c r="A365" s="11" t="n">
        <v>45428</v>
      </c>
      <c r="B365" s="12" t="n">
        <v>107.509026</v>
      </c>
      <c r="C365" s="12" t="n">
        <v>85.776855</v>
      </c>
      <c r="D365" s="12" t="n">
        <v>581.570007</v>
      </c>
      <c r="E365" s="13">
        <f>100*B365/B$7</f>
        <v/>
      </c>
      <c r="F365" s="13">
        <f>100*C365/C$7</f>
        <v/>
      </c>
      <c r="G365" s="13">
        <f>100*D365/D$7</f>
        <v/>
      </c>
    </row>
    <row r="366">
      <c r="A366" s="11" t="n">
        <v>45429</v>
      </c>
      <c r="B366" s="12" t="n">
        <v>107.758842</v>
      </c>
      <c r="C366" s="12" t="n">
        <v>85.510559</v>
      </c>
      <c r="D366" s="12" t="n">
        <v>587.47998</v>
      </c>
      <c r="E366" s="13">
        <f>100*B366/B$7</f>
        <v/>
      </c>
      <c r="F366" s="13">
        <f>100*C366/C$7</f>
        <v/>
      </c>
      <c r="G366" s="13">
        <f>100*D366/D$7</f>
        <v/>
      </c>
    </row>
    <row r="367">
      <c r="A367" s="11" t="n">
        <v>45432</v>
      </c>
      <c r="B367" s="12" t="n">
        <v>107.826073</v>
      </c>
      <c r="C367" s="12" t="n">
        <v>85.38194300000001</v>
      </c>
      <c r="D367" s="12" t="n">
        <v>591.049988</v>
      </c>
      <c r="E367" s="13">
        <f>100*B367/B$7</f>
        <v/>
      </c>
      <c r="F367" s="13">
        <f>100*C367/C$7</f>
        <v/>
      </c>
      <c r="G367" s="13">
        <f>100*D367/D$7</f>
        <v/>
      </c>
    </row>
    <row r="368">
      <c r="A368" s="11" t="n">
        <v>45433</v>
      </c>
      <c r="B368" s="12" t="n">
        <v>107.845291</v>
      </c>
      <c r="C368" s="12" t="n">
        <v>85.602379</v>
      </c>
      <c r="D368" s="12" t="n">
        <v>588.940002</v>
      </c>
      <c r="E368" s="13">
        <f>100*B368/B$7</f>
        <v/>
      </c>
      <c r="F368" s="13">
        <f>100*C368/C$7</f>
        <v/>
      </c>
      <c r="G368" s="13">
        <f>100*D368/D$7</f>
        <v/>
      </c>
    </row>
    <row r="369">
      <c r="A369" s="11" t="n">
        <v>45434</v>
      </c>
      <c r="B369" s="12" t="n">
        <v>107.336098</v>
      </c>
      <c r="C369" s="12" t="n">
        <v>85.492165</v>
      </c>
      <c r="D369" s="12" t="n">
        <v>583.190002</v>
      </c>
      <c r="E369" s="13">
        <f>100*B369/B$7</f>
        <v/>
      </c>
      <c r="F369" s="13">
        <f>100*C369/C$7</f>
        <v/>
      </c>
      <c r="G369" s="13">
        <f>100*D369/D$7</f>
        <v/>
      </c>
    </row>
    <row r="370">
      <c r="A370" s="11" t="n">
        <v>45435</v>
      </c>
      <c r="B370" s="12" t="n">
        <v>106.62513</v>
      </c>
      <c r="C370" s="12" t="n">
        <v>85.18910200000001</v>
      </c>
      <c r="D370" s="12" t="n">
        <v>579.8900149999999</v>
      </c>
      <c r="E370" s="13">
        <f>100*B370/B$7</f>
        <v/>
      </c>
      <c r="F370" s="13">
        <f>100*C370/C$7</f>
        <v/>
      </c>
      <c r="G370" s="13">
        <f>100*D370/D$7</f>
        <v/>
      </c>
    </row>
    <row r="371">
      <c r="A371" s="11" t="n">
        <v>45436</v>
      </c>
      <c r="B371" s="12" t="n">
        <v>107.316872</v>
      </c>
      <c r="C371" s="12" t="n">
        <v>85.299324</v>
      </c>
      <c r="D371" s="12" t="n">
        <v>581.690002</v>
      </c>
      <c r="E371" s="13">
        <f>100*B371/B$7</f>
        <v/>
      </c>
      <c r="F371" s="13">
        <f>100*C371/C$7</f>
        <v/>
      </c>
      <c r="G371" s="13">
        <f>100*D371/D$7</f>
        <v/>
      </c>
    </row>
    <row r="372">
      <c r="A372" s="11" t="n">
        <v>45439</v>
      </c>
      <c r="B372" s="12" t="n">
        <v>107.316872</v>
      </c>
      <c r="C372" s="12" t="n">
        <v>85.299324</v>
      </c>
      <c r="D372" s="12" t="n">
        <v>581.690002</v>
      </c>
      <c r="E372" s="13">
        <f>100*B372/B$7</f>
        <v/>
      </c>
      <c r="F372" s="13">
        <f>100*C372/C$7</f>
        <v/>
      </c>
      <c r="G372" s="13">
        <f>100*D372/D$7</f>
        <v/>
      </c>
    </row>
    <row r="373">
      <c r="A373" s="11" t="n">
        <v>45440</v>
      </c>
      <c r="B373" s="12" t="n">
        <v>107.345711</v>
      </c>
      <c r="C373" s="12" t="n">
        <v>84.821732</v>
      </c>
      <c r="D373" s="12" t="n">
        <v>592.440002</v>
      </c>
      <c r="E373" s="13">
        <f>100*B373/B$7</f>
        <v/>
      </c>
      <c r="F373" s="13">
        <f>100*C373/C$7</f>
        <v/>
      </c>
      <c r="G373" s="13">
        <f>100*D373/D$7</f>
        <v/>
      </c>
    </row>
    <row r="374">
      <c r="A374" s="11" t="n">
        <v>45441</v>
      </c>
      <c r="B374" s="12" t="n">
        <v>106.26004</v>
      </c>
      <c r="C374" s="12" t="n">
        <v>84.40849300000001</v>
      </c>
      <c r="D374" s="12" t="n">
        <v>587.530029</v>
      </c>
      <c r="E374" s="13">
        <f>100*B374/B$7</f>
        <v/>
      </c>
      <c r="F374" s="13">
        <f>100*C374/C$7</f>
        <v/>
      </c>
      <c r="G374" s="13">
        <f>100*D374/D$7</f>
        <v/>
      </c>
    </row>
    <row r="375">
      <c r="A375" s="11" t="n">
        <v>45442</v>
      </c>
      <c r="B375" s="12" t="n">
        <v>105.991028</v>
      </c>
      <c r="C375" s="12" t="n">
        <v>84.83094800000001</v>
      </c>
      <c r="D375" s="12" t="n">
        <v>578.309998</v>
      </c>
      <c r="E375" s="13">
        <f>100*B375/B$7</f>
        <v/>
      </c>
      <c r="F375" s="13">
        <f>100*C375/C$7</f>
        <v/>
      </c>
      <c r="G375" s="13">
        <f>100*D375/D$7</f>
        <v/>
      </c>
    </row>
    <row r="376">
      <c r="A376" s="11" t="n">
        <v>45443</v>
      </c>
      <c r="B376" s="12" t="n">
        <v>106.721207</v>
      </c>
      <c r="C376" s="12" t="n">
        <v>85.22583</v>
      </c>
      <c r="D376" s="12" t="n">
        <v>573.280029</v>
      </c>
      <c r="E376" s="13">
        <f>100*B376/B$7</f>
        <v/>
      </c>
      <c r="F376" s="13">
        <f>100*C376/C$7</f>
        <v/>
      </c>
      <c r="G376" s="13">
        <f>100*D376/D$7</f>
        <v/>
      </c>
    </row>
    <row r="377">
      <c r="A377" s="11" t="n">
        <v>45446</v>
      </c>
      <c r="B377" s="12" t="n">
        <v>106.932579</v>
      </c>
      <c r="C377" s="12" t="n">
        <v>85.784042</v>
      </c>
      <c r="D377" s="12" t="n">
        <v>563.820007</v>
      </c>
      <c r="E377" s="13">
        <f>100*B377/B$7</f>
        <v/>
      </c>
      <c r="F377" s="13">
        <f>100*C377/C$7</f>
        <v/>
      </c>
      <c r="G377" s="13">
        <f>100*D377/D$7</f>
        <v/>
      </c>
    </row>
    <row r="378">
      <c r="A378" s="11" t="n">
        <v>45447</v>
      </c>
      <c r="B378" s="12" t="n">
        <v>106.788467</v>
      </c>
      <c r="C378" s="12" t="n">
        <v>86.253845</v>
      </c>
      <c r="D378" s="12" t="n">
        <v>557.900024</v>
      </c>
      <c r="E378" s="13">
        <f>100*B378/B$7</f>
        <v/>
      </c>
      <c r="F378" s="13">
        <f>100*C378/C$7</f>
        <v/>
      </c>
      <c r="G378" s="13">
        <f>100*D378/D$7</f>
        <v/>
      </c>
    </row>
    <row r="379">
      <c r="A379" s="11" t="n">
        <v>45448</v>
      </c>
      <c r="B379" s="12" t="n">
        <v>108.018234</v>
      </c>
      <c r="C379" s="12" t="n">
        <v>86.567001</v>
      </c>
      <c r="D379" s="12" t="n">
        <v>560.01001</v>
      </c>
      <c r="E379" s="13">
        <f>100*B379/B$7</f>
        <v/>
      </c>
      <c r="F379" s="13">
        <f>100*C379/C$7</f>
        <v/>
      </c>
      <c r="G379" s="13">
        <f>100*D379/D$7</f>
        <v/>
      </c>
    </row>
    <row r="380">
      <c r="A380" s="11" t="n">
        <v>45449</v>
      </c>
      <c r="B380" s="12" t="n">
        <v>108.123917</v>
      </c>
      <c r="C380" s="12" t="n">
        <v>86.53014400000001</v>
      </c>
      <c r="D380" s="12" t="n">
        <v>569.119995</v>
      </c>
      <c r="E380" s="13">
        <f>100*B380/B$7</f>
        <v/>
      </c>
      <c r="F380" s="13">
        <f>100*C380/C$7</f>
        <v/>
      </c>
      <c r="G380" s="13">
        <f>100*D380/D$7</f>
        <v/>
      </c>
    </row>
    <row r="381">
      <c r="A381" s="11" t="n">
        <v>45450</v>
      </c>
      <c r="B381" s="12" t="n">
        <v>107.585892</v>
      </c>
      <c r="C381" s="12" t="n">
        <v>85.618233</v>
      </c>
      <c r="D381" s="12" t="n">
        <v>564.419983</v>
      </c>
      <c r="E381" s="13">
        <f>100*B381/B$7</f>
        <v/>
      </c>
      <c r="F381" s="13">
        <f>100*C381/C$7</f>
        <v/>
      </c>
      <c r="G381" s="13">
        <f>100*D381/D$7</f>
        <v/>
      </c>
    </row>
    <row r="382">
      <c r="A382" s="11" t="n">
        <v>45453</v>
      </c>
      <c r="B382" s="12" t="n">
        <v>107.902946</v>
      </c>
      <c r="C382" s="12" t="n">
        <v>85.43401299999999</v>
      </c>
      <c r="D382" s="12" t="n">
        <v>571.700012</v>
      </c>
      <c r="E382" s="13">
        <f>100*B382/B$7</f>
        <v/>
      </c>
      <c r="F382" s="13">
        <f>100*C382/C$7</f>
        <v/>
      </c>
      <c r="G382" s="13">
        <f>100*D382/D$7</f>
        <v/>
      </c>
    </row>
    <row r="383">
      <c r="A383" s="11" t="n">
        <v>45454</v>
      </c>
      <c r="B383" s="12" t="n">
        <v>107.684959</v>
      </c>
      <c r="C383" s="12" t="n">
        <v>85.885368</v>
      </c>
      <c r="D383" s="12" t="n">
        <v>573</v>
      </c>
      <c r="E383" s="13">
        <f>100*B383/B$7</f>
        <v/>
      </c>
      <c r="F383" s="13">
        <f>100*C383/C$7</f>
        <v/>
      </c>
      <c r="G383" s="13">
        <f>100*D383/D$7</f>
        <v/>
      </c>
    </row>
    <row r="384">
      <c r="A384" s="11" t="n">
        <v>45455</v>
      </c>
      <c r="B384" s="12" t="n">
        <v>108.721603</v>
      </c>
      <c r="C384" s="12" t="n">
        <v>86.364349</v>
      </c>
      <c r="D384" s="12" t="n">
        <v>576.47998</v>
      </c>
      <c r="E384" s="13">
        <f>100*B384/B$7</f>
        <v/>
      </c>
      <c r="F384" s="13">
        <f>100*C384/C$7</f>
        <v/>
      </c>
      <c r="G384" s="13">
        <f>100*D384/D$7</f>
        <v/>
      </c>
    </row>
    <row r="385">
      <c r="A385" s="11" t="n">
        <v>45456</v>
      </c>
      <c r="B385" s="12" t="n">
        <v>108.382515</v>
      </c>
      <c r="C385" s="12" t="n">
        <v>86.93544</v>
      </c>
      <c r="D385" s="12" t="n">
        <v>577.030029</v>
      </c>
      <c r="E385" s="13">
        <f>100*B385/B$7</f>
        <v/>
      </c>
      <c r="F385" s="13">
        <f>100*C385/C$7</f>
        <v/>
      </c>
      <c r="G385" s="13">
        <f>100*D385/D$7</f>
        <v/>
      </c>
    </row>
    <row r="386">
      <c r="A386" s="11" t="n">
        <v>45457</v>
      </c>
      <c r="B386" s="12" t="n">
        <v>108.179062</v>
      </c>
      <c r="C386" s="12" t="n">
        <v>87.13808400000001</v>
      </c>
      <c r="D386" s="12" t="n">
        <v>575.090027</v>
      </c>
      <c r="E386" s="13">
        <f>100*B386/B$7</f>
        <v/>
      </c>
      <c r="F386" s="13">
        <f>100*C386/C$7</f>
        <v/>
      </c>
      <c r="G386" s="13">
        <f>100*D386/D$7</f>
        <v/>
      </c>
    </row>
    <row r="387">
      <c r="A387" s="11" t="n">
        <v>45460</v>
      </c>
      <c r="B387" s="12" t="n">
        <v>108.86692</v>
      </c>
      <c r="C387" s="12" t="n">
        <v>86.73281900000001</v>
      </c>
      <c r="D387" s="12" t="n">
        <v>577.349976</v>
      </c>
      <c r="E387" s="13">
        <f>100*B387/B$7</f>
        <v/>
      </c>
      <c r="F387" s="13">
        <f>100*C387/C$7</f>
        <v/>
      </c>
      <c r="G387" s="13">
        <f>100*D387/D$7</f>
        <v/>
      </c>
    </row>
    <row r="388">
      <c r="A388" s="11" t="n">
        <v>45461</v>
      </c>
      <c r="B388" s="12" t="n">
        <v>109.312584</v>
      </c>
      <c r="C388" s="12" t="n">
        <v>87.11045799999999</v>
      </c>
      <c r="D388" s="12" t="n">
        <v>582.330017</v>
      </c>
      <c r="E388" s="13">
        <f>100*B388/B$7</f>
        <v/>
      </c>
      <c r="F388" s="13">
        <f>100*C388/C$7</f>
        <v/>
      </c>
      <c r="G388" s="13">
        <f>100*D388/D$7</f>
        <v/>
      </c>
    </row>
    <row r="389">
      <c r="A389" s="11" t="n">
        <v>45462</v>
      </c>
      <c r="B389" s="12" t="n">
        <v>109.312584</v>
      </c>
      <c r="C389" s="12" t="n">
        <v>87.11045799999999</v>
      </c>
      <c r="D389" s="12" t="n">
        <v>582.330017</v>
      </c>
      <c r="E389" s="13">
        <f>100*B389/B$7</f>
        <v/>
      </c>
      <c r="F389" s="13">
        <f>100*C389/C$7</f>
        <v/>
      </c>
      <c r="G389" s="13">
        <f>100*D389/D$7</f>
        <v/>
      </c>
    </row>
    <row r="390">
      <c r="A390" s="11" t="n">
        <v>45463</v>
      </c>
      <c r="B390" s="12" t="n">
        <v>109.089752</v>
      </c>
      <c r="C390" s="12" t="n">
        <v>86.889404</v>
      </c>
      <c r="D390" s="12" t="n">
        <v>583.02002</v>
      </c>
      <c r="E390" s="13">
        <f>100*B390/B$7</f>
        <v/>
      </c>
      <c r="F390" s="13">
        <f>100*C390/C$7</f>
        <v/>
      </c>
      <c r="G390" s="13">
        <f>100*D390/D$7</f>
        <v/>
      </c>
    </row>
    <row r="391">
      <c r="A391" s="11" t="n">
        <v>45464</v>
      </c>
      <c r="B391" s="12" t="n">
        <v>108.653786</v>
      </c>
      <c r="C391" s="12" t="n">
        <v>86.907837</v>
      </c>
      <c r="D391" s="12" t="n">
        <v>579.059998</v>
      </c>
      <c r="E391" s="13">
        <f>100*B391/B$7</f>
        <v/>
      </c>
      <c r="F391" s="13">
        <f>100*C391/C$7</f>
        <v/>
      </c>
      <c r="G391" s="13">
        <f>100*D391/D$7</f>
        <v/>
      </c>
    </row>
    <row r="392">
      <c r="A392" s="11" t="n">
        <v>45467</v>
      </c>
      <c r="B392" s="12" t="n">
        <v>108.750664</v>
      </c>
      <c r="C392" s="12" t="n">
        <v>86.981499</v>
      </c>
      <c r="D392" s="12" t="n">
        <v>582.210022</v>
      </c>
      <c r="E392" s="13">
        <f>100*B392/B$7</f>
        <v/>
      </c>
      <c r="F392" s="13">
        <f>100*C392/C$7</f>
        <v/>
      </c>
      <c r="G392" s="13">
        <f>100*D392/D$7</f>
        <v/>
      </c>
    </row>
    <row r="393">
      <c r="A393" s="11" t="n">
        <v>45468</v>
      </c>
      <c r="B393" s="12" t="n">
        <v>109.080063</v>
      </c>
      <c r="C393" s="12" t="n">
        <v>87.055199</v>
      </c>
      <c r="D393" s="12" t="n">
        <v>577.369995</v>
      </c>
      <c r="E393" s="13">
        <f>100*B393/B$7</f>
        <v/>
      </c>
      <c r="F393" s="13">
        <f>100*C393/C$7</f>
        <v/>
      </c>
      <c r="G393" s="13">
        <f>100*D393/D$7</f>
        <v/>
      </c>
    </row>
    <row r="394">
      <c r="A394" s="11" t="n">
        <v>45469</v>
      </c>
      <c r="B394" s="12" t="n">
        <v>108.954109</v>
      </c>
      <c r="C394" s="12" t="n">
        <v>86.53014400000001</v>
      </c>
      <c r="D394" s="12" t="n">
        <v>577.669983</v>
      </c>
      <c r="E394" s="13">
        <f>100*B394/B$7</f>
        <v/>
      </c>
      <c r="F394" s="13">
        <f>100*C394/C$7</f>
        <v/>
      </c>
      <c r="G394" s="13">
        <f>100*D394/D$7</f>
        <v/>
      </c>
    </row>
    <row r="395">
      <c r="A395" s="11" t="n">
        <v>45470</v>
      </c>
      <c r="B395" s="12" t="n">
        <v>109.109138</v>
      </c>
      <c r="C395" s="12" t="n">
        <v>86.72358699999999</v>
      </c>
      <c r="D395" s="12" t="n">
        <v>580.48999</v>
      </c>
      <c r="E395" s="13">
        <f>100*B395/B$7</f>
        <v/>
      </c>
      <c r="F395" s="13">
        <f>100*C395/C$7</f>
        <v/>
      </c>
      <c r="G395" s="13">
        <f>100*D395/D$7</f>
        <v/>
      </c>
    </row>
    <row r="396">
      <c r="A396" s="11" t="n">
        <v>45471</v>
      </c>
      <c r="B396" s="12" t="n">
        <v>108.895981</v>
      </c>
      <c r="C396" s="12" t="n">
        <v>86.263023</v>
      </c>
      <c r="D396" s="12" t="n">
        <v>578.3900149999999</v>
      </c>
      <c r="E396" s="13">
        <f>100*B396/B$7</f>
        <v/>
      </c>
      <c r="F396" s="13">
        <f>100*C396/C$7</f>
        <v/>
      </c>
      <c r="G396" s="13">
        <f>100*D396/D$7</f>
        <v/>
      </c>
    </row>
    <row r="397">
      <c r="A397" s="11" t="n">
        <v>45474</v>
      </c>
      <c r="B397" s="12" t="n">
        <v>109.080063</v>
      </c>
      <c r="C397" s="12" t="n">
        <v>85.62088799999999</v>
      </c>
      <c r="D397" s="12" t="n">
        <v>584.549988</v>
      </c>
      <c r="E397" s="13">
        <f>100*B397/B$7</f>
        <v/>
      </c>
      <c r="F397" s="13">
        <f>100*C397/C$7</f>
        <v/>
      </c>
      <c r="G397" s="13">
        <f>100*D397/D$7</f>
        <v/>
      </c>
    </row>
    <row r="398">
      <c r="A398" s="11" t="n">
        <v>45475</v>
      </c>
      <c r="B398" s="12" t="n">
        <v>109.661362</v>
      </c>
      <c r="C398" s="12" t="n">
        <v>85.944275</v>
      </c>
      <c r="D398" s="12" t="n">
        <v>584.450012</v>
      </c>
      <c r="E398" s="13">
        <f>100*B398/B$7</f>
        <v/>
      </c>
      <c r="F398" s="13">
        <f>100*C398/C$7</f>
        <v/>
      </c>
      <c r="G398" s="13">
        <f>100*D398/D$7</f>
        <v/>
      </c>
    </row>
    <row r="399">
      <c r="A399" s="11" t="n">
        <v>45476</v>
      </c>
      <c r="B399" s="12" t="n">
        <v>110.455803</v>
      </c>
      <c r="C399" s="12" t="n">
        <v>86.51713599999999</v>
      </c>
      <c r="D399" s="12" t="n">
        <v>588.719971</v>
      </c>
      <c r="E399" s="13">
        <f>100*B399/B$7</f>
        <v/>
      </c>
      <c r="F399" s="13">
        <f>100*C399/C$7</f>
        <v/>
      </c>
      <c r="G399" s="13">
        <f>100*D399/D$7</f>
        <v/>
      </c>
    </row>
    <row r="400">
      <c r="A400" s="11" t="n">
        <v>45477</v>
      </c>
      <c r="B400" s="12" t="n">
        <v>110.455803</v>
      </c>
      <c r="C400" s="12" t="n">
        <v>86.51713599999999</v>
      </c>
      <c r="D400" s="12" t="n">
        <v>588.719971</v>
      </c>
      <c r="E400" s="13">
        <f>100*B400/B$7</f>
        <v/>
      </c>
      <c r="F400" s="13">
        <f>100*C400/C$7</f>
        <v/>
      </c>
      <c r="G400" s="13">
        <f>100*D400/D$7</f>
        <v/>
      </c>
    </row>
    <row r="401">
      <c r="A401" s="11" t="n">
        <v>45478</v>
      </c>
      <c r="B401" s="12" t="n">
        <v>111.085541</v>
      </c>
      <c r="C401" s="12" t="n">
        <v>86.99756600000001</v>
      </c>
      <c r="D401" s="12" t="n">
        <v>587.099976</v>
      </c>
      <c r="E401" s="13">
        <f>100*B401/B$7</f>
        <v/>
      </c>
      <c r="F401" s="13">
        <f>100*C401/C$7</f>
        <v/>
      </c>
      <c r="G401" s="13">
        <f>100*D401/D$7</f>
        <v/>
      </c>
    </row>
    <row r="402">
      <c r="A402" s="11" t="n">
        <v>45481</v>
      </c>
      <c r="B402" s="12" t="n">
        <v>111.085541</v>
      </c>
      <c r="C402" s="12" t="n">
        <v>87.02527600000001</v>
      </c>
      <c r="D402" s="12" t="n">
        <v>579.830017</v>
      </c>
      <c r="E402" s="13">
        <f>100*B402/B$7</f>
        <v/>
      </c>
      <c r="F402" s="13">
        <f>100*C402/C$7</f>
        <v/>
      </c>
      <c r="G402" s="13">
        <f>100*D402/D$7</f>
        <v/>
      </c>
    </row>
    <row r="403">
      <c r="A403" s="11" t="n">
        <v>45482</v>
      </c>
      <c r="B403" s="12" t="n">
        <v>111.056458</v>
      </c>
      <c r="C403" s="12" t="n">
        <v>86.90516700000001</v>
      </c>
      <c r="D403" s="12" t="n">
        <v>573.780029</v>
      </c>
      <c r="E403" s="13">
        <f>100*B403/B$7</f>
        <v/>
      </c>
      <c r="F403" s="13">
        <f>100*C403/C$7</f>
        <v/>
      </c>
      <c r="G403" s="13">
        <f>100*D403/D$7</f>
        <v/>
      </c>
    </row>
    <row r="404">
      <c r="A404" s="11" t="n">
        <v>45483</v>
      </c>
      <c r="B404" s="12" t="n">
        <v>112.190002</v>
      </c>
      <c r="C404" s="12" t="n">
        <v>86.988304</v>
      </c>
      <c r="D404" s="12" t="n">
        <v>573.02002</v>
      </c>
      <c r="E404" s="13">
        <f>100*B404/B$7</f>
        <v/>
      </c>
      <c r="F404" s="13">
        <f>100*C404/C$7</f>
        <v/>
      </c>
      <c r="G404" s="13">
        <f>100*D404/D$7</f>
        <v/>
      </c>
    </row>
    <row r="405">
      <c r="A405" s="11" t="n">
        <v>45484</v>
      </c>
      <c r="B405" s="12" t="n">
        <v>111.754021</v>
      </c>
      <c r="C405" s="12" t="n">
        <v>87.542686</v>
      </c>
      <c r="D405" s="12" t="n">
        <v>574.330017</v>
      </c>
      <c r="E405" s="13">
        <f>100*B405/B$7</f>
        <v/>
      </c>
      <c r="F405" s="13">
        <f>100*C405/C$7</f>
        <v/>
      </c>
      <c r="G405" s="13">
        <f>100*D405/D$7</f>
        <v/>
      </c>
    </row>
    <row r="406">
      <c r="A406" s="11" t="n">
        <v>45485</v>
      </c>
      <c r="B406" s="12" t="n">
        <v>112.567841</v>
      </c>
      <c r="C406" s="12" t="n">
        <v>87.727463</v>
      </c>
      <c r="D406" s="12" t="n">
        <v>572.3900149999999</v>
      </c>
      <c r="E406" s="13">
        <f>100*B406/B$7</f>
        <v/>
      </c>
      <c r="F406" s="13">
        <f>100*C406/C$7</f>
        <v/>
      </c>
      <c r="G406" s="13">
        <f>100*D406/D$7</f>
        <v/>
      </c>
    </row>
    <row r="407">
      <c r="A407" s="11" t="n">
        <v>45488</v>
      </c>
      <c r="B407" s="12" t="n">
        <v>112.451576</v>
      </c>
      <c r="C407" s="12" t="n">
        <v>87.450272</v>
      </c>
      <c r="D407" s="12" t="n">
        <v>568.809998</v>
      </c>
      <c r="E407" s="13">
        <f>100*B407/B$7</f>
        <v/>
      </c>
      <c r="F407" s="13">
        <f>100*C407/C$7</f>
        <v/>
      </c>
      <c r="G407" s="13">
        <f>100*D407/D$7</f>
        <v/>
      </c>
    </row>
    <row r="408">
      <c r="A408" s="11" t="n">
        <v>45489</v>
      </c>
      <c r="B408" s="12" t="n">
        <v>113.052246</v>
      </c>
      <c r="C408" s="12" t="n">
        <v>87.838318</v>
      </c>
      <c r="D408" s="12" t="n">
        <v>564.210022</v>
      </c>
      <c r="E408" s="13">
        <f>100*B408/B$7</f>
        <v/>
      </c>
      <c r="F408" s="13">
        <f>100*C408/C$7</f>
        <v/>
      </c>
      <c r="G408" s="13">
        <f>100*D408/D$7</f>
        <v/>
      </c>
    </row>
    <row r="409">
      <c r="A409" s="11" t="n">
        <v>45490</v>
      </c>
      <c r="B409" s="12" t="n">
        <v>111.628067</v>
      </c>
      <c r="C409" s="12" t="n">
        <v>87.91224699999999</v>
      </c>
      <c r="D409" s="12" t="n">
        <v>568.460022</v>
      </c>
      <c r="E409" s="13">
        <f>100*B409/B$7</f>
        <v/>
      </c>
      <c r="F409" s="13">
        <f>100*C409/C$7</f>
        <v/>
      </c>
      <c r="G409" s="13">
        <f>100*D409/D$7</f>
        <v/>
      </c>
    </row>
    <row r="410">
      <c r="A410" s="11" t="n">
        <v>45491</v>
      </c>
      <c r="B410" s="12" t="n">
        <v>110.678619</v>
      </c>
      <c r="C410" s="12" t="n">
        <v>87.662773</v>
      </c>
      <c r="D410" s="12" t="n">
        <v>566.719971</v>
      </c>
      <c r="E410" s="13">
        <f>100*B410/B$7</f>
        <v/>
      </c>
      <c r="F410" s="13">
        <f>100*C410/C$7</f>
        <v/>
      </c>
      <c r="G410" s="13">
        <f>100*D410/D$7</f>
        <v/>
      </c>
    </row>
    <row r="411">
      <c r="A411" s="11" t="n">
        <v>45492</v>
      </c>
      <c r="B411" s="12" t="n">
        <v>109.952003</v>
      </c>
      <c r="C411" s="12" t="n">
        <v>87.385605</v>
      </c>
      <c r="D411" s="12" t="n">
        <v>555.849976</v>
      </c>
      <c r="E411" s="13">
        <f>100*B411/B$7</f>
        <v/>
      </c>
      <c r="F411" s="13">
        <f>100*C411/C$7</f>
        <v/>
      </c>
      <c r="G411" s="13">
        <f>100*D411/D$7</f>
        <v/>
      </c>
    </row>
    <row r="412">
      <c r="A412" s="11" t="n">
        <v>45495</v>
      </c>
      <c r="B412" s="12" t="n">
        <v>111.085541</v>
      </c>
      <c r="C412" s="12" t="n">
        <v>87.302452</v>
      </c>
      <c r="D412" s="12" t="n">
        <v>556.8900149999999</v>
      </c>
      <c r="E412" s="13">
        <f>100*B412/B$7</f>
        <v/>
      </c>
      <c r="F412" s="13">
        <f>100*C412/C$7</f>
        <v/>
      </c>
      <c r="G412" s="13">
        <f>100*D412/D$7</f>
        <v/>
      </c>
    </row>
    <row r="413">
      <c r="A413" s="11" t="n">
        <v>45496</v>
      </c>
      <c r="B413" s="12" t="n">
        <v>110.707687</v>
      </c>
      <c r="C413" s="12" t="n">
        <v>87.367126</v>
      </c>
      <c r="D413" s="12" t="n">
        <v>551.409973</v>
      </c>
      <c r="E413" s="13">
        <f>100*B413/B$7</f>
        <v/>
      </c>
      <c r="F413" s="13">
        <f>100*C413/C$7</f>
        <v/>
      </c>
      <c r="G413" s="13">
        <f>100*D413/D$7</f>
        <v/>
      </c>
    </row>
    <row r="414">
      <c r="A414" s="11" t="n">
        <v>45497</v>
      </c>
      <c r="B414" s="12" t="n">
        <v>108.527824</v>
      </c>
      <c r="C414" s="12" t="n">
        <v>87.173119</v>
      </c>
      <c r="D414" s="12" t="n">
        <v>553.919983</v>
      </c>
      <c r="E414" s="13">
        <f>100*B414/B$7</f>
        <v/>
      </c>
      <c r="F414" s="13">
        <f>100*C414/C$7</f>
        <v/>
      </c>
      <c r="G414" s="13">
        <f>100*D414/D$7</f>
        <v/>
      </c>
    </row>
    <row r="415">
      <c r="A415" s="11" t="n">
        <v>45498</v>
      </c>
      <c r="B415" s="12" t="n">
        <v>107.975594</v>
      </c>
      <c r="C415" s="12" t="n">
        <v>87.367126</v>
      </c>
      <c r="D415" s="12" t="n">
        <v>554.98999</v>
      </c>
      <c r="E415" s="13">
        <f>100*B415/B$7</f>
        <v/>
      </c>
      <c r="F415" s="13">
        <f>100*C415/C$7</f>
        <v/>
      </c>
      <c r="G415" s="13">
        <f>100*D415/D$7</f>
        <v/>
      </c>
    </row>
    <row r="416">
      <c r="A416" s="11" t="n">
        <v>45499</v>
      </c>
      <c r="B416" s="12" t="n">
        <v>109.25444</v>
      </c>
      <c r="C416" s="12" t="n">
        <v>87.782898</v>
      </c>
      <c r="D416" s="12" t="n">
        <v>549.280029</v>
      </c>
      <c r="E416" s="13">
        <f>100*B416/B$7</f>
        <v/>
      </c>
      <c r="F416" s="13">
        <f>100*C416/C$7</f>
        <v/>
      </c>
      <c r="G416" s="13">
        <f>100*D416/D$7</f>
        <v/>
      </c>
    </row>
    <row r="417">
      <c r="A417" s="11" t="n">
        <v>45502</v>
      </c>
      <c r="B417" s="12" t="n">
        <v>109.157562</v>
      </c>
      <c r="C417" s="12" t="n">
        <v>87.930725</v>
      </c>
      <c r="D417" s="12" t="n">
        <v>543.1400149999999</v>
      </c>
      <c r="E417" s="13">
        <f>100*B417/B$7</f>
        <v/>
      </c>
      <c r="F417" s="13">
        <f>100*C417/C$7</f>
        <v/>
      </c>
      <c r="G417" s="13">
        <f>100*D417/D$7</f>
        <v/>
      </c>
    </row>
    <row r="418">
      <c r="A418" s="11" t="n">
        <v>45503</v>
      </c>
      <c r="B418" s="12" t="n">
        <v>108.789421</v>
      </c>
      <c r="C418" s="12" t="n">
        <v>88.115517</v>
      </c>
      <c r="D418" s="12" t="n">
        <v>539.1099850000001</v>
      </c>
      <c r="E418" s="13">
        <f>100*B418/B$7</f>
        <v/>
      </c>
      <c r="F418" s="13">
        <f>100*C418/C$7</f>
        <v/>
      </c>
      <c r="G418" s="13">
        <f>100*D418/D$7</f>
        <v/>
      </c>
    </row>
    <row r="419">
      <c r="A419" s="11" t="n">
        <v>45504</v>
      </c>
      <c r="B419" s="12" t="n">
        <v>110.572052</v>
      </c>
      <c r="C419" s="12" t="n">
        <v>88.762276</v>
      </c>
      <c r="D419" s="12" t="n">
        <v>551.440002</v>
      </c>
      <c r="E419" s="13">
        <f>100*B419/B$7</f>
        <v/>
      </c>
      <c r="F419" s="13">
        <f>100*C419/C$7</f>
        <v/>
      </c>
      <c r="G419" s="13">
        <f>100*D419/D$7</f>
        <v/>
      </c>
    </row>
    <row r="420">
      <c r="A420" s="11" t="n">
        <v>45505</v>
      </c>
      <c r="B420" s="12" t="n">
        <v>108.605339</v>
      </c>
      <c r="C420" s="12" t="n">
        <v>89.14130400000001</v>
      </c>
      <c r="D420" s="12" t="n">
        <v>544.369995</v>
      </c>
      <c r="E420" s="13">
        <f>100*B420/B$7</f>
        <v/>
      </c>
      <c r="F420" s="13">
        <f>100*C420/C$7</f>
        <v/>
      </c>
      <c r="G420" s="13">
        <f>100*D420/D$7</f>
        <v/>
      </c>
    </row>
    <row r="421">
      <c r="A421" s="11" t="n">
        <v>45506</v>
      </c>
      <c r="B421" s="12" t="n">
        <v>106.696747</v>
      </c>
      <c r="C421" s="12" t="n">
        <v>90.52211</v>
      </c>
      <c r="D421" s="12" t="n">
        <v>533.059998</v>
      </c>
      <c r="E421" s="13">
        <f>100*B421/B$7</f>
        <v/>
      </c>
      <c r="F421" s="13">
        <f>100*C421/C$7</f>
        <v/>
      </c>
      <c r="G421" s="13">
        <f>100*D421/D$7</f>
        <v/>
      </c>
    </row>
    <row r="422">
      <c r="A422" s="11" t="n">
        <v>45509</v>
      </c>
      <c r="B422" s="12" t="n">
        <v>103.896851</v>
      </c>
      <c r="C422" s="12" t="n">
        <v>90.614784</v>
      </c>
      <c r="D422" s="12" t="n">
        <v>529.349976</v>
      </c>
      <c r="E422" s="13">
        <f>100*B422/B$7</f>
        <v/>
      </c>
      <c r="F422" s="13">
        <f>100*C422/C$7</f>
        <v/>
      </c>
      <c r="G422" s="13">
        <f>100*D422/D$7</f>
        <v/>
      </c>
    </row>
    <row r="423">
      <c r="A423" s="11" t="n">
        <v>45510</v>
      </c>
      <c r="B423" s="12" t="n">
        <v>104.604095</v>
      </c>
      <c r="C423" s="12" t="n">
        <v>89.808548</v>
      </c>
      <c r="D423" s="12" t="n">
        <v>530.76001</v>
      </c>
      <c r="E423" s="13">
        <f>100*B423/B$7</f>
        <v/>
      </c>
      <c r="F423" s="13">
        <f>100*C423/C$7</f>
        <v/>
      </c>
      <c r="G423" s="13">
        <f>100*D423/D$7</f>
        <v/>
      </c>
    </row>
    <row r="424">
      <c r="A424" s="11" t="n">
        <v>45511</v>
      </c>
      <c r="B424" s="12" t="n">
        <v>104.410316</v>
      </c>
      <c r="C424" s="12" t="n">
        <v>89.48419199999999</v>
      </c>
      <c r="D424" s="12" t="n">
        <v>537.369995</v>
      </c>
      <c r="E424" s="13">
        <f>100*B424/B$7</f>
        <v/>
      </c>
      <c r="F424" s="13">
        <f>100*C424/C$7</f>
        <v/>
      </c>
      <c r="G424" s="13">
        <f>100*D424/D$7</f>
        <v/>
      </c>
    </row>
    <row r="425">
      <c r="A425" s="11" t="n">
        <v>45512</v>
      </c>
      <c r="B425" s="12" t="n">
        <v>106.609558</v>
      </c>
      <c r="C425" s="12" t="n">
        <v>89.215439</v>
      </c>
      <c r="D425" s="12" t="n">
        <v>539.400024</v>
      </c>
      <c r="E425" s="13">
        <f>100*B425/B$7</f>
        <v/>
      </c>
      <c r="F425" s="13">
        <f>100*C425/C$7</f>
        <v/>
      </c>
      <c r="G425" s="13">
        <f>100*D425/D$7</f>
        <v/>
      </c>
    </row>
    <row r="426">
      <c r="A426" s="11" t="n">
        <v>45513</v>
      </c>
      <c r="B426" s="12" t="n">
        <v>107.08429</v>
      </c>
      <c r="C426" s="12" t="n">
        <v>89.576851</v>
      </c>
      <c r="D426" s="12" t="n">
        <v>542.080017</v>
      </c>
      <c r="E426" s="13">
        <f>100*B426/B$7</f>
        <v/>
      </c>
      <c r="F426" s="13">
        <f>100*C426/C$7</f>
        <v/>
      </c>
      <c r="G426" s="13">
        <f>100*D426/D$7</f>
        <v/>
      </c>
    </row>
    <row r="427">
      <c r="A427" s="11" t="n">
        <v>45516</v>
      </c>
      <c r="B427" s="12" t="n">
        <v>107.161789</v>
      </c>
      <c r="C427" s="12" t="n">
        <v>89.827065</v>
      </c>
      <c r="D427" s="12" t="n">
        <v>551.830017</v>
      </c>
      <c r="E427" s="13">
        <f>100*B427/B$7</f>
        <v/>
      </c>
      <c r="F427" s="13">
        <f>100*C427/C$7</f>
        <v/>
      </c>
      <c r="G427" s="13">
        <f>100*D427/D$7</f>
        <v/>
      </c>
    </row>
    <row r="428">
      <c r="A428" s="11" t="n">
        <v>45517</v>
      </c>
      <c r="B428" s="12" t="n">
        <v>108.8088</v>
      </c>
      <c r="C428" s="12" t="n">
        <v>90.225555</v>
      </c>
      <c r="D428" s="12" t="n">
        <v>544.409973</v>
      </c>
      <c r="E428" s="13">
        <f>100*B428/B$7</f>
        <v/>
      </c>
      <c r="F428" s="13">
        <f>100*C428/C$7</f>
        <v/>
      </c>
      <c r="G428" s="13">
        <f>100*D428/D$7</f>
        <v/>
      </c>
    </row>
    <row r="429">
      <c r="A429" s="11" t="n">
        <v>45518</v>
      </c>
      <c r="B429" s="12" t="n">
        <v>109.099442</v>
      </c>
      <c r="C429" s="12" t="n">
        <v>90.346024</v>
      </c>
      <c r="D429" s="12" t="n">
        <v>541.849976</v>
      </c>
      <c r="E429" s="13">
        <f>100*B429/B$7</f>
        <v/>
      </c>
      <c r="F429" s="13">
        <f>100*C429/C$7</f>
        <v/>
      </c>
      <c r="G429" s="13">
        <f>100*D429/D$7</f>
        <v/>
      </c>
    </row>
    <row r="430">
      <c r="A430" s="11" t="n">
        <v>45519</v>
      </c>
      <c r="B430" s="12" t="n">
        <v>110.833641</v>
      </c>
      <c r="C430" s="12" t="n">
        <v>89.780731</v>
      </c>
      <c r="D430" s="12" t="n">
        <v>546.51001</v>
      </c>
      <c r="E430" s="13">
        <f>100*B430/B$7</f>
        <v/>
      </c>
      <c r="F430" s="13">
        <f>100*C430/C$7</f>
        <v/>
      </c>
      <c r="G430" s="13">
        <f>100*D430/D$7</f>
        <v/>
      </c>
    </row>
    <row r="431">
      <c r="A431" s="11" t="n">
        <v>45520</v>
      </c>
      <c r="B431" s="12" t="n">
        <v>111.221169</v>
      </c>
      <c r="C431" s="12" t="n">
        <v>89.95682499999999</v>
      </c>
      <c r="D431" s="12" t="n">
        <v>540.080017</v>
      </c>
      <c r="E431" s="13">
        <f>100*B431/B$7</f>
        <v/>
      </c>
      <c r="F431" s="13">
        <f>100*C431/C$7</f>
        <v/>
      </c>
      <c r="G431" s="13">
        <f>100*D431/D$7</f>
        <v/>
      </c>
    </row>
    <row r="432">
      <c r="A432" s="11" t="n">
        <v>45523</v>
      </c>
      <c r="B432" s="12" t="n">
        <v>112.33532</v>
      </c>
      <c r="C432" s="12" t="n">
        <v>90.07730100000001</v>
      </c>
      <c r="D432" s="12" t="n">
        <v>536.75</v>
      </c>
      <c r="E432" s="13">
        <f>100*B432/B$7</f>
        <v/>
      </c>
      <c r="F432" s="13">
        <f>100*C432/C$7</f>
        <v/>
      </c>
      <c r="G432" s="13">
        <f>100*D432/D$7</f>
        <v/>
      </c>
    </row>
    <row r="433">
      <c r="A433" s="11" t="n">
        <v>45524</v>
      </c>
      <c r="B433" s="12" t="n">
        <v>112.054359</v>
      </c>
      <c r="C433" s="12" t="n">
        <v>90.438705</v>
      </c>
      <c r="D433" s="12" t="n">
        <v>534.330017</v>
      </c>
      <c r="E433" s="13">
        <f>100*B433/B$7</f>
        <v/>
      </c>
      <c r="F433" s="13">
        <f>100*C433/C$7</f>
        <v/>
      </c>
      <c r="G433" s="13">
        <f>100*D433/D$7</f>
        <v/>
      </c>
    </row>
    <row r="434">
      <c r="A434" s="11" t="n">
        <v>45525</v>
      </c>
      <c r="B434" s="12" t="n">
        <v>112.635658</v>
      </c>
      <c r="C434" s="12" t="n">
        <v>90.624062</v>
      </c>
      <c r="D434" s="12" t="n">
        <v>530.51001</v>
      </c>
      <c r="E434" s="13">
        <f>100*B434/B$7</f>
        <v/>
      </c>
      <c r="F434" s="13">
        <f>100*C434/C$7</f>
        <v/>
      </c>
      <c r="G434" s="13">
        <f>100*D434/D$7</f>
        <v/>
      </c>
    </row>
    <row r="435">
      <c r="A435" s="11" t="n">
        <v>45526</v>
      </c>
      <c r="B435" s="12" t="n">
        <v>111.744331</v>
      </c>
      <c r="C435" s="12" t="n">
        <v>90.207031</v>
      </c>
      <c r="D435" s="12" t="n">
        <v>532.1400149999999</v>
      </c>
      <c r="E435" s="13">
        <f>100*B435/B$7</f>
        <v/>
      </c>
      <c r="F435" s="13">
        <f>100*C435/C$7</f>
        <v/>
      </c>
      <c r="G435" s="13">
        <f>100*D435/D$7</f>
        <v/>
      </c>
    </row>
    <row r="436">
      <c r="A436" s="11" t="n">
        <v>45527</v>
      </c>
      <c r="B436" s="12" t="n">
        <v>113.255699</v>
      </c>
      <c r="C436" s="12" t="n">
        <v>90.624062</v>
      </c>
      <c r="D436" s="12" t="n">
        <v>540.460022</v>
      </c>
      <c r="E436" s="13">
        <f>100*B436/B$7</f>
        <v/>
      </c>
      <c r="F436" s="13">
        <f>100*C436/C$7</f>
        <v/>
      </c>
      <c r="G436" s="13">
        <f>100*D436/D$7</f>
        <v/>
      </c>
    </row>
    <row r="437">
      <c r="A437" s="11" t="n">
        <v>45530</v>
      </c>
      <c r="B437" s="12" t="n">
        <v>112.839104</v>
      </c>
      <c r="C437" s="12" t="n">
        <v>90.51284</v>
      </c>
      <c r="D437" s="12" t="n">
        <v>549.299988</v>
      </c>
      <c r="E437" s="13">
        <f>100*B437/B$7</f>
        <v/>
      </c>
      <c r="F437" s="13">
        <f>100*C437/C$7</f>
        <v/>
      </c>
      <c r="G437" s="13">
        <f>100*D437/D$7</f>
        <v/>
      </c>
    </row>
    <row r="438">
      <c r="A438" s="11" t="n">
        <v>45531</v>
      </c>
      <c r="B438" s="12" t="n">
        <v>113.061935</v>
      </c>
      <c r="C438" s="12" t="n">
        <v>90.47576100000001</v>
      </c>
      <c r="D438" s="12" t="n">
        <v>544.539978</v>
      </c>
      <c r="E438" s="13">
        <f>100*B438/B$7</f>
        <v/>
      </c>
      <c r="F438" s="13">
        <f>100*C438/C$7</f>
        <v/>
      </c>
      <c r="G438" s="13">
        <f>100*D438/D$7</f>
        <v/>
      </c>
    </row>
    <row r="439">
      <c r="A439" s="11" t="n">
        <v>45532</v>
      </c>
      <c r="B439" s="12" t="n">
        <v>112.441887</v>
      </c>
      <c r="C439" s="12" t="n">
        <v>90.429436</v>
      </c>
      <c r="D439" s="12" t="n">
        <v>538.150024</v>
      </c>
      <c r="E439" s="13">
        <f>100*B439/B$7</f>
        <v/>
      </c>
      <c r="F439" s="13">
        <f>100*C439/C$7</f>
        <v/>
      </c>
      <c r="G439" s="13">
        <f>100*D439/D$7</f>
        <v/>
      </c>
    </row>
    <row r="440">
      <c r="A440" s="11" t="n">
        <v>45533</v>
      </c>
      <c r="B440" s="12" t="n">
        <v>112.538773</v>
      </c>
      <c r="C440" s="12" t="n">
        <v>90.271889</v>
      </c>
      <c r="D440" s="12" t="n">
        <v>544.080017</v>
      </c>
      <c r="E440" s="13">
        <f>100*B440/B$7</f>
        <v/>
      </c>
      <c r="F440" s="13">
        <f>100*C440/C$7</f>
        <v/>
      </c>
      <c r="G440" s="13">
        <f>100*D440/D$7</f>
        <v/>
      </c>
    </row>
    <row r="441">
      <c r="A441" s="11" t="n">
        <v>45534</v>
      </c>
      <c r="B441" s="12" t="n">
        <v>113.333206</v>
      </c>
      <c r="C441" s="12" t="n">
        <v>89.95682499999999</v>
      </c>
      <c r="D441" s="12" t="n">
        <v>536.75</v>
      </c>
      <c r="E441" s="13">
        <f>100*B441/B$7</f>
        <v/>
      </c>
      <c r="F441" s="13">
        <f>100*C441/C$7</f>
        <v/>
      </c>
      <c r="G441" s="13">
        <f>100*D441/D$7</f>
        <v/>
      </c>
    </row>
    <row r="442">
      <c r="A442" s="11" t="n">
        <v>45537</v>
      </c>
      <c r="B442" s="12" t="n">
        <v>113.333206</v>
      </c>
      <c r="C442" s="12" t="n">
        <v>89.95682499999999</v>
      </c>
      <c r="D442" s="12" t="n">
        <v>536.75</v>
      </c>
      <c r="E442" s="13">
        <f>100*B442/B$7</f>
        <v/>
      </c>
      <c r="F442" s="13">
        <f>100*C442/C$7</f>
        <v/>
      </c>
      <c r="G442" s="13">
        <f>100*D442/D$7</f>
        <v/>
      </c>
    </row>
    <row r="443">
      <c r="A443" s="11" t="n">
        <v>45538</v>
      </c>
      <c r="B443" s="12" t="n">
        <v>111.16304</v>
      </c>
      <c r="C443" s="12" t="n">
        <v>90.549812</v>
      </c>
      <c r="D443" s="12" t="n">
        <v>524.789978</v>
      </c>
      <c r="E443" s="13">
        <f>100*B443/B$7</f>
        <v/>
      </c>
      <c r="F443" s="13">
        <f>100*C443/C$7</f>
        <v/>
      </c>
      <c r="G443" s="13">
        <f>100*D443/D$7</f>
        <v/>
      </c>
    </row>
    <row r="444">
      <c r="A444" s="11" t="n">
        <v>45539</v>
      </c>
      <c r="B444" s="12" t="n">
        <v>110.823952</v>
      </c>
      <c r="C444" s="12" t="n">
        <v>91.079628</v>
      </c>
      <c r="D444" s="12" t="n">
        <v>520.200012</v>
      </c>
      <c r="E444" s="13">
        <f>100*B444/B$7</f>
        <v/>
      </c>
      <c r="F444" s="13">
        <f>100*C444/C$7</f>
        <v/>
      </c>
      <c r="G444" s="13">
        <f>100*D444/D$7</f>
        <v/>
      </c>
    </row>
    <row r="445">
      <c r="A445" s="11" t="n">
        <v>45540</v>
      </c>
      <c r="B445" s="12" t="n">
        <v>110.688316</v>
      </c>
      <c r="C445" s="12" t="n">
        <v>91.293404</v>
      </c>
      <c r="D445" s="12" t="n">
        <v>520.150024</v>
      </c>
      <c r="E445" s="13">
        <f>100*B445/B$7</f>
        <v/>
      </c>
      <c r="F445" s="13">
        <f>100*C445/C$7</f>
        <v/>
      </c>
      <c r="G445" s="13">
        <f>100*D445/D$7</f>
        <v/>
      </c>
    </row>
    <row r="446">
      <c r="A446" s="11" t="n">
        <v>45541</v>
      </c>
      <c r="B446" s="12" t="n">
        <v>108.8088</v>
      </c>
      <c r="C446" s="12" t="n">
        <v>91.423531</v>
      </c>
      <c r="D446" s="12" t="n">
        <v>511.059998</v>
      </c>
      <c r="E446" s="13">
        <f>100*B446/B$7</f>
        <v/>
      </c>
      <c r="F446" s="13">
        <f>100*C446/C$7</f>
        <v/>
      </c>
      <c r="G446" s="13">
        <f>100*D446/D$7</f>
        <v/>
      </c>
    </row>
    <row r="447">
      <c r="A447" s="11" t="n">
        <v>45544</v>
      </c>
      <c r="B447" s="12" t="n">
        <v>109.932632</v>
      </c>
      <c r="C447" s="12" t="n">
        <v>91.55365</v>
      </c>
      <c r="D447" s="12" t="n">
        <v>514.820007</v>
      </c>
      <c r="E447" s="13">
        <f>100*B447/B$7</f>
        <v/>
      </c>
      <c r="F447" s="13">
        <f>100*C447/C$7</f>
        <v/>
      </c>
      <c r="G447" s="13">
        <f>100*D447/D$7</f>
        <v/>
      </c>
    </row>
    <row r="448">
      <c r="A448" s="11" t="n">
        <v>45545</v>
      </c>
      <c r="B448" s="12" t="n">
        <v>110.087646</v>
      </c>
      <c r="C448" s="12" t="n">
        <v>91.94405399999999</v>
      </c>
      <c r="D448" s="12" t="n">
        <v>504.220001</v>
      </c>
      <c r="E448" s="13">
        <f>100*B448/B$7</f>
        <v/>
      </c>
      <c r="F448" s="13">
        <f>100*C448/C$7</f>
        <v/>
      </c>
      <c r="G448" s="13">
        <f>100*D448/D$7</f>
        <v/>
      </c>
    </row>
    <row r="449">
      <c r="A449" s="11" t="n">
        <v>45546</v>
      </c>
      <c r="B449" s="12" t="n">
        <v>111.056458</v>
      </c>
      <c r="C449" s="12" t="n">
        <v>91.87898300000001</v>
      </c>
      <c r="D449" s="12" t="n">
        <v>510.799988</v>
      </c>
      <c r="E449" s="13">
        <f>100*B449/B$7</f>
        <v/>
      </c>
      <c r="F449" s="13">
        <f>100*C449/C$7</f>
        <v/>
      </c>
      <c r="G449" s="13">
        <f>100*D449/D$7</f>
        <v/>
      </c>
    </row>
    <row r="450">
      <c r="A450" s="11" t="n">
        <v>45547</v>
      </c>
      <c r="B450" s="12" t="n">
        <v>112.025291</v>
      </c>
      <c r="C450" s="12" t="n">
        <v>91.73026299999999</v>
      </c>
      <c r="D450" s="12" t="n">
        <v>518.969971</v>
      </c>
      <c r="E450" s="13">
        <f>100*B450/B$7</f>
        <v/>
      </c>
      <c r="F450" s="13">
        <f>100*C450/C$7</f>
        <v/>
      </c>
      <c r="G450" s="13">
        <f>100*D450/D$7</f>
        <v/>
      </c>
    </row>
    <row r="451">
      <c r="A451" s="11" t="n">
        <v>45548</v>
      </c>
      <c r="B451" s="12" t="n">
        <v>112.587212</v>
      </c>
      <c r="C451" s="12" t="n">
        <v>91.906853</v>
      </c>
      <c r="D451" s="12" t="n">
        <v>519.099976</v>
      </c>
      <c r="E451" s="13">
        <f>100*B451/B$7</f>
        <v/>
      </c>
      <c r="F451" s="13">
        <f>100*C451/C$7</f>
        <v/>
      </c>
      <c r="G451" s="13">
        <f>100*D451/D$7</f>
        <v/>
      </c>
    </row>
    <row r="452">
      <c r="A452" s="11" t="n">
        <v>45551</v>
      </c>
      <c r="B452" s="12" t="n">
        <v>112.974739</v>
      </c>
      <c r="C452" s="12" t="n">
        <v>92.148521</v>
      </c>
      <c r="D452" s="12" t="n">
        <v>523.580017</v>
      </c>
      <c r="E452" s="13">
        <f>100*B452/B$7</f>
        <v/>
      </c>
      <c r="F452" s="13">
        <f>100*C452/C$7</f>
        <v/>
      </c>
      <c r="G452" s="13">
        <f>100*D452/D$7</f>
        <v/>
      </c>
    </row>
    <row r="453">
      <c r="A453" s="11" t="n">
        <v>45552</v>
      </c>
      <c r="B453" s="12" t="n">
        <v>112.858482</v>
      </c>
      <c r="C453" s="12" t="n">
        <v>91.98123200000001</v>
      </c>
      <c r="D453" s="12" t="n">
        <v>527.6400149999999</v>
      </c>
      <c r="E453" s="13">
        <f>100*B453/B$7</f>
        <v/>
      </c>
      <c r="F453" s="13">
        <f>100*C453/C$7</f>
        <v/>
      </c>
      <c r="G453" s="13">
        <f>100*D453/D$7</f>
        <v/>
      </c>
    </row>
    <row r="454">
      <c r="A454" s="11" t="n">
        <v>45553</v>
      </c>
      <c r="B454" s="12" t="n">
        <v>112.538773</v>
      </c>
      <c r="C454" s="12" t="n">
        <v>91.58152800000001</v>
      </c>
      <c r="D454" s="12" t="n">
        <v>528.580017</v>
      </c>
      <c r="E454" s="13">
        <f>100*B454/B$7</f>
        <v/>
      </c>
      <c r="F454" s="13">
        <f>100*C454/C$7</f>
        <v/>
      </c>
      <c r="G454" s="13">
        <f>100*D454/D$7</f>
        <v/>
      </c>
    </row>
    <row r="455">
      <c r="A455" s="11" t="n">
        <v>45554</v>
      </c>
      <c r="B455" s="12" t="n">
        <v>114.544243</v>
      </c>
      <c r="C455" s="12" t="n">
        <v>91.50715599999999</v>
      </c>
      <c r="D455" s="12" t="n">
        <v>533.98999</v>
      </c>
      <c r="E455" s="13">
        <f>100*B455/B$7</f>
        <v/>
      </c>
      <c r="F455" s="13">
        <f>100*C455/C$7</f>
        <v/>
      </c>
      <c r="G455" s="13">
        <f>100*D455/D$7</f>
        <v/>
      </c>
    </row>
    <row r="456">
      <c r="A456" s="11" t="n">
        <v>45555</v>
      </c>
      <c r="B456" s="12" t="n">
        <v>114.08889</v>
      </c>
      <c r="C456" s="12" t="n">
        <v>91.479286</v>
      </c>
      <c r="D456" s="12" t="n">
        <v>533.409973</v>
      </c>
      <c r="E456" s="13">
        <f>100*B456/B$7</f>
        <v/>
      </c>
      <c r="F456" s="13">
        <f>100*C456/C$7</f>
        <v/>
      </c>
      <c r="G456" s="13">
        <f>100*D456/D$7</f>
        <v/>
      </c>
    </row>
    <row r="457">
      <c r="A457" s="11" t="n">
        <v>45558</v>
      </c>
      <c r="B457" s="12" t="n">
        <v>114.524864</v>
      </c>
      <c r="C457" s="12" t="n">
        <v>91.423531</v>
      </c>
      <c r="D457" s="12" t="n">
        <v>534.3599850000001</v>
      </c>
      <c r="E457" s="13">
        <f>100*B457/B$7</f>
        <v/>
      </c>
      <c r="F457" s="13">
        <f>100*C457/C$7</f>
        <v/>
      </c>
      <c r="G457" s="13">
        <f>100*D457/D$7</f>
        <v/>
      </c>
    </row>
    <row r="458">
      <c r="A458" s="11" t="n">
        <v>45559</v>
      </c>
      <c r="B458" s="12" t="n">
        <v>115.309601</v>
      </c>
      <c r="C458" s="12" t="n">
        <v>91.52578</v>
      </c>
      <c r="D458" s="12" t="n">
        <v>541.1400149999999</v>
      </c>
      <c r="E458" s="13">
        <f>100*B458/B$7</f>
        <v/>
      </c>
      <c r="F458" s="13">
        <f>100*C458/C$7</f>
        <v/>
      </c>
      <c r="G458" s="13">
        <f>100*D458/D$7</f>
        <v/>
      </c>
    </row>
    <row r="459">
      <c r="A459" s="11" t="n">
        <v>45560</v>
      </c>
      <c r="B459" s="12" t="n">
        <v>114.825203</v>
      </c>
      <c r="C459" s="12" t="n">
        <v>91.153976</v>
      </c>
      <c r="D459" s="12" t="n">
        <v>536.799988</v>
      </c>
      <c r="E459" s="13">
        <f>100*B459/B$7</f>
        <v/>
      </c>
      <c r="F459" s="13">
        <f>100*C459/C$7</f>
        <v/>
      </c>
      <c r="G459" s="13">
        <f>100*D459/D$7</f>
        <v/>
      </c>
    </row>
    <row r="460">
      <c r="A460" s="11" t="n">
        <v>45561</v>
      </c>
      <c r="B460" s="12" t="n">
        <v>116.104042</v>
      </c>
      <c r="C460" s="12" t="n">
        <v>91.088928</v>
      </c>
      <c r="D460" s="12" t="n">
        <v>531.190002</v>
      </c>
      <c r="E460" s="13">
        <f>100*B460/B$7</f>
        <v/>
      </c>
      <c r="F460" s="13">
        <f>100*C460/C$7</f>
        <v/>
      </c>
      <c r="G460" s="13">
        <f>100*D460/D$7</f>
        <v/>
      </c>
    </row>
    <row r="461">
      <c r="A461" s="11" t="n">
        <v>45562</v>
      </c>
      <c r="B461" s="12" t="n">
        <v>115.832779</v>
      </c>
      <c r="C461" s="12" t="n">
        <v>91.451431</v>
      </c>
      <c r="D461" s="12" t="n">
        <v>532.929993</v>
      </c>
      <c r="E461" s="13">
        <f>100*B461/B$7</f>
        <v/>
      </c>
      <c r="F461" s="13">
        <f>100*C461/C$7</f>
        <v/>
      </c>
      <c r="G461" s="13">
        <f>100*D461/D$7</f>
        <v/>
      </c>
    </row>
    <row r="462">
      <c r="A462" s="11" t="n">
        <v>45565</v>
      </c>
      <c r="B462" s="12" t="n">
        <v>115.823097</v>
      </c>
      <c r="C462" s="12" t="n">
        <v>91.200462</v>
      </c>
      <c r="D462" s="12" t="n">
        <v>532.880005</v>
      </c>
      <c r="E462" s="13">
        <f>100*B462/B$7</f>
        <v/>
      </c>
      <c r="F462" s="13">
        <f>100*C462/C$7</f>
        <v/>
      </c>
      <c r="G462" s="13">
        <f>100*D462/D$7</f>
        <v/>
      </c>
    </row>
    <row r="463">
      <c r="A463" s="11" t="n">
        <v>45566</v>
      </c>
      <c r="B463" s="12" t="n">
        <v>115.086777</v>
      </c>
      <c r="C463" s="12" t="n">
        <v>91.532318</v>
      </c>
      <c r="D463" s="12" t="n">
        <v>540.869995</v>
      </c>
      <c r="E463" s="13">
        <f>100*B463/B$7</f>
        <v/>
      </c>
      <c r="F463" s="13">
        <f>100*C463/C$7</f>
        <v/>
      </c>
      <c r="G463" s="13">
        <f>100*D463/D$7</f>
        <v/>
      </c>
    </row>
    <row r="464">
      <c r="A464" s="11" t="n">
        <v>45567</v>
      </c>
      <c r="B464" s="12" t="n">
        <v>115.358047</v>
      </c>
      <c r="C464" s="12" t="n">
        <v>91.27130099999999</v>
      </c>
      <c r="D464" s="12" t="n">
        <v>543.51001</v>
      </c>
      <c r="E464" s="13">
        <f>100*B464/B$7</f>
        <v/>
      </c>
      <c r="F464" s="13">
        <f>100*C464/C$7</f>
        <v/>
      </c>
      <c r="G464" s="13">
        <f>100*D464/D$7</f>
        <v/>
      </c>
    </row>
    <row r="465">
      <c r="A465" s="11" t="n">
        <v>45568</v>
      </c>
      <c r="B465" s="12" t="n">
        <v>114.786446</v>
      </c>
      <c r="C465" s="12" t="n">
        <v>90.805199</v>
      </c>
      <c r="D465" s="12" t="n">
        <v>555.539978</v>
      </c>
      <c r="E465" s="13">
        <f>100*B465/B$7</f>
        <v/>
      </c>
      <c r="F465" s="13">
        <f>100*C465/C$7</f>
        <v/>
      </c>
      <c r="G465" s="13">
        <f>100*D465/D$7</f>
        <v/>
      </c>
    </row>
    <row r="466">
      <c r="A466" s="11" t="n">
        <v>45569</v>
      </c>
      <c r="B466" s="12" t="n">
        <v>115.755272</v>
      </c>
      <c r="C466" s="12" t="n">
        <v>89.92894699999999</v>
      </c>
      <c r="D466" s="12" t="n">
        <v>557.369995</v>
      </c>
      <c r="E466" s="13">
        <f>100*B466/B$7</f>
        <v/>
      </c>
      <c r="F466" s="13">
        <f>100*C466/C$7</f>
        <v/>
      </c>
      <c r="G466" s="13">
        <f>100*D466/D$7</f>
        <v/>
      </c>
    </row>
    <row r="467">
      <c r="A467" s="11" t="n">
        <v>45572</v>
      </c>
      <c r="B467" s="12" t="n">
        <v>115.028656</v>
      </c>
      <c r="C467" s="12" t="n">
        <v>89.602654</v>
      </c>
      <c r="D467" s="12" t="n">
        <v>566.650024</v>
      </c>
      <c r="E467" s="13">
        <f>100*B467/B$7</f>
        <v/>
      </c>
      <c r="F467" s="13">
        <f>100*C467/C$7</f>
        <v/>
      </c>
      <c r="G467" s="13">
        <f>100*D467/D$7</f>
        <v/>
      </c>
    </row>
    <row r="468">
      <c r="A468" s="11" t="n">
        <v>45573</v>
      </c>
      <c r="B468" s="12" t="n">
        <v>115.328987</v>
      </c>
      <c r="C468" s="12" t="n">
        <v>89.67723100000001</v>
      </c>
      <c r="D468" s="12" t="n">
        <v>550.809998</v>
      </c>
      <c r="E468" s="13">
        <f>100*B468/B$7</f>
        <v/>
      </c>
      <c r="F468" s="13">
        <f>100*C468/C$7</f>
        <v/>
      </c>
      <c r="G468" s="13">
        <f>100*D468/D$7</f>
        <v/>
      </c>
    </row>
    <row r="469">
      <c r="A469" s="11" t="n">
        <v>45574</v>
      </c>
      <c r="B469" s="12" t="n">
        <v>115.803703</v>
      </c>
      <c r="C469" s="12" t="n">
        <v>89.341667</v>
      </c>
      <c r="D469" s="12" t="n">
        <v>547.77002</v>
      </c>
      <c r="E469" s="13">
        <f>100*B469/B$7</f>
        <v/>
      </c>
      <c r="F469" s="13">
        <f>100*C469/C$7</f>
        <v/>
      </c>
      <c r="G469" s="13">
        <f>100*D469/D$7</f>
        <v/>
      </c>
    </row>
    <row r="470">
      <c r="A470" s="11" t="n">
        <v>45575</v>
      </c>
      <c r="B470" s="12" t="n">
        <v>115.687454</v>
      </c>
      <c r="C470" s="12" t="n">
        <v>89.332352</v>
      </c>
      <c r="D470" s="12" t="n">
        <v>559.25</v>
      </c>
      <c r="E470" s="13">
        <f>100*B470/B$7</f>
        <v/>
      </c>
      <c r="F470" s="13">
        <f>100*C470/C$7</f>
        <v/>
      </c>
      <c r="G470" s="13">
        <f>100*D470/D$7</f>
        <v/>
      </c>
    </row>
    <row r="471">
      <c r="A471" s="11" t="n">
        <v>45576</v>
      </c>
      <c r="B471" s="12" t="n">
        <v>116.41407</v>
      </c>
      <c r="C471" s="12" t="n">
        <v>89.36030599999999</v>
      </c>
      <c r="D471" s="12" t="n">
        <v>559.6400149999999</v>
      </c>
      <c r="E471" s="13">
        <f>100*B471/B$7</f>
        <v/>
      </c>
      <c r="F471" s="13">
        <f>100*C471/C$7</f>
        <v/>
      </c>
      <c r="G471" s="13">
        <f>100*D471/D$7</f>
        <v/>
      </c>
    </row>
    <row r="472">
      <c r="A472" s="11" t="n">
        <v>45579</v>
      </c>
      <c r="B472" s="12" t="n">
        <v>117.014748</v>
      </c>
      <c r="C472" s="12" t="n">
        <v>89.201836</v>
      </c>
      <c r="D472" s="12" t="n">
        <v>550.400024</v>
      </c>
      <c r="E472" s="13">
        <f>100*B472/B$7</f>
        <v/>
      </c>
      <c r="F472" s="13">
        <f>100*C472/C$7</f>
        <v/>
      </c>
      <c r="G472" s="13">
        <f>100*D472/D$7</f>
        <v/>
      </c>
    </row>
    <row r="473">
      <c r="A473" s="11" t="n">
        <v>45580</v>
      </c>
      <c r="B473" s="12" t="n">
        <v>115.794022</v>
      </c>
      <c r="C473" s="12" t="n">
        <v>89.658615</v>
      </c>
      <c r="D473" s="12" t="n">
        <v>536.76001</v>
      </c>
      <c r="E473" s="13">
        <f>100*B473/B$7</f>
        <v/>
      </c>
      <c r="F473" s="13">
        <f>100*C473/C$7</f>
        <v/>
      </c>
      <c r="G473" s="13">
        <f>100*D473/D$7</f>
        <v/>
      </c>
    </row>
    <row r="474">
      <c r="A474" s="11" t="n">
        <v>45581</v>
      </c>
      <c r="B474" s="12" t="n">
        <v>116.259056</v>
      </c>
      <c r="C474" s="12" t="n">
        <v>89.79840900000001</v>
      </c>
      <c r="D474" s="12" t="n">
        <v>536.059998</v>
      </c>
      <c r="E474" s="13">
        <f>100*B474/B$7</f>
        <v/>
      </c>
      <c r="F474" s="13">
        <f>100*C474/C$7</f>
        <v/>
      </c>
      <c r="G474" s="13">
        <f>100*D474/D$7</f>
        <v/>
      </c>
    </row>
    <row r="475">
      <c r="A475" s="11" t="n">
        <v>45582</v>
      </c>
      <c r="B475" s="12" t="n">
        <v>116.210617</v>
      </c>
      <c r="C475" s="12" t="n">
        <v>89.332352</v>
      </c>
      <c r="D475" s="12" t="n">
        <v>537.02002</v>
      </c>
      <c r="E475" s="13">
        <f>100*B475/B$7</f>
        <v/>
      </c>
      <c r="F475" s="13">
        <f>100*C475/C$7</f>
        <v/>
      </c>
      <c r="G475" s="13">
        <f>100*D475/D$7</f>
        <v/>
      </c>
    </row>
    <row r="476">
      <c r="A476" s="11" t="n">
        <v>45583</v>
      </c>
      <c r="B476" s="12" t="n">
        <v>116.888794</v>
      </c>
      <c r="C476" s="12" t="n">
        <v>89.43486799999999</v>
      </c>
      <c r="D476" s="12" t="n">
        <v>531.98999</v>
      </c>
      <c r="E476" s="13">
        <f>100*B476/B$7</f>
        <v/>
      </c>
      <c r="F476" s="13">
        <f>100*C476/C$7</f>
        <v/>
      </c>
      <c r="G476" s="13">
        <f>100*D476/D$7</f>
        <v/>
      </c>
    </row>
    <row r="477">
      <c r="A477" s="11" t="n">
        <v>45586</v>
      </c>
      <c r="B477" s="12" t="n">
        <v>116.326881</v>
      </c>
      <c r="C477" s="12" t="n">
        <v>88.74504899999999</v>
      </c>
      <c r="D477" s="12" t="n">
        <v>536.48999</v>
      </c>
      <c r="E477" s="13">
        <f>100*B477/B$7</f>
        <v/>
      </c>
      <c r="F477" s="13">
        <f>100*C477/C$7</f>
        <v/>
      </c>
      <c r="G477" s="13">
        <f>100*D477/D$7</f>
        <v/>
      </c>
    </row>
    <row r="478">
      <c r="A478" s="11" t="n">
        <v>45587</v>
      </c>
      <c r="B478" s="12" t="n">
        <v>116.074982</v>
      </c>
      <c r="C478" s="12" t="n">
        <v>88.661148</v>
      </c>
      <c r="D478" s="12" t="n">
        <v>545.369995</v>
      </c>
      <c r="E478" s="13">
        <f>100*B478/B$7</f>
        <v/>
      </c>
      <c r="F478" s="13">
        <f>100*C478/C$7</f>
        <v/>
      </c>
      <c r="G478" s="13">
        <f>100*D478/D$7</f>
        <v/>
      </c>
    </row>
    <row r="479">
      <c r="A479" s="11" t="n">
        <v>45588</v>
      </c>
      <c r="B479" s="12" t="n">
        <v>115.048035</v>
      </c>
      <c r="C479" s="12" t="n">
        <v>88.456062</v>
      </c>
      <c r="D479" s="12" t="n">
        <v>542</v>
      </c>
      <c r="E479" s="13">
        <f>100*B479/B$7</f>
        <v/>
      </c>
      <c r="F479" s="13">
        <f>100*C479/C$7</f>
        <v/>
      </c>
      <c r="G479" s="13">
        <f>100*D479/D$7</f>
        <v/>
      </c>
    </row>
    <row r="480">
      <c r="A480" s="11" t="n">
        <v>45589</v>
      </c>
      <c r="B480" s="12" t="n">
        <v>115.319298</v>
      </c>
      <c r="C480" s="12" t="n">
        <v>88.651833</v>
      </c>
      <c r="D480" s="12" t="n">
        <v>540.450012</v>
      </c>
      <c r="E480" s="13">
        <f>100*B480/B$7</f>
        <v/>
      </c>
      <c r="F480" s="13">
        <f>100*C480/C$7</f>
        <v/>
      </c>
      <c r="G480" s="13">
        <f>100*D480/D$7</f>
        <v/>
      </c>
    </row>
    <row r="481">
      <c r="A481" s="11" t="n">
        <v>45590</v>
      </c>
      <c r="B481" s="12" t="n">
        <v>115.115845</v>
      </c>
      <c r="C481" s="12" t="n">
        <v>88.456062</v>
      </c>
      <c r="D481" s="12" t="n">
        <v>546.320007</v>
      </c>
      <c r="E481" s="13">
        <f>100*B481/B$7</f>
        <v/>
      </c>
      <c r="F481" s="13">
        <f>100*C481/C$7</f>
        <v/>
      </c>
      <c r="G481" s="13">
        <f>100*D481/D$7</f>
        <v/>
      </c>
    </row>
    <row r="482">
      <c r="A482" s="11" t="n">
        <v>45593</v>
      </c>
      <c r="B482" s="12" t="n">
        <v>115.716522</v>
      </c>
      <c r="C482" s="12" t="n">
        <v>88.250984</v>
      </c>
      <c r="D482" s="12" t="n">
        <v>527.5</v>
      </c>
      <c r="E482" s="13">
        <f>100*B482/B$7</f>
        <v/>
      </c>
      <c r="F482" s="13">
        <f>100*C482/C$7</f>
        <v/>
      </c>
      <c r="G482" s="13">
        <f>100*D482/D$7</f>
        <v/>
      </c>
    </row>
    <row r="483">
      <c r="A483" s="11" t="n">
        <v>45594</v>
      </c>
      <c r="B483" s="12" t="n">
        <v>115.648712</v>
      </c>
      <c r="C483" s="12" t="n">
        <v>88.28827699999999</v>
      </c>
      <c r="D483" s="12" t="n">
        <v>527.51001</v>
      </c>
      <c r="E483" s="13">
        <f>100*B483/B$7</f>
        <v/>
      </c>
      <c r="F483" s="13">
        <f>100*C483/C$7</f>
        <v/>
      </c>
      <c r="G483" s="13">
        <f>100*D483/D$7</f>
        <v/>
      </c>
    </row>
    <row r="484">
      <c r="A484" s="11" t="n">
        <v>45595</v>
      </c>
      <c r="B484" s="12" t="n">
        <v>115.135216</v>
      </c>
      <c r="C484" s="12" t="n">
        <v>88.157768</v>
      </c>
      <c r="D484" s="12" t="n">
        <v>533.3900149999999</v>
      </c>
      <c r="E484" s="13">
        <f>100*B484/B$7</f>
        <v/>
      </c>
      <c r="F484" s="13">
        <f>100*C484/C$7</f>
        <v/>
      </c>
      <c r="G484" s="13">
        <f>100*D484/D$7</f>
        <v/>
      </c>
    </row>
    <row r="485">
      <c r="A485" s="11" t="n">
        <v>45596</v>
      </c>
      <c r="B485" s="12" t="n">
        <v>113.401024</v>
      </c>
      <c r="C485" s="12" t="n">
        <v>88.11116</v>
      </c>
      <c r="D485" s="12" t="n">
        <v>534.200012</v>
      </c>
      <c r="E485" s="13">
        <f>100*B485/B$7</f>
        <v/>
      </c>
      <c r="F485" s="13">
        <f>100*C485/C$7</f>
        <v/>
      </c>
      <c r="G485" s="13">
        <f>100*D485/D$7</f>
        <v/>
      </c>
    </row>
    <row r="486">
      <c r="A486" s="11" t="n">
        <v>45597</v>
      </c>
      <c r="B486" s="12" t="n">
        <v>113.836998</v>
      </c>
      <c r="C486" s="12" t="n">
        <v>87.589371</v>
      </c>
      <c r="D486" s="12" t="n">
        <v>534.799988</v>
      </c>
      <c r="E486" s="13">
        <f>100*B486/B$7</f>
        <v/>
      </c>
      <c r="F486" s="13">
        <f>100*C486/C$7</f>
        <v/>
      </c>
      <c r="G486" s="13">
        <f>100*D486/D$7</f>
        <v/>
      </c>
    </row>
    <row r="487">
      <c r="A487" s="11" t="n">
        <v>45600</v>
      </c>
      <c r="B487" s="12" t="n">
        <v>113.817635</v>
      </c>
      <c r="C487" s="12" t="n">
        <v>88.056915</v>
      </c>
      <c r="D487" s="12" t="n">
        <v>543.039978</v>
      </c>
      <c r="E487" s="13">
        <f>100*B487/B$7</f>
        <v/>
      </c>
      <c r="F487" s="13">
        <f>100*C487/C$7</f>
        <v/>
      </c>
      <c r="G487" s="13">
        <f>100*D487/D$7</f>
        <v/>
      </c>
    </row>
    <row r="488">
      <c r="A488" s="11" t="n">
        <v>45601</v>
      </c>
      <c r="B488" s="12" t="n">
        <v>115.144913</v>
      </c>
      <c r="C488" s="12" t="n">
        <v>88.103706</v>
      </c>
      <c r="D488" s="12" t="n">
        <v>545.5</v>
      </c>
      <c r="E488" s="13">
        <f>100*B488/B$7</f>
        <v/>
      </c>
      <c r="F488" s="13">
        <f>100*C488/C$7</f>
        <v/>
      </c>
      <c r="G488" s="13">
        <f>100*D488/D$7</f>
        <v/>
      </c>
    </row>
    <row r="489">
      <c r="A489" s="11" t="n">
        <v>45602</v>
      </c>
      <c r="B489" s="12" t="n">
        <v>116.520645</v>
      </c>
      <c r="C489" s="12" t="n">
        <v>87.19665500000001</v>
      </c>
      <c r="D489" s="12" t="n">
        <v>541.47998</v>
      </c>
      <c r="E489" s="13">
        <f>100*B489/B$7</f>
        <v/>
      </c>
      <c r="F489" s="13">
        <f>100*C489/C$7</f>
        <v/>
      </c>
      <c r="G489" s="13">
        <f>100*D489/D$7</f>
        <v/>
      </c>
    </row>
    <row r="490">
      <c r="A490" s="11" t="n">
        <v>45603</v>
      </c>
      <c r="B490" s="12" t="n">
        <v>117.828568</v>
      </c>
      <c r="C490" s="12" t="n">
        <v>87.897972</v>
      </c>
      <c r="D490" s="12" t="n">
        <v>547.219971</v>
      </c>
      <c r="E490" s="13">
        <f>100*B490/B$7</f>
        <v/>
      </c>
      <c r="F490" s="13">
        <f>100*C490/C$7</f>
        <v/>
      </c>
      <c r="G490" s="13">
        <f>100*D490/D$7</f>
        <v/>
      </c>
    </row>
    <row r="491">
      <c r="A491" s="11" t="n">
        <v>45604</v>
      </c>
      <c r="B491" s="12" t="n">
        <v>117.518539</v>
      </c>
      <c r="C491" s="12" t="n">
        <v>88.084969</v>
      </c>
      <c r="D491" s="12" t="n">
        <v>538.419983</v>
      </c>
      <c r="E491" s="13">
        <f>100*B491/B$7</f>
        <v/>
      </c>
      <c r="F491" s="13">
        <f>100*C491/C$7</f>
        <v/>
      </c>
      <c r="G491" s="13">
        <f>100*D491/D$7</f>
        <v/>
      </c>
    </row>
    <row r="492">
      <c r="A492" s="11" t="n">
        <v>45607</v>
      </c>
      <c r="B492" s="12" t="n">
        <v>117.663857</v>
      </c>
      <c r="C492" s="12" t="n">
        <v>87.84184999999999</v>
      </c>
      <c r="D492" s="12" t="n">
        <v>530.419983</v>
      </c>
      <c r="E492" s="13">
        <f>100*B492/B$7</f>
        <v/>
      </c>
      <c r="F492" s="13">
        <f>100*C492/C$7</f>
        <v/>
      </c>
      <c r="G492" s="13">
        <f>100*D492/D$7</f>
        <v/>
      </c>
    </row>
    <row r="493">
      <c r="A493" s="11" t="n">
        <v>45608</v>
      </c>
      <c r="B493" s="12" t="n">
        <v>116.791916</v>
      </c>
      <c r="C493" s="12" t="n">
        <v>87.290138</v>
      </c>
      <c r="D493" s="12" t="n">
        <v>530.5</v>
      </c>
      <c r="E493" s="13">
        <f>100*B493/B$7</f>
        <v/>
      </c>
      <c r="F493" s="13">
        <f>100*C493/C$7</f>
        <v/>
      </c>
      <c r="G493" s="13">
        <f>100*D493/D$7</f>
        <v/>
      </c>
    </row>
    <row r="494">
      <c r="A494" s="11" t="n">
        <v>45609</v>
      </c>
      <c r="B494" s="12" t="n">
        <v>116.559395</v>
      </c>
      <c r="C494" s="12" t="n">
        <v>87.23406199999999</v>
      </c>
      <c r="D494" s="12" t="n">
        <v>531.47998</v>
      </c>
      <c r="E494" s="13">
        <f>100*B494/B$7</f>
        <v/>
      </c>
      <c r="F494" s="13">
        <f>100*C494/C$7</f>
        <v/>
      </c>
      <c r="G494" s="13">
        <f>100*D494/D$7</f>
        <v/>
      </c>
    </row>
    <row r="495">
      <c r="A495" s="11" t="n">
        <v>45610</v>
      </c>
      <c r="B495" s="12" t="n">
        <v>116.016861</v>
      </c>
      <c r="C495" s="12" t="n">
        <v>87.22468600000001</v>
      </c>
      <c r="D495" s="12" t="n">
        <v>530.340027</v>
      </c>
      <c r="E495" s="13">
        <f>100*B495/B$7</f>
        <v/>
      </c>
      <c r="F495" s="13">
        <f>100*C495/C$7</f>
        <v/>
      </c>
      <c r="G495" s="13">
        <f>100*D495/D$7</f>
        <v/>
      </c>
    </row>
    <row r="496">
      <c r="A496" s="11" t="n">
        <v>45611</v>
      </c>
      <c r="B496" s="12" t="n">
        <v>114.94146</v>
      </c>
      <c r="C496" s="12" t="n">
        <v>87.262108</v>
      </c>
      <c r="D496" s="12" t="n">
        <v>527.190002</v>
      </c>
      <c r="E496" s="13">
        <f>100*B496/B$7</f>
        <v/>
      </c>
      <c r="F496" s="13">
        <f>100*C496/C$7</f>
        <v/>
      </c>
      <c r="G496" s="13">
        <f>100*D496/D$7</f>
        <v/>
      </c>
    </row>
    <row r="497">
      <c r="A497" s="11" t="n">
        <v>45614</v>
      </c>
      <c r="B497" s="12" t="n">
        <v>115.513069</v>
      </c>
      <c r="C497" s="12" t="n">
        <v>87.458466</v>
      </c>
      <c r="D497" s="12" t="n">
        <v>538.049988</v>
      </c>
      <c r="E497" s="13">
        <f>100*B497/B$7</f>
        <v/>
      </c>
      <c r="F497" s="13">
        <f>100*C497/C$7</f>
        <v/>
      </c>
      <c r="G497" s="13">
        <f>100*D497/D$7</f>
        <v/>
      </c>
    </row>
    <row r="498">
      <c r="A498" s="11" t="n">
        <v>45615</v>
      </c>
      <c r="B498" s="12" t="n">
        <v>115.832779</v>
      </c>
      <c r="C498" s="12" t="n">
        <v>87.6455</v>
      </c>
      <c r="D498" s="12" t="n">
        <v>539.26001</v>
      </c>
      <c r="E498" s="13">
        <f>100*B498/B$7</f>
        <v/>
      </c>
      <c r="F498" s="13">
        <f>100*C498/C$7</f>
        <v/>
      </c>
      <c r="G498" s="13">
        <f>100*D498/D$7</f>
        <v/>
      </c>
    </row>
    <row r="499">
      <c r="A499" s="11" t="n">
        <v>45616</v>
      </c>
      <c r="B499" s="12" t="n">
        <v>115.832779</v>
      </c>
      <c r="C499" s="12" t="n">
        <v>87.514572</v>
      </c>
      <c r="D499" s="12" t="n">
        <v>539.27002</v>
      </c>
      <c r="E499" s="13">
        <f>100*B499/B$7</f>
        <v/>
      </c>
      <c r="F499" s="13">
        <f>100*C499/C$7</f>
        <v/>
      </c>
      <c r="G499" s="13">
        <f>100*D499/D$7</f>
        <v/>
      </c>
    </row>
    <row r="500">
      <c r="A500" s="11" t="n">
        <v>45617</v>
      </c>
      <c r="B500" s="12" t="n">
        <v>116.268753</v>
      </c>
      <c r="C500" s="12" t="n">
        <v>87.467804</v>
      </c>
      <c r="D500" s="12" t="n">
        <v>543.840027</v>
      </c>
      <c r="E500" s="13">
        <f>100*B500/B$7</f>
        <v/>
      </c>
      <c r="F500" s="13">
        <f>100*C500/C$7</f>
        <v/>
      </c>
      <c r="G500" s="13">
        <f>100*D500/D$7</f>
        <v/>
      </c>
    </row>
    <row r="501">
      <c r="A501" s="11" t="n">
        <v>45618</v>
      </c>
      <c r="B501" s="12" t="n">
        <v>116.685341</v>
      </c>
      <c r="C501" s="12" t="n">
        <v>87.52394099999999</v>
      </c>
      <c r="D501" s="12" t="n">
        <v>547.190002</v>
      </c>
      <c r="E501" s="13">
        <f>100*B501/B$7</f>
        <v/>
      </c>
      <c r="F501" s="13">
        <f>100*C501/C$7</f>
        <v/>
      </c>
      <c r="G501" s="13">
        <f>100*D501/D$7</f>
        <v/>
      </c>
    </row>
    <row r="502">
      <c r="A502" s="11" t="n">
        <v>45621</v>
      </c>
      <c r="B502" s="12" t="n">
        <v>117.092247</v>
      </c>
      <c r="C502" s="12" t="n">
        <v>88.468369</v>
      </c>
      <c r="D502" s="12" t="n">
        <v>538.590027</v>
      </c>
      <c r="E502" s="13">
        <f>100*B502/B$7</f>
        <v/>
      </c>
      <c r="F502" s="13">
        <f>100*C502/C$7</f>
        <v/>
      </c>
      <c r="G502" s="13">
        <f>100*D502/D$7</f>
        <v/>
      </c>
    </row>
    <row r="503">
      <c r="A503" s="11" t="n">
        <v>45622</v>
      </c>
      <c r="B503" s="12" t="n">
        <v>117.26664</v>
      </c>
      <c r="C503" s="12" t="n">
        <v>88.281342</v>
      </c>
      <c r="D503" s="12" t="n">
        <v>538.98999</v>
      </c>
      <c r="E503" s="13">
        <f>100*B503/B$7</f>
        <v/>
      </c>
      <c r="F503" s="13">
        <f>100*C503/C$7</f>
        <v/>
      </c>
      <c r="G503" s="13">
        <f>100*D503/D$7</f>
        <v/>
      </c>
    </row>
    <row r="504">
      <c r="A504" s="11" t="n">
        <v>45623</v>
      </c>
      <c r="B504" s="12" t="n">
        <v>117.179443</v>
      </c>
      <c r="C504" s="12" t="n">
        <v>88.636681</v>
      </c>
      <c r="D504" s="12" t="n">
        <v>536.789978</v>
      </c>
      <c r="E504" s="13">
        <f>100*B504/B$7</f>
        <v/>
      </c>
      <c r="F504" s="13">
        <f>100*C504/C$7</f>
        <v/>
      </c>
      <c r="G504" s="13">
        <f>100*D504/D$7</f>
        <v/>
      </c>
    </row>
    <row r="505">
      <c r="A505" s="11" t="n">
        <v>45624</v>
      </c>
      <c r="B505" s="12" t="n">
        <v>117.179443</v>
      </c>
      <c r="C505" s="12" t="n">
        <v>88.636681</v>
      </c>
      <c r="D505" s="12" t="n">
        <v>536.789978</v>
      </c>
      <c r="E505" s="13">
        <f>100*B505/B$7</f>
        <v/>
      </c>
      <c r="F505" s="13">
        <f>100*C505/C$7</f>
        <v/>
      </c>
      <c r="G505" s="13">
        <f>100*D505/D$7</f>
        <v/>
      </c>
    </row>
    <row r="506">
      <c r="A506" s="11" t="n">
        <v>45625</v>
      </c>
      <c r="B506" s="12" t="n">
        <v>117.973877</v>
      </c>
      <c r="C506" s="12" t="n">
        <v>89.01071899999999</v>
      </c>
      <c r="D506" s="12" t="n">
        <v>535.710022</v>
      </c>
      <c r="E506" s="13">
        <f>100*B506/B$7</f>
        <v/>
      </c>
      <c r="F506" s="13">
        <f>100*C506/C$7</f>
        <v/>
      </c>
      <c r="G506" s="13">
        <f>100*D506/D$7</f>
        <v/>
      </c>
    </row>
    <row r="507">
      <c r="A507" s="11" t="n">
        <v>45628</v>
      </c>
      <c r="B507" s="12" t="n">
        <v>118.225777</v>
      </c>
      <c r="C507" s="12" t="n">
        <v>89.003204</v>
      </c>
      <c r="D507" s="12" t="n">
        <v>533.280029</v>
      </c>
      <c r="E507" s="13">
        <f>100*B507/B$7</f>
        <v/>
      </c>
      <c r="F507" s="13">
        <f>100*C507/C$7</f>
        <v/>
      </c>
      <c r="G507" s="13">
        <f>100*D507/D$7</f>
        <v/>
      </c>
    </row>
    <row r="508">
      <c r="A508" s="11" t="n">
        <v>45629</v>
      </c>
      <c r="B508" s="12" t="n">
        <v>118.438919</v>
      </c>
      <c r="C508" s="12" t="n">
        <v>88.749954</v>
      </c>
      <c r="D508" s="12" t="n">
        <v>540.02002</v>
      </c>
      <c r="E508" s="13">
        <f>100*B508/B$7</f>
        <v/>
      </c>
      <c r="F508" s="13">
        <f>100*C508/C$7</f>
        <v/>
      </c>
      <c r="G508" s="13">
        <f>100*D508/D$7</f>
        <v/>
      </c>
    </row>
    <row r="509">
      <c r="A509" s="11" t="n">
        <v>45630</v>
      </c>
      <c r="B509" s="12" t="n">
        <v>119.068649</v>
      </c>
      <c r="C509" s="12" t="n">
        <v>89.087616</v>
      </c>
      <c r="D509" s="12" t="n">
        <v>535.169983</v>
      </c>
      <c r="E509" s="13">
        <f>100*B509/B$7</f>
        <v/>
      </c>
      <c r="F509" s="13">
        <f>100*C509/C$7</f>
        <v/>
      </c>
      <c r="G509" s="13">
        <f>100*D509/D$7</f>
        <v/>
      </c>
    </row>
    <row r="510">
      <c r="A510" s="11" t="n">
        <v>45631</v>
      </c>
      <c r="B510" s="12" t="n">
        <v>119.136467</v>
      </c>
      <c r="C510" s="12" t="n">
        <v>89.078255</v>
      </c>
      <c r="D510" s="12" t="n">
        <v>534.619995</v>
      </c>
      <c r="E510" s="13">
        <f>100*B510/B$7</f>
        <v/>
      </c>
      <c r="F510" s="13">
        <f>100*C510/C$7</f>
        <v/>
      </c>
      <c r="G510" s="13">
        <f>100*D510/D$7</f>
        <v/>
      </c>
    </row>
    <row r="511">
      <c r="A511" s="11" t="n">
        <v>45632</v>
      </c>
      <c r="B511" s="12" t="n">
        <v>119.281807</v>
      </c>
      <c r="C511" s="12" t="n">
        <v>89.359627</v>
      </c>
      <c r="D511" s="12" t="n">
        <v>531.47998</v>
      </c>
      <c r="E511" s="13">
        <f>100*B511/B$7</f>
        <v/>
      </c>
      <c r="F511" s="13">
        <f>100*C511/C$7</f>
        <v/>
      </c>
      <c r="G511" s="13">
        <f>100*D511/D$7</f>
        <v/>
      </c>
    </row>
    <row r="512">
      <c r="A512" s="11" t="n">
        <v>45635</v>
      </c>
      <c r="B512" s="12" t="n">
        <v>119.000839</v>
      </c>
      <c r="C512" s="12" t="n">
        <v>89.05011</v>
      </c>
      <c r="D512" s="12" t="n">
        <v>537.22998</v>
      </c>
      <c r="E512" s="13">
        <f>100*B512/B$7</f>
        <v/>
      </c>
      <c r="F512" s="13">
        <f>100*C512/C$7</f>
        <v/>
      </c>
      <c r="G512" s="13">
        <f>100*D512/D$7</f>
        <v/>
      </c>
    </row>
    <row r="513">
      <c r="A513" s="11" t="n">
        <v>45636</v>
      </c>
      <c r="B513" s="12" t="n">
        <v>118.293594</v>
      </c>
      <c r="C513" s="12" t="n">
        <v>88.890648</v>
      </c>
      <c r="D513" s="12" t="n">
        <v>538.8599850000001</v>
      </c>
      <c r="E513" s="13">
        <f>100*B513/B$7</f>
        <v/>
      </c>
      <c r="F513" s="13">
        <f>100*C513/C$7</f>
        <v/>
      </c>
      <c r="G513" s="13">
        <f>100*D513/D$7</f>
        <v/>
      </c>
    </row>
    <row r="514">
      <c r="A514" s="11" t="n">
        <v>45637</v>
      </c>
      <c r="B514" s="12" t="n">
        <v>119.136467</v>
      </c>
      <c r="C514" s="12" t="n">
        <v>88.628029</v>
      </c>
      <c r="D514" s="12" t="n">
        <v>545.3599850000001</v>
      </c>
      <c r="E514" s="13">
        <f>100*B514/B$7</f>
        <v/>
      </c>
      <c r="F514" s="13">
        <f>100*C514/C$7</f>
        <v/>
      </c>
      <c r="G514" s="13">
        <f>100*D514/D$7</f>
        <v/>
      </c>
    </row>
    <row r="515">
      <c r="A515" s="11" t="n">
        <v>45638</v>
      </c>
      <c r="B515" s="12" t="n">
        <v>118.390472</v>
      </c>
      <c r="C515" s="12" t="n">
        <v>88.290352</v>
      </c>
      <c r="D515" s="12" t="n">
        <v>543.169983</v>
      </c>
      <c r="E515" s="13">
        <f>100*B515/B$7</f>
        <v/>
      </c>
      <c r="F515" s="13">
        <f>100*C515/C$7</f>
        <v/>
      </c>
      <c r="G515" s="13">
        <f>100*D515/D$7</f>
        <v/>
      </c>
    </row>
    <row r="516">
      <c r="A516" s="11" t="n">
        <v>45639</v>
      </c>
      <c r="B516" s="12" t="n">
        <v>118.254845</v>
      </c>
      <c r="C516" s="12" t="n">
        <v>87.877663</v>
      </c>
      <c r="D516" s="12" t="n">
        <v>546.299988</v>
      </c>
      <c r="E516" s="13">
        <f>100*B516/B$7</f>
        <v/>
      </c>
      <c r="F516" s="13">
        <f>100*C516/C$7</f>
        <v/>
      </c>
      <c r="G516" s="13">
        <f>100*D516/D$7</f>
        <v/>
      </c>
    </row>
    <row r="517">
      <c r="A517" s="11" t="n">
        <v>45642</v>
      </c>
      <c r="B517" s="12" t="n">
        <v>118.497047</v>
      </c>
      <c r="C517" s="12" t="n">
        <v>87.90578499999999</v>
      </c>
      <c r="D517" s="12" t="n">
        <v>543.150024</v>
      </c>
      <c r="E517" s="13">
        <f>100*B517/B$7</f>
        <v/>
      </c>
      <c r="F517" s="13">
        <f>100*C517/C$7</f>
        <v/>
      </c>
      <c r="G517" s="13">
        <f>100*D517/D$7</f>
        <v/>
      </c>
    </row>
    <row r="518">
      <c r="A518" s="11" t="n">
        <v>45643</v>
      </c>
      <c r="B518" s="12" t="n">
        <v>118.043564</v>
      </c>
      <c r="C518" s="12" t="n">
        <v>87.90578499999999</v>
      </c>
      <c r="D518" s="12" t="n">
        <v>538.76001</v>
      </c>
      <c r="E518" s="13">
        <f>100*B518/B$7</f>
        <v/>
      </c>
      <c r="F518" s="13">
        <f>100*C518/C$7</f>
        <v/>
      </c>
      <c r="G518" s="13">
        <f>100*D518/D$7</f>
        <v/>
      </c>
    </row>
    <row r="519">
      <c r="A519" s="11" t="n">
        <v>45644</v>
      </c>
      <c r="B519" s="12" t="n">
        <v>114.534904</v>
      </c>
      <c r="C519" s="12" t="n">
        <v>87.22635699999999</v>
      </c>
      <c r="D519" s="12" t="n">
        <v>539.940002</v>
      </c>
      <c r="E519" s="13">
        <f>100*B519/B$7</f>
        <v/>
      </c>
      <c r="F519" s="13">
        <f>100*C519/C$7</f>
        <v/>
      </c>
      <c r="G519" s="13">
        <f>100*D519/D$7</f>
        <v/>
      </c>
    </row>
    <row r="520">
      <c r="A520" s="11" t="n">
        <v>45645</v>
      </c>
      <c r="B520" s="12" t="n">
        <v>114.544662</v>
      </c>
      <c r="C520" s="12" t="n">
        <v>86.831093</v>
      </c>
      <c r="D520" s="12" t="n">
        <v>535.880005</v>
      </c>
      <c r="E520" s="13">
        <f>100*B520/B$7</f>
        <v/>
      </c>
      <c r="F520" s="13">
        <f>100*C520/C$7</f>
        <v/>
      </c>
      <c r="G520" s="13">
        <f>100*D520/D$7</f>
        <v/>
      </c>
    </row>
    <row r="521">
      <c r="A521" s="11" t="n">
        <v>45646</v>
      </c>
      <c r="B521" s="12" t="n">
        <v>115.443832</v>
      </c>
      <c r="C521" s="12" t="n">
        <v>87.151054</v>
      </c>
      <c r="D521" s="12" t="n">
        <v>539.070007</v>
      </c>
      <c r="E521" s="13">
        <f>100*B521/B$7</f>
        <v/>
      </c>
      <c r="F521" s="13">
        <f>100*C521/C$7</f>
        <v/>
      </c>
      <c r="G521" s="13">
        <f>100*D521/D$7</f>
        <v/>
      </c>
    </row>
    <row r="522">
      <c r="A522" s="11" t="n">
        <v>45649</v>
      </c>
      <c r="B522" s="12" t="n">
        <v>116.15728</v>
      </c>
      <c r="C522" s="12" t="n">
        <v>86.765236</v>
      </c>
      <c r="D522" s="12" t="n">
        <v>537.330017</v>
      </c>
      <c r="E522" s="13">
        <f>100*B522/B$7</f>
        <v/>
      </c>
      <c r="F522" s="13">
        <f>100*C522/C$7</f>
        <v/>
      </c>
      <c r="G522" s="13">
        <f>100*D522/D$7</f>
        <v/>
      </c>
    </row>
    <row r="523">
      <c r="A523" s="11" t="n">
        <v>45650</v>
      </c>
      <c r="B523" s="12" t="n">
        <v>117.134628</v>
      </c>
      <c r="C523" s="12" t="n">
        <v>86.812279</v>
      </c>
      <c r="D523" s="12" t="n">
        <v>541.75</v>
      </c>
      <c r="E523" s="13">
        <f>100*B523/B$7</f>
        <v/>
      </c>
      <c r="F523" s="13">
        <f>100*C523/C$7</f>
        <v/>
      </c>
      <c r="G523" s="13">
        <f>100*D523/D$7</f>
        <v/>
      </c>
    </row>
    <row r="524">
      <c r="A524" s="11" t="n">
        <v>45651</v>
      </c>
      <c r="B524" s="12" t="n">
        <v>117.134628</v>
      </c>
      <c r="C524" s="12" t="n">
        <v>86.812279</v>
      </c>
      <c r="D524" s="12" t="n">
        <v>541.75</v>
      </c>
      <c r="E524" s="13">
        <f>100*B524/B$7</f>
        <v/>
      </c>
      <c r="F524" s="13">
        <f>100*C524/C$7</f>
        <v/>
      </c>
      <c r="G524" s="13">
        <f>100*D524/D$7</f>
        <v/>
      </c>
    </row>
    <row r="525">
      <c r="A525" s="11" t="n">
        <v>45652</v>
      </c>
      <c r="B525" s="12" t="n">
        <v>117.232361</v>
      </c>
      <c r="C525" s="12" t="n">
        <v>86.878151</v>
      </c>
      <c r="D525" s="12" t="n">
        <v>540</v>
      </c>
      <c r="E525" s="13">
        <f>100*B525/B$7</f>
        <v/>
      </c>
      <c r="F525" s="13">
        <f>100*C525/C$7</f>
        <v/>
      </c>
      <c r="G525" s="13">
        <f>100*D525/D$7</f>
        <v/>
      </c>
    </row>
    <row r="526">
      <c r="A526" s="11" t="n">
        <v>45653</v>
      </c>
      <c r="B526" s="12" t="n">
        <v>116.342987</v>
      </c>
      <c r="C526" s="12" t="n">
        <v>86.65228999999999</v>
      </c>
      <c r="D526" s="12" t="n">
        <v>543.150024</v>
      </c>
      <c r="E526" s="13">
        <f>100*B526/B$7</f>
        <v/>
      </c>
      <c r="F526" s="13">
        <f>100*C526/C$7</f>
        <v/>
      </c>
      <c r="G526" s="13">
        <f>100*D526/D$7</f>
        <v/>
      </c>
    </row>
    <row r="527">
      <c r="A527" s="11" t="n">
        <v>45656</v>
      </c>
      <c r="B527" s="12" t="n">
        <v>115.15062</v>
      </c>
      <c r="C527" s="12" t="n">
        <v>87.160461</v>
      </c>
      <c r="D527" s="12" t="n">
        <v>547.909973</v>
      </c>
      <c r="E527" s="13">
        <f>100*B527/B$7</f>
        <v/>
      </c>
      <c r="F527" s="13">
        <f>100*C527/C$7</f>
        <v/>
      </c>
      <c r="G527" s="13">
        <f>100*D527/D$7</f>
        <v/>
      </c>
    </row>
    <row r="528">
      <c r="A528" s="11" t="n">
        <v>45657</v>
      </c>
      <c r="B528" s="12" t="n">
        <v>114.837883</v>
      </c>
      <c r="C528" s="12" t="n">
        <v>87.00048099999999</v>
      </c>
      <c r="D528" s="12" t="n">
        <v>549.6400149999999</v>
      </c>
      <c r="E528" s="13">
        <f>100*B528/B$7</f>
        <v/>
      </c>
      <c r="F528" s="13">
        <f>100*C528/C$7</f>
        <v/>
      </c>
      <c r="G528" s="13">
        <f>100*D528/D$7</f>
        <v/>
      </c>
    </row>
    <row r="529">
      <c r="A529" s="11" t="n">
        <v>45658</v>
      </c>
      <c r="B529" s="12" t="n">
        <v>114.837883</v>
      </c>
      <c r="C529" s="12" t="n">
        <v>87.00048099999999</v>
      </c>
      <c r="D529" s="12" t="n">
        <v>549.6400149999999</v>
      </c>
      <c r="E529" s="13">
        <f>100*B529/B$7</f>
        <v/>
      </c>
      <c r="F529" s="13">
        <f>100*C529/C$7</f>
        <v/>
      </c>
      <c r="G529" s="13">
        <f>100*D529/D$7</f>
        <v/>
      </c>
    </row>
    <row r="530">
      <c r="A530" s="11" t="n">
        <v>45659</v>
      </c>
      <c r="B530" s="12" t="n">
        <v>114.613075</v>
      </c>
      <c r="C530" s="12" t="n">
        <v>87.04755400000001</v>
      </c>
      <c r="D530" s="12" t="n">
        <v>555.630005</v>
      </c>
      <c r="E530" s="13">
        <f>100*B530/B$7</f>
        <v/>
      </c>
      <c r="F530" s="13">
        <f>100*C530/C$7</f>
        <v/>
      </c>
      <c r="G530" s="13">
        <f>100*D530/D$7</f>
        <v/>
      </c>
    </row>
    <row r="531">
      <c r="A531" s="11" t="n">
        <v>45660</v>
      </c>
      <c r="B531" s="12" t="n">
        <v>115.805443</v>
      </c>
      <c r="C531" s="12" t="n">
        <v>86.906372</v>
      </c>
      <c r="D531" s="12" t="n">
        <v>553.6400149999999</v>
      </c>
      <c r="E531" s="13">
        <f>100*B531/B$7</f>
        <v/>
      </c>
      <c r="F531" s="13">
        <f>100*C531/C$7</f>
        <v/>
      </c>
      <c r="G531" s="13">
        <f>100*D531/D$7</f>
        <v/>
      </c>
    </row>
    <row r="532">
      <c r="A532" s="11" t="n">
        <v>45663</v>
      </c>
      <c r="B532" s="12" t="n">
        <v>116.606857</v>
      </c>
      <c r="C532" s="12" t="n">
        <v>86.821716</v>
      </c>
      <c r="D532" s="12" t="n">
        <v>555.820007</v>
      </c>
      <c r="E532" s="13">
        <f>100*B532/B$7</f>
        <v/>
      </c>
      <c r="F532" s="13">
        <f>100*C532/C$7</f>
        <v/>
      </c>
      <c r="G532" s="13">
        <f>100*D532/D$7</f>
        <v/>
      </c>
    </row>
    <row r="533">
      <c r="A533" s="11" t="n">
        <v>45664</v>
      </c>
      <c r="B533" s="12" t="n">
        <v>115.482925</v>
      </c>
      <c r="C533" s="12" t="n">
        <v>86.426445</v>
      </c>
      <c r="D533" s="12" t="n">
        <v>557.340027</v>
      </c>
      <c r="E533" s="13">
        <f>100*B533/B$7</f>
        <v/>
      </c>
      <c r="F533" s="13">
        <f>100*C533/C$7</f>
        <v/>
      </c>
      <c r="G533" s="13">
        <f>100*D533/D$7</f>
        <v/>
      </c>
    </row>
    <row r="534">
      <c r="A534" s="11" t="n">
        <v>45665</v>
      </c>
      <c r="B534" s="12" t="n">
        <v>115.492699</v>
      </c>
      <c r="C534" s="12" t="n">
        <v>86.57701900000001</v>
      </c>
      <c r="D534" s="12" t="n">
        <v>552.880005</v>
      </c>
      <c r="E534" s="13">
        <f>100*B534/B$7</f>
        <v/>
      </c>
      <c r="F534" s="13">
        <f>100*C534/C$7</f>
        <v/>
      </c>
      <c r="G534" s="13">
        <f>100*D534/D$7</f>
        <v/>
      </c>
    </row>
    <row r="535">
      <c r="A535" s="11" t="n">
        <v>45666</v>
      </c>
      <c r="B535" s="12" t="n">
        <v>115.492699</v>
      </c>
      <c r="C535" s="12" t="n">
        <v>86.57701900000001</v>
      </c>
      <c r="D535" s="12" t="n">
        <v>552.880005</v>
      </c>
      <c r="E535" s="13">
        <f>100*B535/B$7</f>
        <v/>
      </c>
      <c r="F535" s="13">
        <f>100*C535/C$7</f>
        <v/>
      </c>
      <c r="G535" s="13">
        <f>100*D535/D$7</f>
        <v/>
      </c>
    </row>
    <row r="536">
      <c r="A536" s="11" t="n">
        <v>45667</v>
      </c>
      <c r="B536" s="12" t="n">
        <v>113.733475</v>
      </c>
      <c r="C536" s="12" t="n">
        <v>85.94651</v>
      </c>
      <c r="D536" s="12" t="n">
        <v>570.969971</v>
      </c>
      <c r="E536" s="13">
        <f>100*B536/B$7</f>
        <v/>
      </c>
      <c r="F536" s="13">
        <f>100*C536/C$7</f>
        <v/>
      </c>
      <c r="G536" s="13">
        <f>100*D536/D$7</f>
        <v/>
      </c>
    </row>
    <row r="537">
      <c r="A537" s="11" t="n">
        <v>45670</v>
      </c>
      <c r="B537" s="12" t="n">
        <v>113.713928</v>
      </c>
      <c r="C537" s="12" t="n">
        <v>85.795952</v>
      </c>
      <c r="D537" s="12" t="n">
        <v>576.130005</v>
      </c>
      <c r="E537" s="13">
        <f>100*B537/B$7</f>
        <v/>
      </c>
      <c r="F537" s="13">
        <f>100*C537/C$7</f>
        <v/>
      </c>
      <c r="G537" s="13">
        <f>100*D537/D$7</f>
        <v/>
      </c>
    </row>
    <row r="538">
      <c r="A538" s="11" t="n">
        <v>45671</v>
      </c>
      <c r="B538" s="12" t="n">
        <v>114.036453</v>
      </c>
      <c r="C538" s="12" t="n">
        <v>85.82416499999999</v>
      </c>
      <c r="D538" s="12" t="n">
        <v>571.900024</v>
      </c>
      <c r="E538" s="13">
        <f>100*B538/B$7</f>
        <v/>
      </c>
      <c r="F538" s="13">
        <f>100*C538/C$7</f>
        <v/>
      </c>
      <c r="G538" s="13">
        <f>100*D538/D$7</f>
        <v/>
      </c>
    </row>
    <row r="539">
      <c r="A539" s="11" t="n">
        <v>45672</v>
      </c>
      <c r="B539" s="12" t="n">
        <v>115.89341</v>
      </c>
      <c r="C539" s="12" t="n">
        <v>86.727608</v>
      </c>
      <c r="D539" s="12" t="n">
        <v>581.77002</v>
      </c>
      <c r="E539" s="13">
        <f>100*B539/B$7</f>
        <v/>
      </c>
      <c r="F539" s="13">
        <f>100*C539/C$7</f>
        <v/>
      </c>
      <c r="G539" s="13">
        <f>100*D539/D$7</f>
        <v/>
      </c>
    </row>
    <row r="540">
      <c r="A540" s="11" t="n">
        <v>45673</v>
      </c>
      <c r="B540" s="12" t="n">
        <v>115.903175</v>
      </c>
      <c r="C540" s="12" t="n">
        <v>86.934624</v>
      </c>
      <c r="D540" s="12" t="n">
        <v>579.330017</v>
      </c>
      <c r="E540" s="13">
        <f>100*B540/B$7</f>
        <v/>
      </c>
      <c r="F540" s="13">
        <f>100*C540/C$7</f>
        <v/>
      </c>
      <c r="G540" s="13">
        <f>100*D540/D$7</f>
        <v/>
      </c>
    </row>
    <row r="541">
      <c r="A541" s="11" t="n">
        <v>45674</v>
      </c>
      <c r="B541" s="12" t="n">
        <v>116.890297</v>
      </c>
      <c r="C541" s="12" t="n">
        <v>87.00048099999999</v>
      </c>
      <c r="D541" s="12" t="n">
        <v>577.960022</v>
      </c>
      <c r="E541" s="13">
        <f>100*B541/B$7</f>
        <v/>
      </c>
      <c r="F541" s="13">
        <f>100*C541/C$7</f>
        <v/>
      </c>
      <c r="G541" s="13">
        <f>100*D541/D$7</f>
        <v/>
      </c>
    </row>
    <row r="542">
      <c r="A542" s="11" t="n">
        <v>45677</v>
      </c>
      <c r="B542" s="12" t="n">
        <v>116.890297</v>
      </c>
      <c r="C542" s="12" t="n">
        <v>87.00048099999999</v>
      </c>
      <c r="D542" s="12" t="n">
        <v>577.960022</v>
      </c>
      <c r="E542" s="13">
        <f>100*B542/B$7</f>
        <v/>
      </c>
      <c r="F542" s="13">
        <f>100*C542/C$7</f>
        <v/>
      </c>
      <c r="G542" s="13">
        <f>100*D542/D$7</f>
        <v/>
      </c>
    </row>
    <row r="543">
      <c r="A543" s="11" t="n">
        <v>45678</v>
      </c>
      <c r="B543" s="12" t="n">
        <v>118.219475</v>
      </c>
      <c r="C543" s="12" t="n">
        <v>87.29222900000001</v>
      </c>
      <c r="D543" s="12" t="n">
        <v>572.98999</v>
      </c>
      <c r="E543" s="13">
        <f>100*B543/B$7</f>
        <v/>
      </c>
      <c r="F543" s="13">
        <f>100*C543/C$7</f>
        <v/>
      </c>
      <c r="G543" s="13">
        <f>100*D543/D$7</f>
        <v/>
      </c>
    </row>
    <row r="544">
      <c r="A544" s="11" t="n">
        <v>45679</v>
      </c>
      <c r="B544" s="12" t="n">
        <v>118.649513</v>
      </c>
      <c r="C544" s="12" t="n">
        <v>87.06636</v>
      </c>
      <c r="D544" s="12" t="n">
        <v>572.27002</v>
      </c>
      <c r="E544" s="13">
        <f>100*B544/B$7</f>
        <v/>
      </c>
      <c r="F544" s="13">
        <f>100*C544/C$7</f>
        <v/>
      </c>
      <c r="G544" s="13">
        <f>100*D544/D$7</f>
        <v/>
      </c>
    </row>
    <row r="545">
      <c r="A545" s="11" t="n">
        <v>45680</v>
      </c>
      <c r="B545" s="12" t="n">
        <v>119.304329</v>
      </c>
      <c r="C545" s="12" t="n">
        <v>86.840492</v>
      </c>
      <c r="D545" s="12" t="n">
        <v>570.26001</v>
      </c>
      <c r="E545" s="13">
        <f>100*B545/B$7</f>
        <v/>
      </c>
      <c r="F545" s="13">
        <f>100*C545/C$7</f>
        <v/>
      </c>
      <c r="G545" s="13">
        <f>100*D545/D$7</f>
        <v/>
      </c>
    </row>
    <row r="546">
      <c r="A546" s="11" t="n">
        <v>45681</v>
      </c>
      <c r="B546" s="12" t="n">
        <v>119.294556</v>
      </c>
      <c r="C546" s="12" t="n">
        <v>87.01932499999999</v>
      </c>
      <c r="D546" s="12" t="n">
        <v>571.1400149999999</v>
      </c>
      <c r="E546" s="13">
        <f>100*B546/B$7</f>
        <v/>
      </c>
      <c r="F546" s="13">
        <f>100*C546/C$7</f>
        <v/>
      </c>
      <c r="G546" s="13">
        <f>100*D546/D$7</f>
        <v/>
      </c>
    </row>
    <row r="547">
      <c r="A547" s="11" t="n">
        <v>45684</v>
      </c>
      <c r="B547" s="12" t="n">
        <v>117.867645</v>
      </c>
      <c r="C547" s="12" t="n">
        <v>87.583946</v>
      </c>
      <c r="D547" s="12" t="n">
        <v>562.48999</v>
      </c>
      <c r="E547" s="13">
        <f>100*B547/B$7</f>
        <v/>
      </c>
      <c r="F547" s="13">
        <f>100*C547/C$7</f>
        <v/>
      </c>
      <c r="G547" s="13">
        <f>100*D547/D$7</f>
        <v/>
      </c>
    </row>
    <row r="548">
      <c r="A548" s="11" t="n">
        <v>45685</v>
      </c>
      <c r="B548" s="12" t="n">
        <v>118.649513</v>
      </c>
      <c r="C548" s="12" t="n">
        <v>87.593369</v>
      </c>
      <c r="D548" s="12" t="n">
        <v>564.340027</v>
      </c>
      <c r="E548" s="13">
        <f>100*B548/B$7</f>
        <v/>
      </c>
      <c r="F548" s="13">
        <f>100*C548/C$7</f>
        <v/>
      </c>
      <c r="G548" s="13">
        <f>100*D548/D$7</f>
        <v/>
      </c>
    </row>
    <row r="549">
      <c r="A549" s="11" t="n">
        <v>45686</v>
      </c>
      <c r="B549" s="12" t="n">
        <v>118.297668</v>
      </c>
      <c r="C549" s="12" t="n">
        <v>87.48983800000001</v>
      </c>
      <c r="D549" s="12" t="n">
        <v>564.380005</v>
      </c>
      <c r="E549" s="13">
        <f>100*B549/B$7</f>
        <v/>
      </c>
      <c r="F549" s="13">
        <f>100*C549/C$7</f>
        <v/>
      </c>
      <c r="G549" s="13">
        <f>100*D549/D$7</f>
        <v/>
      </c>
    </row>
    <row r="550">
      <c r="A550" s="11" t="n">
        <v>45687</v>
      </c>
      <c r="B550" s="12" t="n">
        <v>119.206604</v>
      </c>
      <c r="C550" s="12" t="n">
        <v>87.678062</v>
      </c>
      <c r="D550" s="12" t="n">
        <v>564.380005</v>
      </c>
      <c r="E550" s="13">
        <f>100*B550/B$7</f>
        <v/>
      </c>
      <c r="F550" s="13">
        <f>100*C550/C$7</f>
        <v/>
      </c>
      <c r="G550" s="13">
        <f>100*D550/D$7</f>
        <v/>
      </c>
    </row>
    <row r="551">
      <c r="A551" s="11" t="n">
        <v>45688</v>
      </c>
      <c r="B551" s="12" t="n">
        <v>118.444275</v>
      </c>
      <c r="C551" s="12" t="n">
        <v>87.53688</v>
      </c>
      <c r="D551" s="12" t="n">
        <v>561.919983</v>
      </c>
      <c r="E551" s="13">
        <f>100*B551/B$7</f>
        <v/>
      </c>
      <c r="F551" s="13">
        <f>100*C551/C$7</f>
        <v/>
      </c>
      <c r="G551" s="13">
        <f>100*D551/D$7</f>
        <v/>
      </c>
    </row>
    <row r="552">
      <c r="A552" s="11" t="n">
        <v>45691</v>
      </c>
      <c r="B552" s="12" t="n">
        <v>117.486473</v>
      </c>
      <c r="C552" s="12" t="n">
        <v>87.599182</v>
      </c>
      <c r="D552" s="12" t="n">
        <v>566.940002</v>
      </c>
      <c r="E552" s="13">
        <f>100*B552/B$7</f>
        <v/>
      </c>
      <c r="F552" s="13">
        <f>100*C552/C$7</f>
        <v/>
      </c>
      <c r="G552" s="13">
        <f>100*D552/D$7</f>
        <v/>
      </c>
    </row>
    <row r="553">
      <c r="A553" s="11" t="n">
        <v>45692</v>
      </c>
      <c r="B553" s="12" t="n">
        <v>118.551788</v>
      </c>
      <c r="C553" s="12" t="n">
        <v>87.816338</v>
      </c>
      <c r="D553" s="12" t="n">
        <v>567.570007</v>
      </c>
      <c r="E553" s="13">
        <f>100*B553/B$7</f>
        <v/>
      </c>
      <c r="F553" s="13">
        <f>100*C553/C$7</f>
        <v/>
      </c>
      <c r="G553" s="13">
        <f>100*D553/D$7</f>
        <v/>
      </c>
    </row>
    <row r="554">
      <c r="A554" s="11" t="n">
        <v>45693</v>
      </c>
      <c r="B554" s="12" t="n">
        <v>119.12841</v>
      </c>
      <c r="C554" s="12" t="n">
        <v>88.32614100000001</v>
      </c>
      <c r="D554" s="12" t="n">
        <v>562.869995</v>
      </c>
      <c r="E554" s="13">
        <f>100*B554/B$7</f>
        <v/>
      </c>
      <c r="F554" s="13">
        <f>100*C554/C$7</f>
        <v/>
      </c>
      <c r="G554" s="13">
        <f>100*D554/D$7</f>
        <v/>
      </c>
    </row>
    <row r="555">
      <c r="A555" s="11" t="n">
        <v>45694</v>
      </c>
      <c r="B555" s="12" t="n">
        <v>119.538895</v>
      </c>
      <c r="C555" s="12" t="n">
        <v>88.222275</v>
      </c>
      <c r="D555" s="12" t="n">
        <v>561.969971</v>
      </c>
      <c r="E555" s="13">
        <f>100*B555/B$7</f>
        <v/>
      </c>
      <c r="F555" s="13">
        <f>100*C555/C$7</f>
        <v/>
      </c>
      <c r="G555" s="13">
        <f>100*D555/D$7</f>
        <v/>
      </c>
    </row>
    <row r="556">
      <c r="A556" s="11" t="n">
        <v>45695</v>
      </c>
      <c r="B556" s="12" t="n">
        <v>118.5811</v>
      </c>
      <c r="C556" s="12" t="n">
        <v>87.929619</v>
      </c>
      <c r="D556" s="12" t="n">
        <v>563.22998</v>
      </c>
      <c r="E556" s="13">
        <f>100*B556/B$7</f>
        <v/>
      </c>
      <c r="F556" s="13">
        <f>100*C556/C$7</f>
        <v/>
      </c>
      <c r="G556" s="13">
        <f>100*D556/D$7</f>
        <v/>
      </c>
    </row>
    <row r="557">
      <c r="A557" s="11" t="n">
        <v>45698</v>
      </c>
      <c r="B557" s="12" t="n">
        <v>119.538895</v>
      </c>
      <c r="C557" s="12" t="n">
        <v>87.910751</v>
      </c>
      <c r="D557" s="12" t="n">
        <v>570.440002</v>
      </c>
      <c r="E557" s="13">
        <f>100*B557/B$7</f>
        <v/>
      </c>
      <c r="F557" s="13">
        <f>100*C557/C$7</f>
        <v/>
      </c>
      <c r="G557" s="13">
        <f>100*D557/D$7</f>
        <v/>
      </c>
    </row>
    <row r="558">
      <c r="A558" s="11" t="n">
        <v>45699</v>
      </c>
      <c r="B558" s="12" t="n">
        <v>119.558441</v>
      </c>
      <c r="C558" s="12" t="n">
        <v>87.684181</v>
      </c>
      <c r="D558" s="12" t="n">
        <v>574.400024</v>
      </c>
      <c r="E558" s="13">
        <f>100*B558/B$7</f>
        <v/>
      </c>
      <c r="F558" s="13">
        <f>100*C558/C$7</f>
        <v/>
      </c>
      <c r="G558" s="13">
        <f>100*D558/D$7</f>
        <v/>
      </c>
    </row>
    <row r="559">
      <c r="A559" s="11" t="n">
        <v>45700</v>
      </c>
      <c r="B559" s="12" t="n">
        <v>119.450935</v>
      </c>
      <c r="C559" s="12" t="n">
        <v>87.079987</v>
      </c>
      <c r="D559" s="12" t="n">
        <v>569.159973</v>
      </c>
      <c r="E559" s="13">
        <f>100*B559/B$7</f>
        <v/>
      </c>
      <c r="F559" s="13">
        <f>100*C559/C$7</f>
        <v/>
      </c>
      <c r="G559" s="13">
        <f>100*D559/D$7</f>
        <v/>
      </c>
    </row>
    <row r="560">
      <c r="A560" s="11" t="n">
        <v>45701</v>
      </c>
      <c r="B560" s="12" t="n">
        <v>120.838768</v>
      </c>
      <c r="C560" s="12" t="n">
        <v>87.73136100000001</v>
      </c>
      <c r="D560" s="12" t="n">
        <v>569.8900149999999</v>
      </c>
      <c r="E560" s="13">
        <f>100*B560/B$7</f>
        <v/>
      </c>
      <c r="F560" s="13">
        <f>100*C560/C$7</f>
        <v/>
      </c>
      <c r="G560" s="13">
        <f>100*D560/D$7</f>
        <v/>
      </c>
    </row>
    <row r="561">
      <c r="A561" s="11" t="n">
        <v>45702</v>
      </c>
      <c r="B561" s="12" t="n">
        <v>120.819221</v>
      </c>
      <c r="C561" s="12" t="n">
        <v>88.099564</v>
      </c>
      <c r="D561" s="12" t="n">
        <v>569.429993</v>
      </c>
      <c r="E561" s="13">
        <f>100*B561/B$7</f>
        <v/>
      </c>
      <c r="F561" s="13">
        <f>100*C561/C$7</f>
        <v/>
      </c>
      <c r="G561" s="13">
        <f>100*D561/D$7</f>
        <v/>
      </c>
    </row>
    <row r="562">
      <c r="A562" s="11" t="n">
        <v>45705</v>
      </c>
      <c r="B562" s="12" t="n">
        <v>120.819221</v>
      </c>
      <c r="C562" s="12" t="n">
        <v>88.099564</v>
      </c>
      <c r="D562" s="12" t="n">
        <v>569.429993</v>
      </c>
      <c r="E562" s="13">
        <f>100*B562/B$7</f>
        <v/>
      </c>
      <c r="F562" s="13">
        <f>100*C562/C$7</f>
        <v/>
      </c>
      <c r="G562" s="13">
        <f>100*D562/D$7</f>
        <v/>
      </c>
    </row>
    <row r="563">
      <c r="A563" s="11" t="n">
        <v>45706</v>
      </c>
      <c r="B563" s="12" t="n">
        <v>121.317657</v>
      </c>
      <c r="C563" s="12" t="n">
        <v>87.62754099999999</v>
      </c>
      <c r="D563" s="12" t="n">
        <v>575.960022</v>
      </c>
      <c r="E563" s="13">
        <f>100*B563/B$7</f>
        <v/>
      </c>
      <c r="F563" s="13">
        <f>100*C563/C$7</f>
        <v/>
      </c>
      <c r="G563" s="13">
        <f>100*D563/D$7</f>
        <v/>
      </c>
    </row>
    <row r="564">
      <c r="A564" s="11" t="n">
        <v>45707</v>
      </c>
      <c r="B564" s="12" t="n">
        <v>121.171059</v>
      </c>
      <c r="C564" s="12" t="n">
        <v>87.76913500000001</v>
      </c>
      <c r="D564" s="12" t="n">
        <v>577.26001</v>
      </c>
      <c r="E564" s="13">
        <f>100*B564/B$7</f>
        <v/>
      </c>
      <c r="F564" s="13">
        <f>100*C564/C$7</f>
        <v/>
      </c>
      <c r="G564" s="13">
        <f>100*D564/D$7</f>
        <v/>
      </c>
    </row>
    <row r="565">
      <c r="A565" s="11" t="n">
        <v>45708</v>
      </c>
      <c r="B565" s="12" t="n">
        <v>121.004913</v>
      </c>
      <c r="C565" s="12" t="n">
        <v>87.94852400000001</v>
      </c>
      <c r="D565" s="12" t="n">
        <v>578.559998</v>
      </c>
      <c r="E565" s="13">
        <f>100*B565/B$7</f>
        <v/>
      </c>
      <c r="F565" s="13">
        <f>100*C565/C$7</f>
        <v/>
      </c>
      <c r="G565" s="13">
        <f>100*D565/D$7</f>
        <v/>
      </c>
    </row>
    <row r="566">
      <c r="A566" s="11" t="n">
        <v>45709</v>
      </c>
      <c r="B566" s="12" t="n">
        <v>119.362976</v>
      </c>
      <c r="C566" s="12" t="n">
        <v>88.46772</v>
      </c>
      <c r="D566" s="12" t="n">
        <v>569.400024</v>
      </c>
      <c r="E566" s="13">
        <f>100*B566/B$7</f>
        <v/>
      </c>
      <c r="F566" s="13">
        <f>100*C566/C$7</f>
        <v/>
      </c>
      <c r="G566" s="13">
        <f>100*D566/D$7</f>
        <v/>
      </c>
    </row>
    <row r="567">
      <c r="A567" s="11" t="n">
        <v>45712</v>
      </c>
      <c r="B567" s="12" t="n">
        <v>118.727699</v>
      </c>
      <c r="C567" s="12" t="n">
        <v>88.65657</v>
      </c>
      <c r="D567" s="12" t="n">
        <v>567.119995</v>
      </c>
      <c r="E567" s="13">
        <f>100*B567/B$7</f>
        <v/>
      </c>
      <c r="F567" s="13">
        <f>100*C567/C$7</f>
        <v/>
      </c>
      <c r="G567" s="13">
        <f>100*D567/D$7</f>
        <v/>
      </c>
    </row>
    <row r="568">
      <c r="A568" s="11" t="n">
        <v>45713</v>
      </c>
      <c r="B568" s="12" t="n">
        <v>118.542007</v>
      </c>
      <c r="C568" s="12" t="n">
        <v>89.355141</v>
      </c>
      <c r="D568" s="12" t="n">
        <v>559.950012</v>
      </c>
      <c r="E568" s="13">
        <f>100*B568/B$7</f>
        <v/>
      </c>
      <c r="F568" s="13">
        <f>100*C568/C$7</f>
        <v/>
      </c>
      <c r="G568" s="13">
        <f>100*D568/D$7</f>
        <v/>
      </c>
    </row>
    <row r="569">
      <c r="A569" s="11" t="n">
        <v>45714</v>
      </c>
      <c r="B569" s="12" t="n">
        <v>118.766785</v>
      </c>
      <c r="C569" s="12" t="n">
        <v>89.600616</v>
      </c>
      <c r="D569" s="12" t="n">
        <v>557.090027</v>
      </c>
      <c r="E569" s="13">
        <f>100*B569/B$7</f>
        <v/>
      </c>
      <c r="F569" s="13">
        <f>100*C569/C$7</f>
        <v/>
      </c>
      <c r="G569" s="13">
        <f>100*D569/D$7</f>
        <v/>
      </c>
    </row>
    <row r="570">
      <c r="A570" s="11" t="n">
        <v>45715</v>
      </c>
      <c r="B570" s="12" t="n">
        <v>116.95871</v>
      </c>
      <c r="C570" s="12" t="n">
        <v>89.496758</v>
      </c>
      <c r="D570" s="12" t="n">
        <v>560.280029</v>
      </c>
      <c r="E570" s="13">
        <f>100*B570/B$7</f>
        <v/>
      </c>
      <c r="F570" s="13">
        <f>100*C570/C$7</f>
        <v/>
      </c>
      <c r="G570" s="13">
        <f>100*D570/D$7</f>
        <v/>
      </c>
    </row>
    <row r="571">
      <c r="A571" s="11" t="n">
        <v>45716</v>
      </c>
      <c r="B571" s="12" t="n">
        <v>118.09243</v>
      </c>
      <c r="C571" s="12" t="n">
        <v>89.987663</v>
      </c>
      <c r="D571" s="12" t="n">
        <v>553.580017</v>
      </c>
      <c r="E571" s="13">
        <f>100*B571/B$7</f>
        <v/>
      </c>
      <c r="F571" s="13">
        <f>100*C571/C$7</f>
        <v/>
      </c>
      <c r="G571" s="13">
        <f>100*D571/D$7</f>
        <v/>
      </c>
    </row>
    <row r="572">
      <c r="A572" s="11" t="n">
        <v>45719</v>
      </c>
      <c r="B572" s="12" t="n">
        <v>116.841431</v>
      </c>
      <c r="C572" s="12" t="n">
        <v>90.314301</v>
      </c>
      <c r="D572" s="12" t="n">
        <v>549.830017</v>
      </c>
      <c r="E572" s="13">
        <f>100*B572/B$7</f>
        <v/>
      </c>
      <c r="F572" s="13">
        <f>100*C572/C$7</f>
        <v/>
      </c>
      <c r="G572" s="13">
        <f>100*D572/D$7</f>
        <v/>
      </c>
    </row>
    <row r="573">
      <c r="A573" s="11" t="n">
        <v>45720</v>
      </c>
      <c r="B573" s="12" t="n">
        <v>115.991142</v>
      </c>
      <c r="C573" s="12" t="n">
        <v>90.030289</v>
      </c>
      <c r="D573" s="12" t="n">
        <v>549.630005</v>
      </c>
      <c r="E573" s="13">
        <f>100*B573/B$7</f>
        <v/>
      </c>
      <c r="F573" s="13">
        <f>100*C573/C$7</f>
        <v/>
      </c>
      <c r="G573" s="13">
        <f>100*D573/D$7</f>
        <v/>
      </c>
    </row>
    <row r="574">
      <c r="A574" s="11" t="n">
        <v>45721</v>
      </c>
      <c r="B574" s="12" t="n">
        <v>117.828552</v>
      </c>
      <c r="C574" s="12" t="n">
        <v>89.528488</v>
      </c>
      <c r="D574" s="12" t="n">
        <v>546.460022</v>
      </c>
      <c r="E574" s="13">
        <f>100*B574/B$7</f>
        <v/>
      </c>
      <c r="F574" s="13">
        <f>100*C574/C$7</f>
        <v/>
      </c>
      <c r="G574" s="13">
        <f>100*D574/D$7</f>
        <v/>
      </c>
    </row>
    <row r="575">
      <c r="A575" s="11" t="n">
        <v>45722</v>
      </c>
      <c r="B575" s="12" t="n">
        <v>116.010681</v>
      </c>
      <c r="C575" s="12" t="n">
        <v>89.48112500000001</v>
      </c>
      <c r="D575" s="12" t="n">
        <v>547.530029</v>
      </c>
      <c r="E575" s="13">
        <f>100*B575/B$7</f>
        <v/>
      </c>
      <c r="F575" s="13">
        <f>100*C575/C$7</f>
        <v/>
      </c>
      <c r="G575" s="13">
        <f>100*D575/D$7</f>
        <v/>
      </c>
    </row>
    <row r="576">
      <c r="A576" s="11" t="n">
        <v>45723</v>
      </c>
      <c r="B576" s="12" t="n">
        <v>116.792564</v>
      </c>
      <c r="C576" s="12" t="n">
        <v>89.367531</v>
      </c>
      <c r="D576" s="12" t="n">
        <v>551.309998</v>
      </c>
      <c r="E576" s="13">
        <f>100*B576/B$7</f>
        <v/>
      </c>
      <c r="F576" s="13">
        <f>100*C576/C$7</f>
        <v/>
      </c>
      <c r="G576" s="13">
        <f>100*D576/D$7</f>
        <v/>
      </c>
    </row>
    <row r="577">
      <c r="A577" s="11" t="n">
        <v>45726</v>
      </c>
      <c r="B577" s="12" t="n">
        <v>113.772575</v>
      </c>
      <c r="C577" s="12" t="n">
        <v>89.99241600000001</v>
      </c>
      <c r="D577" s="12" t="n">
        <v>548.369995</v>
      </c>
      <c r="E577" s="13">
        <f>100*B577/B$7</f>
        <v/>
      </c>
      <c r="F577" s="13">
        <f>100*C577/C$7</f>
        <v/>
      </c>
      <c r="G577" s="13">
        <f>100*D577/D$7</f>
        <v/>
      </c>
    </row>
    <row r="578">
      <c r="A578" s="11" t="n">
        <v>45727</v>
      </c>
      <c r="B578" s="12" t="n">
        <v>113.176392</v>
      </c>
      <c r="C578" s="12" t="n">
        <v>89.670502</v>
      </c>
      <c r="D578" s="12" t="n">
        <v>549.75</v>
      </c>
      <c r="E578" s="13">
        <f>100*B578/B$7</f>
        <v/>
      </c>
      <c r="F578" s="13">
        <f>100*C578/C$7</f>
        <v/>
      </c>
      <c r="G578" s="13">
        <f>100*D578/D$7</f>
        <v/>
      </c>
    </row>
    <row r="579">
      <c r="A579" s="11" t="n">
        <v>45728</v>
      </c>
      <c r="B579" s="12" t="n">
        <v>113.850754</v>
      </c>
      <c r="C579" s="12" t="n">
        <v>89.40540300000001</v>
      </c>
      <c r="D579" s="12" t="n">
        <v>553.080017</v>
      </c>
      <c r="E579" s="13">
        <f>100*B579/B$7</f>
        <v/>
      </c>
      <c r="F579" s="13">
        <f>100*C579/C$7</f>
        <v/>
      </c>
      <c r="G579" s="13">
        <f>100*D579/D$7</f>
        <v/>
      </c>
    </row>
    <row r="580">
      <c r="A580" s="11" t="n">
        <v>45729</v>
      </c>
      <c r="B580" s="12" t="n">
        <v>112.550888</v>
      </c>
      <c r="C580" s="12" t="n">
        <v>89.765175</v>
      </c>
      <c r="D580" s="12" t="n">
        <v>550.6400149999999</v>
      </c>
      <c r="E580" s="13">
        <f>100*B580/B$7</f>
        <v/>
      </c>
      <c r="F580" s="13">
        <f>100*C580/C$7</f>
        <v/>
      </c>
      <c r="G580" s="13">
        <f>100*D580/D$7</f>
        <v/>
      </c>
    </row>
    <row r="581">
      <c r="A581" s="11" t="n">
        <v>45730</v>
      </c>
      <c r="B581" s="12" t="n">
        <v>114.789009</v>
      </c>
      <c r="C581" s="12" t="n">
        <v>89.45275100000001</v>
      </c>
      <c r="D581" s="12" t="n">
        <v>551.690002</v>
      </c>
      <c r="E581" s="13">
        <f>100*B581/B$7</f>
        <v/>
      </c>
      <c r="F581" s="13">
        <f>100*C581/C$7</f>
        <v/>
      </c>
      <c r="G581" s="13">
        <f>100*D581/D$7</f>
        <v/>
      </c>
    </row>
    <row r="582">
      <c r="A582" s="11" t="n">
        <v>45733</v>
      </c>
      <c r="B582" s="12" t="n">
        <v>115.932503</v>
      </c>
      <c r="C582" s="12" t="n">
        <v>89.528488</v>
      </c>
      <c r="D582" s="12" t="n">
        <v>555.8900149999999</v>
      </c>
      <c r="E582" s="13">
        <f>100*B582/B$7</f>
        <v/>
      </c>
      <c r="F582" s="13">
        <f>100*C582/C$7</f>
        <v/>
      </c>
      <c r="G582" s="13">
        <f>100*D582/D$7</f>
        <v/>
      </c>
    </row>
    <row r="583">
      <c r="A583" s="11" t="n">
        <v>45734</v>
      </c>
      <c r="B583" s="12" t="n">
        <v>115.101753</v>
      </c>
      <c r="C583" s="12" t="n">
        <v>89.63262899999999</v>
      </c>
      <c r="D583" s="12" t="n">
        <v>554.119995</v>
      </c>
      <c r="E583" s="13">
        <f>100*B583/B$7</f>
        <v/>
      </c>
      <c r="F583" s="13">
        <f>100*C583/C$7</f>
        <v/>
      </c>
      <c r="G583" s="13">
        <f>100*D583/D$7</f>
        <v/>
      </c>
    </row>
    <row r="584">
      <c r="A584" s="11" t="n">
        <v>45735</v>
      </c>
      <c r="B584" s="12" t="n">
        <v>116.040009</v>
      </c>
      <c r="C584" s="12" t="n">
        <v>89.90720399999999</v>
      </c>
      <c r="D584" s="12" t="n">
        <v>556.900024</v>
      </c>
      <c r="E584" s="13">
        <f>100*B584/B$7</f>
        <v/>
      </c>
      <c r="F584" s="13">
        <f>100*C584/C$7</f>
        <v/>
      </c>
      <c r="G584" s="13">
        <f>100*D584/D$7</f>
        <v/>
      </c>
    </row>
    <row r="585">
      <c r="A585" s="11" t="n">
        <v>45736</v>
      </c>
      <c r="B585" s="12" t="n">
        <v>115.551338</v>
      </c>
      <c r="C585" s="12" t="n">
        <v>90.039749</v>
      </c>
      <c r="D585" s="12" t="n">
        <v>559.77002</v>
      </c>
      <c r="E585" s="13">
        <f>100*B585/B$7</f>
        <v/>
      </c>
      <c r="F585" s="13">
        <f>100*C585/C$7</f>
        <v/>
      </c>
      <c r="G585" s="13">
        <f>100*D585/D$7</f>
        <v/>
      </c>
    </row>
    <row r="586">
      <c r="A586" s="11" t="n">
        <v>45737</v>
      </c>
      <c r="B586" s="12" t="n">
        <v>115.306999</v>
      </c>
      <c r="C586" s="12" t="n">
        <v>89.96399700000001</v>
      </c>
      <c r="D586" s="12" t="n">
        <v>558.219971</v>
      </c>
      <c r="E586" s="13">
        <f>100*B586/B$7</f>
        <v/>
      </c>
      <c r="F586" s="13">
        <f>100*C586/C$7</f>
        <v/>
      </c>
      <c r="G586" s="13">
        <f>100*D586/D$7</f>
        <v/>
      </c>
    </row>
    <row r="587">
      <c r="A587" s="11" t="n">
        <v>45740</v>
      </c>
      <c r="B587" s="12" t="n">
        <v>116.997803</v>
      </c>
      <c r="C587" s="12" t="n">
        <v>89.443268</v>
      </c>
      <c r="D587" s="12" t="n">
        <v>560.02002</v>
      </c>
      <c r="E587" s="13">
        <f>100*B587/B$7</f>
        <v/>
      </c>
      <c r="F587" s="13">
        <f>100*C587/C$7</f>
        <v/>
      </c>
      <c r="G587" s="13">
        <f>100*D587/D$7</f>
        <v/>
      </c>
    </row>
    <row r="588">
      <c r="A588" s="11" t="n">
        <v>45741</v>
      </c>
      <c r="B588" s="12" t="n">
        <v>117.056442</v>
      </c>
      <c r="C588" s="12" t="n">
        <v>89.59474899999999</v>
      </c>
      <c r="D588" s="12" t="n">
        <v>560.080017</v>
      </c>
      <c r="E588" s="13">
        <f>100*B588/B$7</f>
        <v/>
      </c>
      <c r="F588" s="13">
        <f>100*C588/C$7</f>
        <v/>
      </c>
      <c r="G588" s="13">
        <f>100*D588/D$7</f>
        <v/>
      </c>
    </row>
    <row r="589">
      <c r="A589" s="11" t="n">
        <v>45742</v>
      </c>
      <c r="B589" s="12" t="n">
        <v>115.766342</v>
      </c>
      <c r="C589" s="12" t="n">
        <v>89.386467</v>
      </c>
      <c r="D589" s="12" t="n">
        <v>561.289978</v>
      </c>
      <c r="E589" s="13">
        <f>100*B589/B$7</f>
        <v/>
      </c>
      <c r="F589" s="13">
        <f>100*C589/C$7</f>
        <v/>
      </c>
      <c r="G589" s="13">
        <f>100*D589/D$7</f>
        <v/>
      </c>
    </row>
    <row r="590">
      <c r="A590" s="11" t="n">
        <v>45743</v>
      </c>
      <c r="B590" s="12" t="n">
        <v>115.600204</v>
      </c>
      <c r="C590" s="12" t="n">
        <v>89.310722</v>
      </c>
      <c r="D590" s="12" t="n">
        <v>562.27002</v>
      </c>
      <c r="E590" s="13">
        <f>100*B590/B$7</f>
        <v/>
      </c>
      <c r="F590" s="13">
        <f>100*C590/C$7</f>
        <v/>
      </c>
      <c r="G590" s="13">
        <f>100*D590/D$7</f>
        <v/>
      </c>
    </row>
    <row r="591">
      <c r="A591" s="11" t="n">
        <v>45744</v>
      </c>
      <c r="B591" s="12" t="n">
        <v>113.606422</v>
      </c>
      <c r="C591" s="12" t="n">
        <v>90.030289</v>
      </c>
      <c r="D591" s="12" t="n">
        <v>560.51001</v>
      </c>
      <c r="E591" s="13">
        <f>100*B591/B$7</f>
        <v/>
      </c>
      <c r="F591" s="13">
        <f>100*C591/C$7</f>
        <v/>
      </c>
      <c r="G591" s="13">
        <f>100*D591/D$7</f>
        <v/>
      </c>
    </row>
    <row r="592">
      <c r="A592" s="11" t="n">
        <v>45747</v>
      </c>
      <c r="B592" s="12" t="n">
        <v>113.753021</v>
      </c>
      <c r="C592" s="12" t="n">
        <v>90.29538700000001</v>
      </c>
      <c r="D592" s="12" t="n">
        <v>568.080017</v>
      </c>
      <c r="E592" s="13">
        <f>100*B592/B$7</f>
        <v/>
      </c>
      <c r="F592" s="13">
        <f>100*C592/C$7</f>
        <v/>
      </c>
      <c r="G592" s="13">
        <f>100*D592/D$7</f>
        <v/>
      </c>
    </row>
    <row r="593">
      <c r="A593" s="11" t="n">
        <v>45748</v>
      </c>
      <c r="B593" s="12" t="n">
        <v>114.153732</v>
      </c>
      <c r="C593" s="12" t="n">
        <v>90.612617</v>
      </c>
      <c r="D593" s="12" t="n">
        <v>568.419983</v>
      </c>
      <c r="E593" s="13">
        <f>100*B593/B$7</f>
        <v/>
      </c>
      <c r="F593" s="13">
        <f>100*C593/C$7</f>
        <v/>
      </c>
      <c r="G593" s="13">
        <f>100*D593/D$7</f>
        <v/>
      </c>
    </row>
    <row r="594">
      <c r="A594" s="11" t="n">
        <v>45749</v>
      </c>
      <c r="B594" s="12" t="n">
        <v>114.740135</v>
      </c>
      <c r="C594" s="12" t="n">
        <v>90.527145</v>
      </c>
      <c r="D594" s="12" t="n">
        <v>571.52002</v>
      </c>
      <c r="E594" s="13">
        <f>100*B594/B$7</f>
        <v/>
      </c>
      <c r="F594" s="13">
        <f>100*C594/C$7</f>
        <v/>
      </c>
      <c r="G594" s="13">
        <f>100*D594/D$7</f>
        <v/>
      </c>
    </row>
    <row r="595">
      <c r="A595" s="11" t="n">
        <v>45750</v>
      </c>
      <c r="B595" s="12" t="n">
        <v>110.351875</v>
      </c>
      <c r="C595" s="12" t="n">
        <v>91.45796199999999</v>
      </c>
      <c r="D595" s="12" t="n">
        <v>550</v>
      </c>
      <c r="E595" s="13">
        <f>100*B595/B$7</f>
        <v/>
      </c>
      <c r="F595" s="13">
        <f>100*C595/C$7</f>
        <v/>
      </c>
      <c r="G595" s="13">
        <f>100*D595/D$7</f>
        <v/>
      </c>
    </row>
    <row r="596">
      <c r="A596" s="11" t="n">
        <v>45751</v>
      </c>
      <c r="B596" s="12" t="n">
        <v>103.598419</v>
      </c>
      <c r="C596" s="12" t="n">
        <v>91.714401</v>
      </c>
      <c r="D596" s="12" t="n">
        <v>522.700012</v>
      </c>
      <c r="E596" s="13">
        <f>100*B596/B$7</f>
        <v/>
      </c>
      <c r="F596" s="13">
        <f>100*C596/C$7</f>
        <v/>
      </c>
      <c r="G596" s="13">
        <f>100*D596/D$7</f>
        <v/>
      </c>
    </row>
    <row r="597">
      <c r="A597" s="11" t="n">
        <v>45754</v>
      </c>
      <c r="B597" s="12" t="n">
        <v>102.591759</v>
      </c>
      <c r="C597" s="12" t="n">
        <v>90.622131</v>
      </c>
      <c r="D597" s="12" t="n">
        <v>514.570007</v>
      </c>
      <c r="E597" s="13">
        <f>100*B597/B$7</f>
        <v/>
      </c>
      <c r="F597" s="13">
        <f>100*C597/C$7</f>
        <v/>
      </c>
      <c r="G597" s="13">
        <f>100*D597/D$7</f>
        <v/>
      </c>
    </row>
    <row r="598">
      <c r="A598" s="11" t="n">
        <v>45755</v>
      </c>
      <c r="B598" s="12" t="n">
        <v>101.243019</v>
      </c>
      <c r="C598" s="12" t="n">
        <v>90.166206</v>
      </c>
      <c r="D598" s="12" t="n">
        <v>509.119995</v>
      </c>
      <c r="E598" s="13">
        <f>100*B598/B$7</f>
        <v/>
      </c>
      <c r="F598" s="13">
        <f>100*C598/C$7</f>
        <v/>
      </c>
      <c r="G598" s="13">
        <f>100*D598/D$7</f>
        <v/>
      </c>
    </row>
    <row r="599">
      <c r="A599" s="11" t="n">
        <v>45756</v>
      </c>
      <c r="B599" s="12" t="n">
        <v>110.146622</v>
      </c>
      <c r="C599" s="12" t="n">
        <v>89.881264</v>
      </c>
      <c r="D599" s="12" t="n">
        <v>521.570007</v>
      </c>
      <c r="E599" s="13">
        <f>100*B599/B$7</f>
        <v/>
      </c>
      <c r="F599" s="13">
        <f>100*C599/C$7</f>
        <v/>
      </c>
      <c r="G599" s="13">
        <f>100*D599/D$7</f>
        <v/>
      </c>
    </row>
    <row r="600">
      <c r="A600" s="11" t="n">
        <v>45757</v>
      </c>
      <c r="B600" s="12" t="n">
        <v>106.774796</v>
      </c>
      <c r="C600" s="12" t="n">
        <v>89.320885</v>
      </c>
      <c r="D600" s="12" t="n">
        <v>517.039978</v>
      </c>
      <c r="E600" s="13">
        <f>100*B600/B$7</f>
        <v/>
      </c>
      <c r="F600" s="13">
        <f>100*C600/C$7</f>
        <v/>
      </c>
      <c r="G600" s="13">
        <f>100*D600/D$7</f>
        <v/>
      </c>
    </row>
    <row r="601">
      <c r="A601" s="11" t="n">
        <v>45758</v>
      </c>
      <c r="B601" s="12" t="n">
        <v>108.58287</v>
      </c>
      <c r="C601" s="12" t="n">
        <v>88.817459</v>
      </c>
      <c r="D601" s="12" t="n">
        <v>525.159973</v>
      </c>
      <c r="E601" s="13">
        <f>100*B601/B$7</f>
        <v/>
      </c>
      <c r="F601" s="13">
        <f>100*C601/C$7</f>
        <v/>
      </c>
      <c r="G601" s="13">
        <f>100*D601/D$7</f>
        <v/>
      </c>
    </row>
    <row r="602">
      <c r="A602" s="11" t="n">
        <v>45761</v>
      </c>
      <c r="B602" s="12" t="n">
        <v>110.097755</v>
      </c>
      <c r="C602" s="12" t="n">
        <v>89.52982299999999</v>
      </c>
      <c r="D602" s="12" t="n">
        <v>525.150024</v>
      </c>
      <c r="E602" s="13">
        <f>100*B602/B$7</f>
        <v/>
      </c>
      <c r="F602" s="13">
        <f>100*C602/C$7</f>
        <v/>
      </c>
      <c r="G602" s="13">
        <f>100*D602/D$7</f>
        <v/>
      </c>
    </row>
    <row r="603">
      <c r="A603" s="11" t="n">
        <v>45762</v>
      </c>
      <c r="B603" s="12" t="n">
        <v>110.166168</v>
      </c>
      <c r="C603" s="12" t="n">
        <v>89.795776</v>
      </c>
      <c r="D603" s="12" t="n">
        <v>524.090027</v>
      </c>
      <c r="E603" s="13">
        <f>100*B603/B$7</f>
        <v/>
      </c>
      <c r="F603" s="13">
        <f>100*C603/C$7</f>
        <v/>
      </c>
      <c r="G603" s="13">
        <f>100*D603/D$7</f>
        <v/>
      </c>
    </row>
    <row r="604">
      <c r="A604" s="11" t="n">
        <v>45763</v>
      </c>
      <c r="B604" s="12" t="n">
        <v>108.416725</v>
      </c>
      <c r="C604" s="12" t="n">
        <v>90.185196</v>
      </c>
      <c r="D604" s="12" t="n">
        <v>531.02002</v>
      </c>
      <c r="E604" s="13">
        <f>100*B604/B$7</f>
        <v/>
      </c>
      <c r="F604" s="13">
        <f>100*C604/C$7</f>
        <v/>
      </c>
      <c r="G604" s="13">
        <f>100*D604/D$7</f>
        <v/>
      </c>
    </row>
    <row r="605">
      <c r="A605" s="11" t="n">
        <v>45764</v>
      </c>
      <c r="B605" s="12" t="n">
        <v>108.876083</v>
      </c>
      <c r="C605" s="12" t="n">
        <v>89.928757</v>
      </c>
      <c r="D605" s="12" t="n">
        <v>538.530029</v>
      </c>
      <c r="E605" s="13">
        <f>100*B605/B$7</f>
        <v/>
      </c>
      <c r="F605" s="13">
        <f>100*C605/C$7</f>
        <v/>
      </c>
      <c r="G605" s="13">
        <f>100*D605/D$7</f>
        <v/>
      </c>
    </row>
    <row r="606">
      <c r="A606" s="11" t="n">
        <v>45765</v>
      </c>
      <c r="B606" s="12" t="n">
        <v>108.876083</v>
      </c>
      <c r="C606" s="12" t="n">
        <v>89.928757</v>
      </c>
      <c r="D606" s="12" t="n">
        <v>538.530029</v>
      </c>
      <c r="E606" s="13">
        <f>100*B606/B$7</f>
        <v/>
      </c>
      <c r="F606" s="13">
        <f>100*C606/C$7</f>
        <v/>
      </c>
      <c r="G606" s="13">
        <f>100*D606/D$7</f>
        <v/>
      </c>
    </row>
    <row r="607">
      <c r="A607" s="11" t="n">
        <v>45768</v>
      </c>
      <c r="B607" s="12" t="n">
        <v>107.116852</v>
      </c>
      <c r="C607" s="12" t="n">
        <v>89.444344</v>
      </c>
      <c r="D607" s="12" t="n">
        <v>531.969971</v>
      </c>
      <c r="E607" s="13">
        <f>100*B607/B$7</f>
        <v/>
      </c>
      <c r="F607" s="13">
        <f>100*C607/C$7</f>
        <v/>
      </c>
      <c r="G607" s="13">
        <f>100*D607/D$7</f>
        <v/>
      </c>
    </row>
    <row r="608">
      <c r="A608" s="11" t="n">
        <v>45769</v>
      </c>
      <c r="B608" s="12" t="n">
        <v>109.530899</v>
      </c>
      <c r="C608" s="12" t="n">
        <v>89.510811</v>
      </c>
      <c r="D608" s="12" t="n">
        <v>538.179993</v>
      </c>
      <c r="E608" s="13">
        <f>100*B608/B$7</f>
        <v/>
      </c>
      <c r="F608" s="13">
        <f>100*C608/C$7</f>
        <v/>
      </c>
      <c r="G608" s="13">
        <f>100*D608/D$7</f>
        <v/>
      </c>
    </row>
    <row r="609">
      <c r="A609" s="11" t="n">
        <v>45770</v>
      </c>
      <c r="B609" s="12" t="n">
        <v>110.869865</v>
      </c>
      <c r="C609" s="12" t="n">
        <v>89.60581999999999</v>
      </c>
      <c r="D609" s="12" t="n">
        <v>532.809998</v>
      </c>
      <c r="E609" s="13">
        <f>100*B609/B$7</f>
        <v/>
      </c>
      <c r="F609" s="13">
        <f>100*C609/C$7</f>
        <v/>
      </c>
      <c r="G609" s="13">
        <f>100*D609/D$7</f>
        <v/>
      </c>
    </row>
    <row r="610">
      <c r="A610" s="11" t="n">
        <v>45771</v>
      </c>
      <c r="B610" s="12" t="n">
        <v>112.89296</v>
      </c>
      <c r="C610" s="12" t="n">
        <v>90.09023999999999</v>
      </c>
      <c r="D610" s="12" t="n">
        <v>536.48999</v>
      </c>
      <c r="E610" s="13">
        <f>100*B610/B$7</f>
        <v/>
      </c>
      <c r="F610" s="13">
        <f>100*C610/C$7</f>
        <v/>
      </c>
      <c r="G610" s="13">
        <f>100*D610/D$7</f>
        <v/>
      </c>
    </row>
    <row r="611">
      <c r="A611" s="11" t="n">
        <v>45772</v>
      </c>
      <c r="B611" s="12" t="n">
        <v>113.547775</v>
      </c>
      <c r="C611" s="12" t="n">
        <v>90.43216700000001</v>
      </c>
      <c r="D611" s="12" t="n">
        <v>537.210022</v>
      </c>
      <c r="E611" s="13">
        <f>100*B611/B$7</f>
        <v/>
      </c>
      <c r="F611" s="13">
        <f>100*C611/C$7</f>
        <v/>
      </c>
      <c r="G611" s="13">
        <f>100*D611/D$7</f>
        <v/>
      </c>
    </row>
    <row r="612">
      <c r="A612" s="11" t="n">
        <v>45775</v>
      </c>
      <c r="B612" s="12" t="n">
        <v>113.762802</v>
      </c>
      <c r="C612" s="12" t="n">
        <v>90.793083</v>
      </c>
      <c r="D612" s="12" t="n">
        <v>535.349976</v>
      </c>
      <c r="E612" s="13">
        <f>100*B612/B$7</f>
        <v/>
      </c>
      <c r="F612" s="13">
        <f>100*C612/C$7</f>
        <v/>
      </c>
      <c r="G612" s="13">
        <f>100*D612/D$7</f>
        <v/>
      </c>
    </row>
    <row r="613">
      <c r="A613" s="11" t="n">
        <v>45776</v>
      </c>
      <c r="B613" s="12" t="n">
        <v>114.339432</v>
      </c>
      <c r="C613" s="12" t="n">
        <v>91.106522</v>
      </c>
      <c r="D613" s="12" t="n">
        <v>528.580017</v>
      </c>
      <c r="E613" s="13">
        <f>100*B613/B$7</f>
        <v/>
      </c>
      <c r="F613" s="13">
        <f>100*C613/C$7</f>
        <v/>
      </c>
      <c r="G613" s="13">
        <f>100*D613/D$7</f>
        <v/>
      </c>
    </row>
    <row r="614">
      <c r="A614" s="11" t="n">
        <v>45777</v>
      </c>
      <c r="B614" s="12" t="n">
        <v>114.339432</v>
      </c>
      <c r="C614" s="12" t="n">
        <v>91.24900100000001</v>
      </c>
      <c r="D614" s="12" t="n">
        <v>518.150024</v>
      </c>
      <c r="E614" s="13">
        <f>100*B614/B$7</f>
        <v/>
      </c>
      <c r="F614" s="13">
        <f>100*C614/C$7</f>
        <v/>
      </c>
      <c r="G614" s="13">
        <f>100*D614/D$7</f>
        <v/>
      </c>
    </row>
    <row r="615">
      <c r="A615" s="11" t="n">
        <v>45778</v>
      </c>
      <c r="B615" s="12" t="n">
        <v>114.759682</v>
      </c>
      <c r="C615" s="12" t="n">
        <v>90.85163900000001</v>
      </c>
      <c r="D615" s="12" t="n">
        <v>520.280029</v>
      </c>
      <c r="E615" s="13">
        <f>100*B615/B$7</f>
        <v/>
      </c>
      <c r="F615" s="13">
        <f>100*C615/C$7</f>
        <v/>
      </c>
      <c r="G615" s="13">
        <f>100*D615/D$7</f>
        <v/>
      </c>
    </row>
    <row r="616">
      <c r="A616" s="11" t="n">
        <v>45779</v>
      </c>
      <c r="B616" s="12" t="n">
        <v>116.704605</v>
      </c>
      <c r="C616" s="12" t="n">
        <v>90.241753</v>
      </c>
      <c r="D616" s="12" t="n">
        <v>520.179993</v>
      </c>
      <c r="E616" s="13">
        <f>100*B616/B$7</f>
        <v/>
      </c>
      <c r="F616" s="13">
        <f>100*C616/C$7</f>
        <v/>
      </c>
      <c r="G616" s="13">
        <f>100*D616/D$7</f>
        <v/>
      </c>
    </row>
    <row r="617">
      <c r="A617" s="11" t="n">
        <v>45782</v>
      </c>
      <c r="B617" s="12" t="n">
        <v>116.470039</v>
      </c>
      <c r="C617" s="12" t="n">
        <v>90.079758</v>
      </c>
      <c r="D617" s="12" t="n">
        <v>516.119995</v>
      </c>
      <c r="E617" s="13">
        <f>100*B617/B$7</f>
        <v/>
      </c>
      <c r="F617" s="13">
        <f>100*C617/C$7</f>
        <v/>
      </c>
      <c r="G617" s="13">
        <f>100*D617/D$7</f>
        <v/>
      </c>
    </row>
    <row r="618">
      <c r="A618" s="11" t="n">
        <v>45783</v>
      </c>
      <c r="B618" s="12" t="n">
        <v>115.795677</v>
      </c>
      <c r="C618" s="12" t="n">
        <v>90.30845600000001</v>
      </c>
      <c r="D618" s="12" t="n">
        <v>524.880005</v>
      </c>
      <c r="E618" s="13">
        <f>100*B618/B$7</f>
        <v/>
      </c>
      <c r="F618" s="13">
        <f>100*C618/C$7</f>
        <v/>
      </c>
      <c r="G618" s="13">
        <f>100*D618/D$7</f>
        <v/>
      </c>
    </row>
    <row r="619">
      <c r="A619" s="11" t="n">
        <v>45784</v>
      </c>
      <c r="B619" s="12" t="n">
        <v>115.89341</v>
      </c>
      <c r="C619" s="12" t="n">
        <v>90.5467</v>
      </c>
      <c r="D619" s="12" t="n">
        <v>519.52002</v>
      </c>
      <c r="E619" s="13">
        <f>100*B619/B$7</f>
        <v/>
      </c>
      <c r="F619" s="13">
        <f>100*C619/C$7</f>
        <v/>
      </c>
      <c r="G619" s="13">
        <f>100*D619/D$7</f>
        <v/>
      </c>
    </row>
    <row r="620">
      <c r="A620" s="11" t="n">
        <v>45785</v>
      </c>
      <c r="B620" s="12" t="n">
        <v>116.274567</v>
      </c>
      <c r="C620" s="12" t="n">
        <v>89.841537</v>
      </c>
      <c r="D620" s="12" t="n">
        <v>525.669983</v>
      </c>
      <c r="E620" s="13">
        <f>100*B620/B$7</f>
        <v/>
      </c>
      <c r="F620" s="13">
        <f>100*C620/C$7</f>
        <v/>
      </c>
      <c r="G620" s="13">
        <f>100*D620/D$7</f>
        <v/>
      </c>
    </row>
    <row r="621">
      <c r="A621" s="11" t="n">
        <v>45786</v>
      </c>
      <c r="B621" s="12" t="n">
        <v>116.430946</v>
      </c>
      <c r="C621" s="12" t="n">
        <v>89.90823399999999</v>
      </c>
      <c r="D621" s="12" t="n">
        <v>531.530029</v>
      </c>
      <c r="E621" s="13">
        <f>100*B621/B$7</f>
        <v/>
      </c>
      <c r="F621" s="13">
        <f>100*C621/C$7</f>
        <v/>
      </c>
      <c r="G621" s="13">
        <f>100*D621/D$7</f>
        <v/>
      </c>
    </row>
    <row r="622">
      <c r="A622" s="11" t="n">
        <v>45789</v>
      </c>
      <c r="B622" s="12" t="n">
        <v>119.265236</v>
      </c>
      <c r="C622" s="12" t="n">
        <v>89.33648700000001</v>
      </c>
      <c r="D622" s="12" t="n">
        <v>534.3900149999999</v>
      </c>
      <c r="E622" s="13">
        <f>100*B622/B$7</f>
        <v/>
      </c>
      <c r="F622" s="13">
        <f>100*C622/C$7</f>
        <v/>
      </c>
      <c r="G622" s="13">
        <f>100*D622/D$7</f>
        <v/>
      </c>
    </row>
    <row r="623">
      <c r="A623" s="11" t="n">
        <v>45790</v>
      </c>
      <c r="B623" s="12" t="n">
        <v>119.900513</v>
      </c>
      <c r="C623" s="12" t="n">
        <v>89.269775</v>
      </c>
      <c r="D623" s="12" t="n">
        <v>541.969971</v>
      </c>
      <c r="E623" s="13">
        <f>100*B623/B$7</f>
        <v/>
      </c>
      <c r="F623" s="13">
        <f>100*C623/C$7</f>
        <v/>
      </c>
      <c r="G623" s="13">
        <f>100*D623/D$7</f>
        <v/>
      </c>
    </row>
    <row r="624">
      <c r="A624" s="11" t="n">
        <v>45791</v>
      </c>
      <c r="B624" s="12" t="n">
        <v>120.008026</v>
      </c>
      <c r="C624" s="12" t="n">
        <v>88.936249</v>
      </c>
      <c r="D624" s="12" t="n">
        <v>538.8900149999999</v>
      </c>
      <c r="E624" s="13">
        <f>100*B624/B$7</f>
        <v/>
      </c>
      <c r="F624" s="13">
        <f>100*C624/C$7</f>
        <v/>
      </c>
      <c r="G624" s="13">
        <f>100*D624/D$7</f>
        <v/>
      </c>
    </row>
    <row r="625">
      <c r="A625" s="11" t="n">
        <v>45792</v>
      </c>
      <c r="B625" s="12" t="n">
        <v>120.653069</v>
      </c>
      <c r="C625" s="12" t="n">
        <v>89.517555</v>
      </c>
      <c r="D625" s="12" t="n">
        <v>532.630005</v>
      </c>
      <c r="E625" s="13">
        <f>100*B625/B$7</f>
        <v/>
      </c>
      <c r="F625" s="13">
        <f>100*C625/C$7</f>
        <v/>
      </c>
      <c r="G625" s="13">
        <f>100*D625/D$7</f>
        <v/>
      </c>
    </row>
    <row r="626">
      <c r="A626" s="11" t="n">
        <v>45793</v>
      </c>
      <c r="B626" s="12" t="n">
        <v>121.229698</v>
      </c>
      <c r="C626" s="12" t="n">
        <v>89.54612</v>
      </c>
      <c r="D626" s="12" t="n">
        <v>533.099976</v>
      </c>
      <c r="E626" s="13">
        <f>100*B626/B$7</f>
        <v/>
      </c>
      <c r="F626" s="13">
        <f>100*C626/C$7</f>
        <v/>
      </c>
      <c r="G626" s="13">
        <f>100*D626/D$7</f>
        <v/>
      </c>
    </row>
    <row r="627">
      <c r="A627" s="11" t="n">
        <v>45796</v>
      </c>
      <c r="B627" s="12" t="n">
        <v>121.610863</v>
      </c>
      <c r="C627" s="12" t="n">
        <v>89.498474</v>
      </c>
      <c r="D627" s="12" t="n">
        <v>533.030029</v>
      </c>
      <c r="E627" s="13">
        <f>100*B627/B$7</f>
        <v/>
      </c>
      <c r="F627" s="13">
        <f>100*C627/C$7</f>
        <v/>
      </c>
      <c r="G627" s="13">
        <f>100*D627/D$7</f>
        <v/>
      </c>
    </row>
    <row r="628">
      <c r="A628" s="11" t="n">
        <v>45797</v>
      </c>
      <c r="B628" s="12" t="n">
        <v>121.474037</v>
      </c>
      <c r="C628" s="12" t="n">
        <v>89.38413199999999</v>
      </c>
      <c r="D628" s="12" t="n">
        <v>536.25</v>
      </c>
      <c r="E628" s="13">
        <f>100*B628/B$7</f>
        <v/>
      </c>
      <c r="F628" s="13">
        <f>100*C628/C$7</f>
        <v/>
      </c>
      <c r="G628" s="13">
        <f>100*D628/D$7</f>
        <v/>
      </c>
    </row>
    <row r="629">
      <c r="A629" s="11" t="n">
        <v>45798</v>
      </c>
      <c r="B629" s="12" t="n">
        <v>119.968933</v>
      </c>
      <c r="C629" s="12" t="n">
        <v>88.764748</v>
      </c>
      <c r="D629" s="12" t="n">
        <v>536.179993</v>
      </c>
      <c r="E629" s="13">
        <f>100*B629/B$7</f>
        <v/>
      </c>
      <c r="F629" s="13">
        <f>100*C629/C$7</f>
        <v/>
      </c>
      <c r="G629" s="13">
        <f>100*D629/D$7</f>
        <v/>
      </c>
    </row>
    <row r="630">
      <c r="A630" s="11" t="n">
        <v>45799</v>
      </c>
      <c r="B630" s="12" t="n">
        <v>119.900513</v>
      </c>
      <c r="C630" s="12" t="n">
        <v>89.098251</v>
      </c>
      <c r="D630" s="12" t="n">
        <v>533.01001</v>
      </c>
      <c r="E630" s="13">
        <f>100*B630/B$7</f>
        <v/>
      </c>
      <c r="F630" s="13">
        <f>100*C630/C$7</f>
        <v/>
      </c>
      <c r="G630" s="13">
        <f>100*D630/D$7</f>
        <v/>
      </c>
    </row>
    <row r="631">
      <c r="A631" s="11" t="n">
        <v>45800</v>
      </c>
      <c r="B631" s="12" t="n">
        <v>119.529129</v>
      </c>
      <c r="C631" s="12" t="n">
        <v>89.35554500000001</v>
      </c>
      <c r="D631" s="12" t="n">
        <v>535</v>
      </c>
      <c r="E631" s="13">
        <f>100*B631/B$7</f>
        <v/>
      </c>
      <c r="F631" s="13">
        <f>100*C631/C$7</f>
        <v/>
      </c>
      <c r="G631" s="13">
        <f>100*D631/D$7</f>
        <v/>
      </c>
    </row>
    <row r="632">
      <c r="A632" s="11" t="n">
        <v>45803</v>
      </c>
      <c r="B632" s="12" t="n">
        <v>119.529129</v>
      </c>
      <c r="C632" s="12" t="n">
        <v>89.35554500000001</v>
      </c>
      <c r="D632" s="12" t="n">
        <v>535</v>
      </c>
      <c r="E632" s="13">
        <f>100*B632/B$7</f>
        <v/>
      </c>
      <c r="F632" s="13">
        <f>100*C632/C$7</f>
        <v/>
      </c>
      <c r="G632" s="13">
        <f>100*D632/D$7</f>
        <v/>
      </c>
    </row>
    <row r="633">
      <c r="A633" s="11" t="n">
        <v>45804</v>
      </c>
      <c r="B633" s="12" t="n">
        <v>121.532677</v>
      </c>
      <c r="C633" s="12" t="n">
        <v>89.72719600000001</v>
      </c>
      <c r="D633" s="12" t="n">
        <v>530.969971</v>
      </c>
      <c r="E633" s="13">
        <f>100*B633/B$7</f>
        <v/>
      </c>
      <c r="F633" s="13">
        <f>100*C633/C$7</f>
        <v/>
      </c>
      <c r="G633" s="13">
        <f>100*D633/D$7</f>
        <v/>
      </c>
    </row>
    <row r="634">
      <c r="A634" s="11" t="n">
        <v>45805</v>
      </c>
      <c r="B634" s="12" t="n">
        <v>120.662842</v>
      </c>
      <c r="C634" s="12" t="n">
        <v>89.47942399999999</v>
      </c>
      <c r="D634" s="12" t="n">
        <v>531.280029</v>
      </c>
      <c r="E634" s="13">
        <f>100*B634/B$7</f>
        <v/>
      </c>
      <c r="F634" s="13">
        <f>100*C634/C$7</f>
        <v/>
      </c>
      <c r="G634" s="13">
        <f>100*D634/D$7</f>
        <v/>
      </c>
    </row>
    <row r="635">
      <c r="A635" s="11" t="n">
        <v>45806</v>
      </c>
      <c r="B635" s="12" t="n">
        <v>121.102646</v>
      </c>
      <c r="C635" s="12" t="n">
        <v>89.851067</v>
      </c>
      <c r="D635" s="12" t="n">
        <v>527.590027</v>
      </c>
      <c r="E635" s="13">
        <f>100*B635/B$7</f>
        <v/>
      </c>
      <c r="F635" s="13">
        <f>100*C635/C$7</f>
        <v/>
      </c>
      <c r="G635" s="13">
        <f>100*D635/D$7</f>
        <v/>
      </c>
    </row>
    <row r="636">
      <c r="A636" s="11" t="n">
        <v>45807</v>
      </c>
      <c r="B636" s="12" t="n">
        <v>120.848541</v>
      </c>
      <c r="C636" s="12" t="n">
        <v>90.11788199999999</v>
      </c>
      <c r="D636" s="12" t="n">
        <v>524.669983</v>
      </c>
      <c r="E636" s="13">
        <f>100*B636/B$7</f>
        <v/>
      </c>
      <c r="F636" s="13">
        <f>100*C636/C$7</f>
        <v/>
      </c>
      <c r="G636" s="13">
        <f>100*D636/D$7</f>
        <v/>
      </c>
    </row>
    <row r="637">
      <c r="A637" s="11" t="n">
        <v>45810</v>
      </c>
      <c r="B637" s="12" t="n">
        <v>121.747688</v>
      </c>
      <c r="C637" s="12" t="n">
        <v>89.811966</v>
      </c>
      <c r="D637" s="12" t="n">
        <v>534.559998</v>
      </c>
      <c r="E637" s="13">
        <f>100*B637/B$7</f>
        <v/>
      </c>
      <c r="F637" s="13">
        <f>100*C637/C$7</f>
        <v/>
      </c>
      <c r="G637" s="13">
        <f>100*D637/D$7</f>
        <v/>
      </c>
    </row>
    <row r="638">
      <c r="A638" s="11" t="n">
        <v>45811</v>
      </c>
      <c r="B638" s="12" t="n">
        <v>122.021347</v>
      </c>
      <c r="C638" s="12" t="n">
        <v>89.72590599999999</v>
      </c>
      <c r="D638" s="12" t="n">
        <v>538.289978</v>
      </c>
      <c r="E638" s="13">
        <f>100*B638/B$7</f>
        <v/>
      </c>
      <c r="F638" s="13">
        <f>100*C638/C$7</f>
        <v/>
      </c>
      <c r="G638" s="13">
        <f>100*D638/D$7</f>
        <v/>
      </c>
    </row>
    <row r="639">
      <c r="A639" s="11" t="n">
        <v>45812</v>
      </c>
      <c r="B639" s="12" t="n">
        <v>122.334099</v>
      </c>
      <c r="C639" s="12" t="n">
        <v>90.38557400000001</v>
      </c>
      <c r="D639" s="12" t="n">
        <v>536.710022</v>
      </c>
      <c r="E639" s="13">
        <f>100*B639/B$7</f>
        <v/>
      </c>
      <c r="F639" s="13">
        <f>100*C639/C$7</f>
        <v/>
      </c>
      <c r="G639" s="13">
        <f>100*D639/D$7</f>
        <v/>
      </c>
    </row>
    <row r="640">
      <c r="A640" s="11" t="n">
        <v>45813</v>
      </c>
      <c r="B640" s="12" t="n">
        <v>121.972481</v>
      </c>
      <c r="C640" s="12" t="n">
        <v>90.11788199999999</v>
      </c>
      <c r="D640" s="12" t="n">
        <v>540.47998</v>
      </c>
      <c r="E640" s="13">
        <f>100*B640/B$7</f>
        <v/>
      </c>
      <c r="F640" s="13">
        <f>100*C640/C$7</f>
        <v/>
      </c>
      <c r="G640" s="13">
        <f>100*D640/D$7</f>
        <v/>
      </c>
    </row>
    <row r="641">
      <c r="A641" s="11" t="n">
        <v>45814</v>
      </c>
      <c r="B641" s="12" t="n">
        <v>122.910736</v>
      </c>
      <c r="C641" s="12" t="n">
        <v>89.400841</v>
      </c>
      <c r="D641" s="12" t="n">
        <v>545.01001</v>
      </c>
      <c r="E641" s="13">
        <f>100*B641/B$7</f>
        <v/>
      </c>
      <c r="F641" s="13">
        <f>100*C641/C$7</f>
        <v/>
      </c>
      <c r="G641" s="13">
        <f>100*D641/D$7</f>
        <v/>
      </c>
    </row>
    <row r="642">
      <c r="A642" s="11" t="n">
        <v>45817</v>
      </c>
      <c r="B642" s="12" t="n">
        <v>123.067108</v>
      </c>
      <c r="C642" s="12" t="n">
        <v>89.563362</v>
      </c>
      <c r="D642" s="12" t="n">
        <v>546.059998</v>
      </c>
      <c r="E642" s="13">
        <f>100*B642/B$7</f>
        <v/>
      </c>
      <c r="F642" s="13">
        <f>100*C642/C$7</f>
        <v/>
      </c>
      <c r="G642" s="13">
        <f>100*D642/D$7</f>
        <v/>
      </c>
    </row>
    <row r="643">
      <c r="A643" s="11" t="n">
        <v>45818</v>
      </c>
      <c r="B643" s="12" t="n">
        <v>123.653511</v>
      </c>
      <c r="C643" s="12" t="n">
        <v>89.716347</v>
      </c>
      <c r="D643" s="12" t="n">
        <v>543.559998</v>
      </c>
      <c r="E643" s="13">
        <f>100*B643/B$7</f>
        <v/>
      </c>
      <c r="F643" s="13">
        <f>100*C643/C$7</f>
        <v/>
      </c>
      <c r="G643" s="13">
        <f>100*D643/D$7</f>
        <v/>
      </c>
    </row>
    <row r="644">
      <c r="A644" s="11" t="n">
        <v>45819</v>
      </c>
      <c r="B644" s="12" t="n">
        <v>123.487366</v>
      </c>
      <c r="C644" s="12" t="n">
        <v>90.089203</v>
      </c>
      <c r="D644" s="12" t="n">
        <v>552.01001</v>
      </c>
      <c r="E644" s="13">
        <f>100*B644/B$7</f>
        <v/>
      </c>
      <c r="F644" s="13">
        <f>100*C644/C$7</f>
        <v/>
      </c>
      <c r="G644" s="13">
        <f>100*D644/D$7</f>
        <v/>
      </c>
    </row>
    <row r="645">
      <c r="A645" s="11" t="n">
        <v>45820</v>
      </c>
      <c r="B645" s="12" t="n">
        <v>123.976036</v>
      </c>
      <c r="C645" s="12" t="n">
        <v>90.481178</v>
      </c>
      <c r="D645" s="12" t="n">
        <v>550.849976</v>
      </c>
      <c r="E645" s="13">
        <f>100*B645/B$7</f>
        <v/>
      </c>
      <c r="F645" s="13">
        <f>100*C645/C$7</f>
        <v/>
      </c>
      <c r="G645" s="13">
        <f>100*D645/D$7</f>
        <v/>
      </c>
    </row>
    <row r="646">
      <c r="A646" s="11" t="n">
        <v>45821</v>
      </c>
      <c r="B646" s="12" t="n">
        <v>122.54911</v>
      </c>
      <c r="C646" s="12" t="n">
        <v>90.14656100000001</v>
      </c>
      <c r="D646" s="12" t="n">
        <v>568.409973</v>
      </c>
      <c r="E646" s="13">
        <f>100*B646/B$7</f>
        <v/>
      </c>
      <c r="F646" s="13">
        <f>100*C646/C$7</f>
        <v/>
      </c>
      <c r="G646" s="13">
        <f>100*D646/D$7</f>
        <v/>
      </c>
    </row>
    <row r="647">
      <c r="A647" s="11" t="n">
        <v>45824</v>
      </c>
      <c r="B647" s="12" t="n">
        <v>123.623627</v>
      </c>
      <c r="C647" s="12" t="n">
        <v>89.888428</v>
      </c>
      <c r="D647" s="12" t="n">
        <v>567.419983</v>
      </c>
      <c r="E647" s="13">
        <f>100*B647/B$7</f>
        <v/>
      </c>
      <c r="F647" s="13">
        <f>100*C647/C$7</f>
        <v/>
      </c>
      <c r="G647" s="13">
        <f>100*D647/D$7</f>
        <v/>
      </c>
    </row>
    <row r="648">
      <c r="A648" s="11" t="n">
        <v>45825</v>
      </c>
      <c r="B648" s="12" t="n">
        <v>122.372818</v>
      </c>
      <c r="C648" s="12" t="n">
        <v>90.32822400000001</v>
      </c>
      <c r="D648" s="12" t="n">
        <v>578.659973</v>
      </c>
      <c r="E648" s="13">
        <f>100*B648/B$7</f>
        <v/>
      </c>
      <c r="F648" s="13">
        <f>100*C648/C$7</f>
        <v/>
      </c>
      <c r="G648" s="13">
        <f>100*D648/D$7</f>
        <v/>
      </c>
    </row>
    <row r="649">
      <c r="A649" s="11" t="n">
        <v>45826</v>
      </c>
      <c r="B649" s="12" t="n">
        <v>122.412216</v>
      </c>
      <c r="C649" s="12" t="n">
        <v>90.38557400000001</v>
      </c>
      <c r="D649" s="12" t="n">
        <v>581.349976</v>
      </c>
      <c r="E649" s="13">
        <f>100*B649/B$7</f>
        <v/>
      </c>
      <c r="F649" s="13">
        <f>100*C649/C$7</f>
        <v/>
      </c>
      <c r="G649" s="13">
        <f>100*D649/D$7</f>
        <v/>
      </c>
    </row>
    <row r="650">
      <c r="A650" s="11" t="n">
        <v>45827</v>
      </c>
      <c r="B650" s="12" t="n">
        <v>122.412216</v>
      </c>
      <c r="C650" s="12" t="n">
        <v>90.38557400000001</v>
      </c>
      <c r="D650" s="12" t="n">
        <v>581.349976</v>
      </c>
      <c r="E650" s="13">
        <f>100*B650/B$7</f>
        <v/>
      </c>
      <c r="F650" s="13">
        <f>100*C650/C$7</f>
        <v/>
      </c>
      <c r="G650" s="13">
        <f>100*D650/D$7</f>
        <v/>
      </c>
    </row>
    <row r="651">
      <c r="A651" s="11" t="n">
        <v>45828</v>
      </c>
      <c r="B651" s="12" t="n">
        <v>121.870522</v>
      </c>
      <c r="C651" s="12" t="n">
        <v>90.442924</v>
      </c>
      <c r="D651" s="12" t="n">
        <v>581</v>
      </c>
      <c r="E651" s="13">
        <f>100*B651/B$7</f>
        <v/>
      </c>
      <c r="F651" s="13">
        <f>100*C651/C$7</f>
        <v/>
      </c>
      <c r="G651" s="13">
        <f>100*D651/D$7</f>
        <v/>
      </c>
    </row>
    <row r="652">
      <c r="A652" s="11" t="n">
        <v>45831</v>
      </c>
      <c r="B652" s="12" t="n">
        <v>122.963753</v>
      </c>
      <c r="C652" s="12" t="n">
        <v>90.758438</v>
      </c>
      <c r="D652" s="12" t="n">
        <v>562.690002</v>
      </c>
      <c r="E652" s="13">
        <f>100*B652/B$7</f>
        <v/>
      </c>
      <c r="F652" s="13">
        <f>100*C652/C$7</f>
        <v/>
      </c>
      <c r="G652" s="13">
        <f>100*D652/D$7</f>
        <v/>
      </c>
    </row>
    <row r="653">
      <c r="A653" s="11" t="n">
        <v>45832</v>
      </c>
      <c r="B653" s="12" t="n">
        <v>124.588821</v>
      </c>
      <c r="C653" s="12" t="n">
        <v>91.073944</v>
      </c>
      <c r="D653" s="12" t="n">
        <v>541.98999</v>
      </c>
      <c r="E653" s="13">
        <f>100*B653/B$7</f>
        <v/>
      </c>
      <c r="F653" s="13">
        <f>100*C653/C$7</f>
        <v/>
      </c>
      <c r="G653" s="13">
        <f>100*D653/D$7</f>
        <v/>
      </c>
    </row>
    <row r="654">
      <c r="A654" s="11" t="n">
        <v>45833</v>
      </c>
      <c r="B654" s="12" t="n">
        <v>124.500191</v>
      </c>
      <c r="C654" s="12" t="n">
        <v>91.112183</v>
      </c>
      <c r="D654" s="12" t="n">
        <v>542.22998</v>
      </c>
      <c r="E654" s="13">
        <f>100*B654/B$7</f>
        <v/>
      </c>
      <c r="F654" s="13">
        <f>100*C654/C$7</f>
        <v/>
      </c>
      <c r="G654" s="13">
        <f>100*D654/D$7</f>
        <v/>
      </c>
    </row>
    <row r="655">
      <c r="A655" s="11" t="n">
        <v>45834</v>
      </c>
      <c r="B655" s="12" t="n">
        <v>125.544167</v>
      </c>
      <c r="C655" s="12" t="n">
        <v>91.437256</v>
      </c>
      <c r="D655" s="12" t="n">
        <v>544.429993</v>
      </c>
      <c r="E655" s="13">
        <f>100*B655/B$7</f>
        <v/>
      </c>
      <c r="F655" s="13">
        <f>100*C655/C$7</f>
        <v/>
      </c>
      <c r="G655" s="13">
        <f>100*D655/D$7</f>
        <v/>
      </c>
    </row>
    <row r="656">
      <c r="A656" s="11" t="n">
        <v>45835</v>
      </c>
      <c r="B656" s="12" t="n">
        <v>126.105553</v>
      </c>
      <c r="C656" s="12" t="n">
        <v>91.198227</v>
      </c>
      <c r="D656" s="12" t="n">
        <v>545.710022</v>
      </c>
      <c r="E656" s="13">
        <f>100*B656/B$7</f>
        <v/>
      </c>
      <c r="F656" s="13">
        <f>100*C656/C$7</f>
        <v/>
      </c>
      <c r="G656" s="13">
        <f>100*D656/D$7</f>
        <v/>
      </c>
    </row>
    <row r="657">
      <c r="A657" s="11" t="n">
        <v>45838</v>
      </c>
      <c r="B657" s="12" t="n">
        <v>126.657104</v>
      </c>
      <c r="C657" s="12" t="n">
        <v>91.561531</v>
      </c>
      <c r="D657" s="12" t="n">
        <v>543.1400149999999</v>
      </c>
      <c r="E657" s="13">
        <f>100*B657/B$7</f>
        <v/>
      </c>
      <c r="F657" s="13">
        <f>100*C657/C$7</f>
        <v/>
      </c>
      <c r="G657" s="13">
        <f>100*D657/D$7</f>
        <v/>
      </c>
    </row>
    <row r="658">
      <c r="A658" s="11" t="n">
        <v>45839</v>
      </c>
      <c r="B658" s="12" t="n">
        <v>126.588158</v>
      </c>
      <c r="C658" s="12" t="n">
        <v>91.391769</v>
      </c>
      <c r="D658" s="12" t="n">
        <v>544.190002</v>
      </c>
      <c r="E658" s="13">
        <f>100*B658/B$7</f>
        <v/>
      </c>
      <c r="F658" s="13">
        <f>100*C658/C$7</f>
        <v/>
      </c>
      <c r="G658" s="13">
        <f>100*D658/D$7</f>
        <v/>
      </c>
    </row>
    <row r="659">
      <c r="A659" s="11" t="n">
        <v>45840</v>
      </c>
      <c r="B659" s="12" t="n">
        <v>127.100296</v>
      </c>
      <c r="C659" s="12" t="n">
        <v>91.199951</v>
      </c>
      <c r="D659" s="12" t="n">
        <v>554.47998</v>
      </c>
      <c r="E659" s="13">
        <f>100*B659/B$7</f>
        <v/>
      </c>
      <c r="F659" s="13">
        <f>100*C659/C$7</f>
        <v/>
      </c>
      <c r="G659" s="13">
        <f>100*D659/D$7</f>
        <v/>
      </c>
    </row>
    <row r="660">
      <c r="A660" s="11" t="n">
        <v>45841</v>
      </c>
      <c r="B660" s="12" t="n">
        <v>127.829109</v>
      </c>
      <c r="C660" s="12" t="n">
        <v>90.883453</v>
      </c>
      <c r="D660" s="12" t="n">
        <v>552.559998</v>
      </c>
      <c r="E660" s="13">
        <f>100*B660/B$7</f>
        <v/>
      </c>
      <c r="F660" s="13">
        <f>100*C660/C$7</f>
        <v/>
      </c>
      <c r="G660" s="13">
        <f>100*D660/D$7</f>
        <v/>
      </c>
    </row>
    <row r="661">
      <c r="A661" s="11" t="n">
        <v>45842</v>
      </c>
      <c r="B661" s="12" t="n">
        <v>127.829109</v>
      </c>
      <c r="C661" s="12" t="n">
        <v>90.883453</v>
      </c>
      <c r="D661" s="12" t="n">
        <v>552.559998</v>
      </c>
      <c r="E661" s="13">
        <f>100*B661/B$7</f>
        <v/>
      </c>
      <c r="F661" s="13">
        <f>100*C661/C$7</f>
        <v/>
      </c>
      <c r="G661" s="13">
        <f>100*D661/D$7</f>
        <v/>
      </c>
    </row>
    <row r="662">
      <c r="A662" s="11" t="n">
        <v>45845</v>
      </c>
      <c r="B662" s="12" t="n">
        <v>126.716202</v>
      </c>
      <c r="C662" s="12" t="n">
        <v>90.595726</v>
      </c>
      <c r="D662" s="12" t="n">
        <v>553.460022</v>
      </c>
      <c r="E662" s="13">
        <f>100*B662/B$7</f>
        <v/>
      </c>
      <c r="F662" s="13">
        <f>100*C662/C$7</f>
        <v/>
      </c>
      <c r="G662" s="13">
        <f>100*D662/D$7</f>
        <v/>
      </c>
    </row>
    <row r="663">
      <c r="A663" s="11" t="n">
        <v>45846</v>
      </c>
      <c r="B663" s="12" t="n">
        <v>126.932869</v>
      </c>
      <c r="C663" s="12" t="n">
        <v>90.461456</v>
      </c>
      <c r="D663" s="12" t="n">
        <v>554.210022</v>
      </c>
      <c r="E663" s="13">
        <f>100*B663/B$7</f>
        <v/>
      </c>
      <c r="F663" s="13">
        <f>100*C663/C$7</f>
        <v/>
      </c>
      <c r="G663" s="13">
        <f>100*D663/D$7</f>
        <v/>
      </c>
    </row>
    <row r="664">
      <c r="A664" s="11" t="n">
        <v>45847</v>
      </c>
      <c r="B664" s="12" t="n">
        <v>127.622292</v>
      </c>
      <c r="C664" s="12" t="n">
        <v>90.93141199999999</v>
      </c>
      <c r="D664" s="12" t="n">
        <v>551.900024</v>
      </c>
      <c r="E664" s="13">
        <f>100*B664/B$7</f>
        <v/>
      </c>
      <c r="F664" s="13">
        <f>100*C664/C$7</f>
        <v/>
      </c>
      <c r="G664" s="13">
        <f>100*D664/D$7</f>
        <v/>
      </c>
    </row>
    <row r="665">
      <c r="A665" s="11" t="n">
        <v>45848</v>
      </c>
      <c r="B665" s="12" t="n">
        <v>127.888222</v>
      </c>
      <c r="C665" s="12" t="n">
        <v>90.883453</v>
      </c>
      <c r="D665" s="12" t="n">
        <v>546.039978</v>
      </c>
      <c r="E665" s="13">
        <f>100*B665/B$7</f>
        <v/>
      </c>
      <c r="F665" s="13">
        <f>100*C665/C$7</f>
        <v/>
      </c>
      <c r="G665" s="13">
        <f>100*D665/D$7</f>
        <v/>
      </c>
    </row>
    <row r="666">
      <c r="A666" s="11" t="n">
        <v>45849</v>
      </c>
      <c r="B666" s="12" t="n">
        <v>127.248032</v>
      </c>
      <c r="C666" s="12" t="n">
        <v>90.461456</v>
      </c>
      <c r="D666" s="12" t="n">
        <v>551.3900149999999</v>
      </c>
      <c r="E666" s="13">
        <f>100*B666/B$7</f>
        <v/>
      </c>
      <c r="F666" s="13">
        <f>100*C666/C$7</f>
        <v/>
      </c>
      <c r="G666" s="13">
        <f>100*D666/D$7</f>
        <v/>
      </c>
    </row>
    <row r="667">
      <c r="A667" s="11" t="n">
        <v>45852</v>
      </c>
      <c r="B667" s="12" t="n">
        <v>127.425323</v>
      </c>
      <c r="C667" s="12" t="n">
        <v>90.42308800000001</v>
      </c>
      <c r="D667" s="12" t="n">
        <v>545.76001</v>
      </c>
      <c r="E667" s="13">
        <f>100*B667/B$7</f>
        <v/>
      </c>
      <c r="F667" s="13">
        <f>100*C667/C$7</f>
        <v/>
      </c>
      <c r="G667" s="13">
        <f>100*D667/D$7</f>
        <v/>
      </c>
    </row>
    <row r="668">
      <c r="A668" s="11" t="n">
        <v>45853</v>
      </c>
      <c r="B668" s="12" t="n">
        <v>126.893463</v>
      </c>
      <c r="C668" s="12" t="n">
        <v>90.068237</v>
      </c>
      <c r="D668" s="12" t="n">
        <v>544.72998</v>
      </c>
      <c r="E668" s="13">
        <f>100*B668/B$7</f>
        <v/>
      </c>
      <c r="F668" s="13">
        <f>100*C668/C$7</f>
        <v/>
      </c>
      <c r="G668" s="13">
        <f>100*D668/D$7</f>
        <v/>
      </c>
    </row>
    <row r="669">
      <c r="A669" s="11" t="n">
        <v>45854</v>
      </c>
      <c r="B669" s="12" t="n">
        <v>127.385918</v>
      </c>
      <c r="C669" s="12" t="n">
        <v>90.317589</v>
      </c>
      <c r="D669" s="12" t="n">
        <v>545.030029</v>
      </c>
      <c r="E669" s="13">
        <f>100*B669/B$7</f>
        <v/>
      </c>
      <c r="F669" s="13">
        <f>100*C669/C$7</f>
        <v/>
      </c>
      <c r="G669" s="13">
        <f>100*D669/D$7</f>
        <v/>
      </c>
    </row>
    <row r="670">
      <c r="A670" s="11" t="n">
        <v>45855</v>
      </c>
      <c r="B670" s="12" t="n">
        <v>127.898071</v>
      </c>
      <c r="C670" s="12" t="n">
        <v>90.288811</v>
      </c>
      <c r="D670" s="12" t="n">
        <v>549.219971</v>
      </c>
      <c r="E670" s="13">
        <f>100*B670/B$7</f>
        <v/>
      </c>
      <c r="F670" s="13">
        <f>100*C670/C$7</f>
        <v/>
      </c>
      <c r="G670" s="13">
        <f>100*D670/D$7</f>
        <v/>
      </c>
    </row>
    <row r="671">
      <c r="A671" s="11" t="n">
        <v>45856</v>
      </c>
      <c r="B671" s="12" t="n">
        <v>127.799568</v>
      </c>
      <c r="C671" s="12" t="n">
        <v>90.53816999999999</v>
      </c>
      <c r="D671" s="12" t="n">
        <v>551.619995</v>
      </c>
      <c r="E671" s="13">
        <f>100*B671/B$7</f>
        <v/>
      </c>
      <c r="F671" s="13">
        <f>100*C671/C$7</f>
        <v/>
      </c>
      <c r="G671" s="13">
        <f>100*D671/D$7</f>
        <v/>
      </c>
    </row>
    <row r="672">
      <c r="A672" s="11" t="n">
        <v>45859</v>
      </c>
      <c r="B672" s="12" t="n">
        <v>128.163986</v>
      </c>
      <c r="C672" s="12" t="n">
        <v>90.854675</v>
      </c>
      <c r="D672" s="12" t="n">
        <v>551.190002</v>
      </c>
      <c r="E672" s="13">
        <f>100*B672/B$7</f>
        <v/>
      </c>
      <c r="F672" s="13">
        <f>100*C672/C$7</f>
        <v/>
      </c>
      <c r="G672" s="13">
        <f>100*D672/D$7</f>
        <v/>
      </c>
    </row>
    <row r="673">
      <c r="A673" s="11" t="n">
        <v>45860</v>
      </c>
      <c r="B673" s="12" t="n">
        <v>128.380661</v>
      </c>
      <c r="C673" s="12" t="n">
        <v>91.11364</v>
      </c>
      <c r="D673" s="12" t="n">
        <v>548.630005</v>
      </c>
      <c r="E673" s="13">
        <f>100*B673/B$7</f>
        <v/>
      </c>
      <c r="F673" s="13">
        <f>100*C673/C$7</f>
        <v/>
      </c>
      <c r="G673" s="13">
        <f>100*D673/D$7</f>
        <v/>
      </c>
    </row>
    <row r="674">
      <c r="A674" s="11" t="n">
        <v>45861</v>
      </c>
      <c r="B674" s="12" t="n">
        <v>129.907242</v>
      </c>
      <c r="C674" s="12" t="n">
        <v>90.787537</v>
      </c>
      <c r="D674" s="12" t="n">
        <v>547.679993</v>
      </c>
      <c r="E674" s="13">
        <f>100*B674/B$7</f>
        <v/>
      </c>
      <c r="F674" s="13">
        <f>100*C674/C$7</f>
        <v/>
      </c>
      <c r="G674" s="13">
        <f>100*D674/D$7</f>
        <v/>
      </c>
    </row>
    <row r="675">
      <c r="A675" s="11" t="n">
        <v>45862</v>
      </c>
      <c r="B675" s="12" t="n">
        <v>129.641327</v>
      </c>
      <c r="C675" s="12" t="n">
        <v>90.653267</v>
      </c>
      <c r="D675" s="12" t="n">
        <v>548.719971</v>
      </c>
      <c r="E675" s="13">
        <f>100*B675/B$7</f>
        <v/>
      </c>
      <c r="F675" s="13">
        <f>100*C675/C$7</f>
        <v/>
      </c>
      <c r="G675" s="13">
        <f>100*D675/D$7</f>
        <v/>
      </c>
    </row>
    <row r="676">
      <c r="A676" s="11" t="n">
        <v>45863</v>
      </c>
      <c r="B676" s="12" t="n">
        <v>129.887543</v>
      </c>
      <c r="C676" s="12" t="n">
        <v>90.86425</v>
      </c>
      <c r="D676" s="12" t="n">
        <v>545.070007</v>
      </c>
      <c r="E676" s="13">
        <f>100*B676/B$7</f>
        <v/>
      </c>
      <c r="F676" s="13">
        <f>100*C676/C$7</f>
        <v/>
      </c>
      <c r="G676" s="13">
        <f>100*D676/D$7</f>
        <v/>
      </c>
    </row>
    <row r="677">
      <c r="A677" s="11" t="n">
        <v>45866</v>
      </c>
      <c r="B677" s="12" t="n">
        <v>129.306458</v>
      </c>
      <c r="C677" s="12" t="n">
        <v>90.662857</v>
      </c>
      <c r="D677" s="12" t="n">
        <v>549.469971</v>
      </c>
      <c r="E677" s="13">
        <f>100*B677/B$7</f>
        <v/>
      </c>
      <c r="F677" s="13">
        <f>100*C677/C$7</f>
        <v/>
      </c>
      <c r="G677" s="13">
        <f>100*D677/D$7</f>
        <v/>
      </c>
    </row>
    <row r="678">
      <c r="A678" s="11" t="n">
        <v>45867</v>
      </c>
      <c r="B678" s="12" t="n">
        <v>129.070084</v>
      </c>
      <c r="C678" s="12" t="n">
        <v>91.25749999999999</v>
      </c>
      <c r="D678" s="12" t="n">
        <v>557.119995</v>
      </c>
      <c r="E678" s="13">
        <f>100*B678/B$7</f>
        <v/>
      </c>
      <c r="F678" s="13">
        <f>100*C678/C$7</f>
        <v/>
      </c>
      <c r="G678" s="13">
        <f>100*D678/D$7</f>
        <v/>
      </c>
    </row>
    <row r="679">
      <c r="A679" s="11" t="n">
        <v>45868</v>
      </c>
      <c r="B679" s="12" t="n">
        <v>128.636719</v>
      </c>
      <c r="C679" s="12" t="n">
        <v>90.94101000000001</v>
      </c>
      <c r="D679" s="12" t="n">
        <v>558.219971</v>
      </c>
      <c r="E679" s="13">
        <f>100*B679/B$7</f>
        <v/>
      </c>
      <c r="F679" s="13">
        <f>100*C679/C$7</f>
        <v/>
      </c>
      <c r="G679" s="13">
        <f>100*D679/D$7</f>
        <v/>
      </c>
    </row>
    <row r="680">
      <c r="A680" s="11" t="n">
        <v>45869</v>
      </c>
      <c r="B680" s="12" t="n">
        <v>127.996552</v>
      </c>
      <c r="C680" s="12" t="n">
        <v>91.017723</v>
      </c>
      <c r="D680" s="12" t="n">
        <v>553.98999</v>
      </c>
      <c r="E680" s="13">
        <f>100*B680/B$7</f>
        <v/>
      </c>
      <c r="F680" s="13">
        <f>100*C680/C$7</f>
        <v/>
      </c>
      <c r="G680" s="13">
        <f>100*D680/D$7</f>
        <v/>
      </c>
    </row>
    <row r="681">
      <c r="A681" s="11" t="n">
        <v>45870</v>
      </c>
      <c r="B681" s="12" t="n">
        <v>126.381332</v>
      </c>
      <c r="C681" s="12" t="n">
        <v>92.06559</v>
      </c>
      <c r="D681" s="12" t="n">
        <v>545.580017</v>
      </c>
      <c r="E681" s="13">
        <f>100*B681/B$7</f>
        <v/>
      </c>
      <c r="F681" s="13">
        <f>100*C681/C$7</f>
        <v/>
      </c>
      <c r="G681" s="13">
        <f>100*D681/D$7</f>
        <v/>
      </c>
    </row>
    <row r="682">
      <c r="A682" s="11" t="n">
        <v>45873</v>
      </c>
      <c r="B682" s="12" t="n">
        <v>128.203384</v>
      </c>
      <c r="C682" s="12" t="n">
        <v>92.19066599999999</v>
      </c>
      <c r="D682" s="12" t="n">
        <v>542.869995</v>
      </c>
      <c r="E682" s="13">
        <f>100*B682/B$7</f>
        <v/>
      </c>
      <c r="F682" s="13">
        <f>100*C682/C$7</f>
        <v/>
      </c>
      <c r="G682" s="13">
        <f>100*D682/D$7</f>
        <v/>
      </c>
    </row>
    <row r="683">
      <c r="A683" s="11" t="n">
        <v>45874</v>
      </c>
      <c r="B683" s="12" t="n">
        <v>127.848816</v>
      </c>
      <c r="C683" s="12" t="n">
        <v>92.12331399999999</v>
      </c>
      <c r="D683" s="12" t="n">
        <v>539.549988</v>
      </c>
      <c r="E683" s="13">
        <f>100*B683/B$7</f>
        <v/>
      </c>
      <c r="F683" s="13">
        <f>100*C683/C$7</f>
        <v/>
      </c>
      <c r="G683" s="13">
        <f>100*D683/D$7</f>
        <v/>
      </c>
    </row>
    <row r="684">
      <c r="A684" s="11" t="n">
        <v>45875</v>
      </c>
      <c r="B684" s="12" t="n">
        <v>128.804153</v>
      </c>
      <c r="C684" s="12" t="n">
        <v>92.055969</v>
      </c>
      <c r="D684" s="12" t="n">
        <v>539.179993</v>
      </c>
      <c r="E684" s="13">
        <f>100*B684/B$7</f>
        <v/>
      </c>
      <c r="F684" s="13">
        <f>100*C684/C$7</f>
        <v/>
      </c>
      <c r="G684" s="13">
        <f>100*D684/D$7</f>
        <v/>
      </c>
    </row>
    <row r="685">
      <c r="A685" s="11" t="n">
        <v>45876</v>
      </c>
      <c r="B685" s="12" t="n">
        <v>129.109467</v>
      </c>
      <c r="C685" s="12" t="n">
        <v>91.988617</v>
      </c>
      <c r="D685" s="12" t="n">
        <v>538.830017</v>
      </c>
      <c r="E685" s="13">
        <f>100*B685/B$7</f>
        <v/>
      </c>
      <c r="F685" s="13">
        <f>100*C685/C$7</f>
        <v/>
      </c>
      <c r="G685" s="13">
        <f>100*D685/D$7</f>
        <v/>
      </c>
    </row>
    <row r="686">
      <c r="A686" s="11" t="n">
        <v>45877</v>
      </c>
      <c r="B686" s="12" t="n">
        <v>129.867859</v>
      </c>
      <c r="C686" s="12" t="n">
        <v>91.776917</v>
      </c>
      <c r="D686" s="12" t="n">
        <v>538.01001</v>
      </c>
      <c r="E686" s="13">
        <f>100*B686/B$7</f>
        <v/>
      </c>
      <c r="F686" s="13">
        <f>100*C686/C$7</f>
        <v/>
      </c>
      <c r="G686" s="13">
        <f>100*D686/D$7</f>
        <v/>
      </c>
    </row>
    <row r="687">
      <c r="A687" s="11" t="n">
        <v>45880</v>
      </c>
      <c r="B687" s="12" t="n">
        <v>129.523132</v>
      </c>
      <c r="C687" s="12" t="n">
        <v>91.805801</v>
      </c>
      <c r="D687" s="12" t="n">
        <v>537.549988</v>
      </c>
      <c r="E687" s="13">
        <f>100*B687/B$7</f>
        <v/>
      </c>
      <c r="F687" s="13">
        <f>100*C687/C$7</f>
        <v/>
      </c>
      <c r="G687" s="13">
        <f>100*D687/D$7</f>
        <v/>
      </c>
    </row>
    <row r="688">
      <c r="A688" s="11" t="n">
        <v>45881</v>
      </c>
      <c r="B688" s="12" t="n">
        <v>130.941376</v>
      </c>
      <c r="C688" s="12" t="n">
        <v>91.786545</v>
      </c>
      <c r="D688" s="12" t="n">
        <v>535.099976</v>
      </c>
      <c r="E688" s="13">
        <f>100*B688/B$7</f>
        <v/>
      </c>
      <c r="F688" s="13">
        <f>100*C688/C$7</f>
        <v/>
      </c>
      <c r="G688" s="13">
        <f>100*D688/D$7</f>
        <v/>
      </c>
    </row>
    <row r="689">
      <c r="A689" s="11" t="n">
        <v>45882</v>
      </c>
      <c r="B689" s="12" t="n">
        <v>131.54216</v>
      </c>
      <c r="C689" s="12" t="n">
        <v>92.113693</v>
      </c>
      <c r="D689" s="12" t="n">
        <v>533.280029</v>
      </c>
      <c r="E689" s="13">
        <f>100*B689/B$7</f>
        <v/>
      </c>
      <c r="F689" s="13">
        <f>100*C689/C$7</f>
        <v/>
      </c>
      <c r="G689" s="13">
        <f>100*D689/D$7</f>
        <v/>
      </c>
    </row>
    <row r="690">
      <c r="A690" s="11" t="n">
        <v>45883</v>
      </c>
      <c r="B690" s="12" t="n">
        <v>131.335342</v>
      </c>
      <c r="C690" s="12" t="n">
        <v>91.81540699999999</v>
      </c>
      <c r="D690" s="12" t="n">
        <v>534.8599850000001</v>
      </c>
      <c r="E690" s="13">
        <f>100*B690/B$7</f>
        <v/>
      </c>
      <c r="F690" s="13">
        <f>100*C690/C$7</f>
        <v/>
      </c>
      <c r="G690" s="13">
        <f>100*D690/D$7</f>
        <v/>
      </c>
    </row>
    <row r="691">
      <c r="A691" s="11" t="n">
        <v>45884</v>
      </c>
      <c r="B691" s="12" t="n">
        <v>131.364899</v>
      </c>
      <c r="C691" s="12" t="n">
        <v>91.632599</v>
      </c>
      <c r="D691" s="12" t="n">
        <v>534.219971</v>
      </c>
      <c r="E691" s="13">
        <f>100*B691/B$7</f>
        <v/>
      </c>
      <c r="F691" s="13">
        <f>100*C691/C$7</f>
        <v/>
      </c>
      <c r="G691" s="13">
        <f>100*D691/D$7</f>
        <v/>
      </c>
    </row>
    <row r="692">
      <c r="A692" s="11" t="n">
        <v>45887</v>
      </c>
      <c r="B692" s="12" t="n">
        <v>131.39444</v>
      </c>
      <c r="C692" s="12" t="n">
        <v>91.545998</v>
      </c>
      <c r="D692" s="12" t="n">
        <v>535.869995</v>
      </c>
      <c r="E692" s="13">
        <f>100*B692/B$7</f>
        <v/>
      </c>
      <c r="F692" s="13">
        <f>100*C692/C$7</f>
        <v/>
      </c>
      <c r="G692" s="13">
        <f>100*D692/D$7</f>
        <v/>
      </c>
    </row>
    <row r="693">
      <c r="A693" s="11" t="n">
        <v>45888</v>
      </c>
      <c r="B693" s="12" t="n">
        <v>130.695145</v>
      </c>
      <c r="C693" s="12" t="n">
        <v>91.776917</v>
      </c>
      <c r="D693" s="12" t="n">
        <v>532.530029</v>
      </c>
      <c r="E693" s="13">
        <f>100*B693/B$7</f>
        <v/>
      </c>
      <c r="F693" s="13">
        <f>100*C693/C$7</f>
        <v/>
      </c>
      <c r="G693" s="13">
        <f>100*D693/D$7</f>
        <v/>
      </c>
    </row>
    <row r="694">
      <c r="A694" s="11" t="n">
        <v>45889</v>
      </c>
      <c r="B694" s="12" t="n">
        <v>130.547424</v>
      </c>
      <c r="C694" s="12" t="n">
        <v>91.911644</v>
      </c>
      <c r="D694" s="12" t="n">
        <v>537.940002</v>
      </c>
      <c r="E694" s="13">
        <f>100*B694/B$7</f>
        <v/>
      </c>
      <c r="F694" s="13">
        <f>100*C694/C$7</f>
        <v/>
      </c>
      <c r="G694" s="13">
        <f>100*D694/D$7</f>
        <v/>
      </c>
    </row>
    <row r="695">
      <c r="A695" s="11" t="n">
        <v>45890</v>
      </c>
      <c r="B695" s="12" t="n">
        <v>130.04512</v>
      </c>
      <c r="C695" s="12" t="n">
        <v>91.642212</v>
      </c>
      <c r="D695" s="12" t="n">
        <v>542.669983</v>
      </c>
      <c r="E695" s="13">
        <f>100*B695/B$7</f>
        <v/>
      </c>
      <c r="F695" s="13">
        <f>100*C695/C$7</f>
        <v/>
      </c>
      <c r="G695" s="13">
        <f>100*D695/D$7</f>
        <v/>
      </c>
    </row>
    <row r="696">
      <c r="A696" s="11" t="n">
        <v>45891</v>
      </c>
      <c r="B696" s="12" t="n">
        <v>132.192184</v>
      </c>
      <c r="C696" s="12" t="n">
        <v>92.15218400000001</v>
      </c>
      <c r="D696" s="12" t="n">
        <v>545.099976</v>
      </c>
      <c r="E696" s="13">
        <f>100*B696/B$7</f>
        <v/>
      </c>
      <c r="F696" s="13">
        <f>100*C696/C$7</f>
        <v/>
      </c>
      <c r="G696" s="13">
        <f>100*D696/D$7</f>
        <v/>
      </c>
    </row>
    <row r="697">
      <c r="A697" s="11" t="n">
        <v>45894</v>
      </c>
      <c r="B697" s="12" t="n">
        <v>131.335342</v>
      </c>
      <c r="C697" s="12" t="n">
        <v>91.969368</v>
      </c>
      <c r="D697" s="12" t="n">
        <v>548.630005</v>
      </c>
      <c r="E697" s="13">
        <f>100*B697/B$7</f>
        <v/>
      </c>
      <c r="F697" s="13">
        <f>100*C697/C$7</f>
        <v/>
      </c>
      <c r="G697" s="13">
        <f>100*D697/D$7</f>
        <v/>
      </c>
    </row>
    <row r="698">
      <c r="A698" s="11" t="n">
        <v>45895</v>
      </c>
      <c r="B698" s="12" t="n">
        <v>131.611115</v>
      </c>
      <c r="C698" s="12" t="n">
        <v>92.209923</v>
      </c>
      <c r="D698" s="12" t="n">
        <v>543.130005</v>
      </c>
      <c r="E698" s="13">
        <f>100*B698/B$7</f>
        <v/>
      </c>
      <c r="F698" s="13">
        <f>100*C698/C$7</f>
        <v/>
      </c>
      <c r="G698" s="13">
        <f>100*D698/D$7</f>
        <v/>
      </c>
    </row>
    <row r="699">
      <c r="A699" s="11" t="n">
        <v>45896</v>
      </c>
      <c r="B699" s="12" t="n">
        <v>131.660339</v>
      </c>
      <c r="C699" s="12" t="n">
        <v>92.38312500000001</v>
      </c>
      <c r="D699" s="12" t="n">
        <v>546.210022</v>
      </c>
      <c r="E699" s="13">
        <f>100*B699/B$7</f>
        <v/>
      </c>
      <c r="F699" s="13">
        <f>100*C699/C$7</f>
        <v/>
      </c>
      <c r="G699" s="13">
        <f>100*D699/D$7</f>
        <v/>
      </c>
    </row>
    <row r="700">
      <c r="A700" s="11" t="n">
        <v>45897</v>
      </c>
      <c r="B700" s="12" t="n">
        <v>132.192184</v>
      </c>
      <c r="C700" s="12" t="n">
        <v>92.594803</v>
      </c>
      <c r="D700" s="12" t="n">
        <v>548.719971</v>
      </c>
      <c r="E700" s="13">
        <f>100*B700/B$7</f>
        <v/>
      </c>
      <c r="F700" s="13">
        <f>100*C700/C$7</f>
        <v/>
      </c>
      <c r="G700" s="13">
        <f>100*D700/D$7</f>
        <v/>
      </c>
    </row>
    <row r="701">
      <c r="A701" s="11" t="n">
        <v>45898</v>
      </c>
      <c r="B701" s="12" t="n">
        <v>131.423981</v>
      </c>
      <c r="C701" s="12" t="n">
        <v>92.517838</v>
      </c>
      <c r="D701" s="12" t="n">
        <v>549.710022</v>
      </c>
      <c r="E701" s="13">
        <f>100*B701/B$7</f>
        <v/>
      </c>
      <c r="F701" s="13">
        <f>100*C701/C$7</f>
        <v/>
      </c>
      <c r="G701" s="13">
        <f>100*D701/D$7</f>
        <v/>
      </c>
    </row>
    <row r="702">
      <c r="A702" s="11" t="n">
        <v>45901</v>
      </c>
      <c r="B702" s="12" t="n">
        <v>131.423981</v>
      </c>
      <c r="C702" s="12" t="n">
        <v>92.517838</v>
      </c>
      <c r="D702" s="12" t="n">
        <v>549.710022</v>
      </c>
      <c r="E702" s="13">
        <f>100*B702/B$7</f>
        <v/>
      </c>
      <c r="F702" s="13">
        <f>100*C702/C$7</f>
        <v/>
      </c>
      <c r="G702" s="13">
        <f>100*D702/D$7</f>
        <v/>
      </c>
    </row>
    <row r="703">
      <c r="A703" s="11" t="n">
        <v>45902</v>
      </c>
      <c r="B703" s="12" t="n">
        <v>130.498184</v>
      </c>
      <c r="C703" s="12" t="n">
        <v>92.24174499999999</v>
      </c>
      <c r="D703" s="12" t="n">
        <v>557.549988</v>
      </c>
      <c r="E703" s="13">
        <f>100*B703/B$7</f>
        <v/>
      </c>
      <c r="F703" s="13">
        <f>100*C703/C$7</f>
        <v/>
      </c>
      <c r="G703" s="13">
        <f>100*D703/D$7</f>
        <v/>
      </c>
    </row>
    <row r="704">
      <c r="A704" s="11" t="n">
        <v>45903</v>
      </c>
      <c r="B704" s="12" t="n">
        <v>131.049713</v>
      </c>
      <c r="C704" s="12" t="n">
        <v>92.560318</v>
      </c>
      <c r="D704" s="12" t="n">
        <v>552.539978</v>
      </c>
      <c r="E704" s="13">
        <f>100*B704/B$7</f>
        <v/>
      </c>
      <c r="F704" s="13">
        <f>100*C704/C$7</f>
        <v/>
      </c>
      <c r="G704" s="13">
        <f>100*D704/D$7</f>
        <v/>
      </c>
    </row>
    <row r="705">
      <c r="A705" s="11" t="n">
        <v>45904</v>
      </c>
      <c r="B705" s="12" t="n">
        <v>131.926254</v>
      </c>
      <c r="C705" s="12" t="n">
        <v>92.975418</v>
      </c>
      <c r="D705" s="12" t="n">
        <v>548.900024</v>
      </c>
      <c r="E705" s="13">
        <f>100*B705/B$7</f>
        <v/>
      </c>
      <c r="F705" s="13">
        <f>100*C705/C$7</f>
        <v/>
      </c>
      <c r="G705" s="13">
        <f>100*D705/D$7</f>
        <v/>
      </c>
    </row>
    <row r="706">
      <c r="A706" s="11" t="n">
        <v>45905</v>
      </c>
      <c r="B706" s="12" t="n">
        <v>132.044464</v>
      </c>
      <c r="C706" s="12" t="n">
        <v>93.429153</v>
      </c>
      <c r="D706" s="12" t="n">
        <v>543.289978</v>
      </c>
      <c r="E706" s="13">
        <f>100*B706/B$7</f>
        <v/>
      </c>
      <c r="F706" s="13">
        <f>100*C706/C$7</f>
        <v/>
      </c>
      <c r="G706" s="13">
        <f>100*D706/D$7</f>
        <v/>
      </c>
    </row>
    <row r="707">
      <c r="A707" s="11" t="n">
        <v>45908</v>
      </c>
      <c r="B707" s="12" t="n">
        <v>132.684647</v>
      </c>
      <c r="C707" s="12" t="n">
        <v>93.718765</v>
      </c>
      <c r="D707" s="12" t="n">
        <v>546.469971</v>
      </c>
      <c r="E707" s="13">
        <f>100*B707/B$7</f>
        <v/>
      </c>
      <c r="F707" s="13">
        <f>100*C707/C$7</f>
        <v/>
      </c>
      <c r="G707" s="13">
        <f>100*D707/D$7</f>
        <v/>
      </c>
    </row>
    <row r="708">
      <c r="A708" s="11" t="n">
        <v>45909</v>
      </c>
      <c r="B708" s="12" t="n">
        <v>132.881607</v>
      </c>
      <c r="C708" s="12" t="n">
        <v>93.496712</v>
      </c>
      <c r="D708" s="12" t="n">
        <v>546.710022</v>
      </c>
      <c r="E708" s="13">
        <f>100*B708/B$7</f>
        <v/>
      </c>
      <c r="F708" s="13">
        <f>100*C708/C$7</f>
        <v/>
      </c>
      <c r="G708" s="13">
        <f>100*D708/D$7</f>
        <v/>
      </c>
    </row>
    <row r="709">
      <c r="A709" s="11" t="n">
        <v>45910</v>
      </c>
      <c r="B709" s="12" t="n">
        <v>133.177078</v>
      </c>
      <c r="C709" s="12" t="n">
        <v>93.747719</v>
      </c>
      <c r="D709" s="12" t="n">
        <v>549.880005</v>
      </c>
      <c r="E709" s="13">
        <f>100*B709/B$7</f>
        <v/>
      </c>
      <c r="F709" s="13">
        <f>100*C709/C$7</f>
        <v/>
      </c>
      <c r="G709" s="13">
        <f>100*D709/D$7</f>
        <v/>
      </c>
    </row>
    <row r="710">
      <c r="A710" s="11" t="n">
        <v>45911</v>
      </c>
      <c r="B710" s="12" t="n">
        <v>134.487</v>
      </c>
      <c r="C710" s="12" t="n">
        <v>93.892509</v>
      </c>
      <c r="D710" s="12" t="n">
        <v>545.8599850000001</v>
      </c>
      <c r="E710" s="13">
        <f>100*B710/B$7</f>
        <v/>
      </c>
      <c r="F710" s="13">
        <f>100*C710/C$7</f>
        <v/>
      </c>
      <c r="G710" s="13">
        <f>100*D710/D$7</f>
        <v/>
      </c>
    </row>
    <row r="711">
      <c r="A711" s="11" t="n">
        <v>45912</v>
      </c>
      <c r="B711" s="12" t="n">
        <v>134.290009</v>
      </c>
      <c r="C711" s="12" t="n">
        <v>93.622231</v>
      </c>
      <c r="D711" s="12" t="n">
        <v>548.349976</v>
      </c>
      <c r="E711" s="13">
        <f>100*B711/B$7</f>
        <v/>
      </c>
      <c r="F711" s="13">
        <f>100*C711/C$7</f>
        <v/>
      </c>
      <c r="G711" s="13">
        <f>100*D711/D$7</f>
        <v/>
      </c>
    </row>
    <row r="712">
      <c r="A712" s="11" t="n">
        <v>45915</v>
      </c>
      <c r="B712" s="12" t="n">
        <v>135.16658</v>
      </c>
      <c r="C712" s="12" t="n">
        <v>93.776672</v>
      </c>
      <c r="D712" s="12" t="n">
        <v>553.669983</v>
      </c>
      <c r="E712" s="13">
        <f>100*B712/B$7</f>
        <v/>
      </c>
      <c r="F712" s="13">
        <f>100*C712/C$7</f>
        <v/>
      </c>
      <c r="G712" s="13">
        <f>100*D712/D$7</f>
        <v/>
      </c>
    </row>
    <row r="713">
      <c r="A713" s="11" t="n">
        <v>45916</v>
      </c>
      <c r="B713" s="12" t="n">
        <v>135.028687</v>
      </c>
      <c r="C713" s="12" t="n">
        <v>93.834602</v>
      </c>
      <c r="D713" s="12" t="n">
        <v>558.51001</v>
      </c>
      <c r="E713" s="13">
        <f>100*B713/B$7</f>
        <v/>
      </c>
      <c r="F713" s="13">
        <f>100*C713/C$7</f>
        <v/>
      </c>
      <c r="G713" s="13">
        <f>100*D713/D$7</f>
        <v/>
      </c>
    </row>
    <row r="714">
      <c r="A714" s="11" t="n">
        <v>45917</v>
      </c>
      <c r="B714" s="12" t="n">
        <v>134.90065</v>
      </c>
      <c r="C714" s="12" t="n">
        <v>93.631882</v>
      </c>
      <c r="D714" s="12" t="n">
        <v>553.030029</v>
      </c>
      <c r="E714" s="13">
        <f>100*B714/B$7</f>
        <v/>
      </c>
      <c r="F714" s="13">
        <f>100*C714/C$7</f>
        <v/>
      </c>
      <c r="G714" s="13">
        <f>100*D714/D$7</f>
        <v/>
      </c>
    </row>
    <row r="715">
      <c r="A715" s="11" t="n">
        <v>45918</v>
      </c>
      <c r="B715" s="12" t="n">
        <v>135.462021</v>
      </c>
      <c r="C715" s="12" t="n">
        <v>93.322952</v>
      </c>
      <c r="D715" s="12" t="n">
        <v>549.619995</v>
      </c>
      <c r="E715" s="13">
        <f>100*B715/B$7</f>
        <v/>
      </c>
      <c r="F715" s="13">
        <f>100*C715/C$7</f>
        <v/>
      </c>
      <c r="G715" s="13">
        <f>100*D715/D$7</f>
        <v/>
      </c>
    </row>
    <row r="716">
      <c r="A716" s="11" t="n">
        <v>45919</v>
      </c>
      <c r="B716" s="12" t="n">
        <v>135.678711</v>
      </c>
      <c r="C716" s="12" t="n">
        <v>93.28434799999999</v>
      </c>
      <c r="D716" s="12" t="n">
        <v>545.940002</v>
      </c>
      <c r="E716" s="13">
        <f>100*B716/B$7</f>
        <v/>
      </c>
      <c r="F716" s="13">
        <f>100*C716/C$7</f>
        <v/>
      </c>
      <c r="G716" s="13">
        <f>100*D716/D$7</f>
        <v/>
      </c>
    </row>
    <row r="717">
      <c r="A717" s="11" t="n">
        <v>45922</v>
      </c>
      <c r="B717" s="12" t="n">
        <v>136.318893</v>
      </c>
      <c r="C717" s="12" t="n">
        <v>93.12988300000001</v>
      </c>
      <c r="D717" s="12" t="n">
        <v>545.969971</v>
      </c>
      <c r="E717" s="13">
        <f>100*B717/B$7</f>
        <v/>
      </c>
      <c r="F717" s="13">
        <f>100*C717/C$7</f>
        <v/>
      </c>
      <c r="G717" s="13">
        <f>100*D717/D$7</f>
        <v/>
      </c>
    </row>
    <row r="718">
      <c r="A718" s="11" t="n">
        <v>45923</v>
      </c>
      <c r="B718" s="12" t="n">
        <v>135.806747</v>
      </c>
      <c r="C718" s="12" t="n">
        <v>93.390541</v>
      </c>
      <c r="D718" s="12" t="n">
        <v>551.469971</v>
      </c>
      <c r="E718" s="13">
        <f>100*B718/B$7</f>
        <v/>
      </c>
      <c r="F718" s="13">
        <f>100*C718/C$7</f>
        <v/>
      </c>
      <c r="G718" s="13">
        <f>100*D718/D$7</f>
        <v/>
      </c>
    </row>
    <row r="719">
      <c r="A719" s="11" t="n">
        <v>45924</v>
      </c>
      <c r="B719" s="12" t="n">
        <v>135.225662</v>
      </c>
      <c r="C719" s="12" t="n">
        <v>93.13954200000001</v>
      </c>
      <c r="D719" s="12" t="n">
        <v>556.880005</v>
      </c>
      <c r="E719" s="13">
        <f>100*B719/B$7</f>
        <v/>
      </c>
      <c r="F719" s="13">
        <f>100*C719/C$7</f>
        <v/>
      </c>
      <c r="G719" s="13">
        <f>100*D719/D$7</f>
        <v/>
      </c>
    </row>
    <row r="720">
      <c r="A720" s="11" t="n">
        <v>45925</v>
      </c>
      <c r="B720" s="12" t="n">
        <v>134.555923</v>
      </c>
      <c r="C720" s="12" t="n">
        <v>92.936798</v>
      </c>
      <c r="D720" s="12" t="n">
        <v>558.119995</v>
      </c>
      <c r="E720" s="13">
        <f>100*B720/B$7</f>
        <v/>
      </c>
      <c r="F720" s="13">
        <f>100*C720/C$7</f>
        <v/>
      </c>
      <c r="G720" s="13">
        <f>100*D720/D$7</f>
        <v/>
      </c>
    </row>
    <row r="721">
      <c r="A721" s="11" t="n">
        <v>45926</v>
      </c>
      <c r="B721" s="12" t="n">
        <v>135.265045</v>
      </c>
      <c r="C721" s="12" t="n">
        <v>92.888542</v>
      </c>
      <c r="D721" s="12" t="n">
        <v>561.440002</v>
      </c>
      <c r="E721" s="13">
        <f>100*B721/B$7</f>
        <v/>
      </c>
      <c r="F721" s="13">
        <f>100*C721/C$7</f>
        <v/>
      </c>
      <c r="G721" s="13">
        <f>100*D721/D$7</f>
        <v/>
      </c>
    </row>
    <row r="722">
      <c r="A722" s="11" t="n">
        <v>45929</v>
      </c>
      <c r="B722" s="12" t="n">
        <v>135.599915</v>
      </c>
      <c r="C722" s="12" t="n">
        <v>93.158844</v>
      </c>
      <c r="D722" s="12" t="n">
        <v>554.5</v>
      </c>
      <c r="E722" s="13">
        <f>100*B722/B$7</f>
        <v/>
      </c>
      <c r="F722" s="13">
        <f>100*C722/C$7</f>
        <v/>
      </c>
      <c r="G722" s="13">
        <f>100*D722/D$7</f>
        <v/>
      </c>
    </row>
    <row r="723">
      <c r="A723" s="11" t="n">
        <v>45930</v>
      </c>
      <c r="B723" s="12" t="n">
        <v>136.151474</v>
      </c>
      <c r="C723" s="12" t="n">
        <v>93.120216</v>
      </c>
      <c r="D723" s="12" t="n">
        <v>549.97998</v>
      </c>
      <c r="E723" s="13">
        <f>100*B723/B$7</f>
        <v/>
      </c>
      <c r="F723" s="13">
        <f>100*C723/C$7</f>
        <v/>
      </c>
      <c r="G723" s="13">
        <f>100*D723/D$7</f>
        <v/>
      </c>
    </row>
    <row r="724">
      <c r="A724" s="11" t="n">
        <v>45931</v>
      </c>
      <c r="B724" s="12" t="n">
        <v>136.840897</v>
      </c>
      <c r="C724" s="12" t="n">
        <v>93.433975</v>
      </c>
      <c r="D724" s="12" t="n">
        <v>549.340027</v>
      </c>
      <c r="E724" s="13">
        <f>100*B724/B$7</f>
        <v/>
      </c>
      <c r="F724" s="13">
        <f>100*C724/C$7</f>
        <v/>
      </c>
      <c r="G724" s="13">
        <f>100*D724/D$7</f>
        <v/>
      </c>
    </row>
    <row r="725">
      <c r="A725" s="11" t="n">
        <v>45932</v>
      </c>
      <c r="B725" s="12" t="n">
        <v>137.156036</v>
      </c>
      <c r="C725" s="12" t="n">
        <v>93.53079200000001</v>
      </c>
      <c r="D725" s="12" t="n">
        <v>543.849976</v>
      </c>
      <c r="E725" s="13">
        <f>100*B725/B$7</f>
        <v/>
      </c>
      <c r="F725" s="13">
        <f>100*C725/C$7</f>
        <v/>
      </c>
      <c r="G725" s="13">
        <f>100*D725/D$7</f>
        <v/>
      </c>
    </row>
    <row r="726">
      <c r="A726" s="11" t="n">
        <v>45933</v>
      </c>
      <c r="B726" s="12" t="n">
        <v>137.392426</v>
      </c>
      <c r="C726" s="12" t="n">
        <v>93.346825</v>
      </c>
      <c r="D726" s="12" t="n">
        <v>546.26001</v>
      </c>
      <c r="E726" s="13">
        <f>100*B726/B$7</f>
        <v/>
      </c>
      <c r="F726" s="13">
        <f>100*C726/C$7</f>
        <v/>
      </c>
      <c r="G726" s="13">
        <f>100*D726/D$7</f>
        <v/>
      </c>
    </row>
    <row r="727">
      <c r="A727" s="11" t="n">
        <v>45936</v>
      </c>
      <c r="B727" s="12" t="n">
        <v>137.934113</v>
      </c>
      <c r="C727" s="12" t="n">
        <v>93.075684</v>
      </c>
      <c r="D727" s="12" t="n">
        <v>550.75</v>
      </c>
      <c r="E727" s="13">
        <f>100*B727/B$7</f>
        <v/>
      </c>
      <c r="F727" s="13">
        <f>100*C727/C$7</f>
        <v/>
      </c>
      <c r="G727" s="13">
        <f>100*D727/D$7</f>
        <v/>
      </c>
    </row>
    <row r="728">
      <c r="A728" s="11" t="n">
        <v>45937</v>
      </c>
      <c r="B728" s="12" t="n">
        <v>137.106796</v>
      </c>
      <c r="C728" s="12" t="n">
        <v>93.308075</v>
      </c>
      <c r="D728" s="12" t="n">
        <v>552.349976</v>
      </c>
      <c r="E728" s="13">
        <f>100*B728/B$7</f>
        <v/>
      </c>
      <c r="F728" s="13">
        <f>100*C728/C$7</f>
        <v/>
      </c>
      <c r="G728" s="13">
        <f>100*D728/D$7</f>
        <v/>
      </c>
    </row>
    <row r="729">
      <c r="A729" s="11" t="n">
        <v>45938</v>
      </c>
      <c r="B729" s="12" t="n">
        <v>137.914398</v>
      </c>
      <c r="C729" s="12" t="n">
        <v>93.32744599999999</v>
      </c>
      <c r="D729" s="12" t="n">
        <v>556.1400149999999</v>
      </c>
      <c r="E729" s="13">
        <f>100*B729/B$7</f>
        <v/>
      </c>
      <c r="F729" s="13">
        <f>100*C729/C$7</f>
        <v/>
      </c>
      <c r="G729" s="13">
        <f>100*D729/D$7</f>
        <v/>
      </c>
    </row>
    <row r="730">
      <c r="A730" s="11" t="n">
        <v>45939</v>
      </c>
      <c r="B730" s="12" t="n">
        <v>137.24469</v>
      </c>
      <c r="C730" s="12" t="n">
        <v>93.259666</v>
      </c>
      <c r="D730" s="12" t="n">
        <v>551.909973</v>
      </c>
      <c r="E730" s="13">
        <f>100*B730/B$7</f>
        <v/>
      </c>
      <c r="F730" s="13">
        <f>100*C730/C$7</f>
        <v/>
      </c>
      <c r="G730" s="13">
        <f>100*D730/D$7</f>
        <v/>
      </c>
    </row>
    <row r="731">
      <c r="A731" s="11" t="n">
        <v>45940</v>
      </c>
      <c r="B731" s="12" t="n">
        <v>133.659683</v>
      </c>
      <c r="C731" s="12" t="n">
        <v>93.840675</v>
      </c>
      <c r="D731" s="12" t="n">
        <v>539.960022</v>
      </c>
      <c r="E731" s="13">
        <f>100*B731/B$7</f>
        <v/>
      </c>
      <c r="F731" s="13">
        <f>100*C731/C$7</f>
        <v/>
      </c>
      <c r="G731" s="13">
        <f>100*D731/D$7</f>
        <v/>
      </c>
    </row>
    <row r="732">
      <c r="A732" s="11" t="n">
        <v>45943</v>
      </c>
      <c r="B732" s="12" t="n">
        <v>135.737808</v>
      </c>
      <c r="C732" s="12" t="n">
        <v>93.889084</v>
      </c>
      <c r="D732" s="12" t="n">
        <v>546.47998</v>
      </c>
      <c r="E732" s="13">
        <f>100*B732/B$7</f>
        <v/>
      </c>
      <c r="F732" s="13">
        <f>100*C732/C$7</f>
        <v/>
      </c>
      <c r="G732" s="13">
        <f>100*D732/D$7</f>
        <v/>
      </c>
    </row>
    <row r="733">
      <c r="A733" s="11" t="n">
        <v>45944</v>
      </c>
      <c r="B733" s="12" t="n">
        <v>135.599915</v>
      </c>
      <c r="C733" s="12" t="n">
        <v>94.13114899999999</v>
      </c>
      <c r="D733" s="12" t="n">
        <v>542.590027</v>
      </c>
      <c r="E733" s="13">
        <f>100*B733/B$7</f>
        <v/>
      </c>
      <c r="F733" s="13">
        <f>100*C733/C$7</f>
        <v/>
      </c>
      <c r="G733" s="13">
        <f>100*D733/D$7</f>
        <v/>
      </c>
    </row>
    <row r="734">
      <c r="A734" s="11" t="n">
        <v>45945</v>
      </c>
      <c r="B734" s="12" t="n">
        <v>136.466614</v>
      </c>
      <c r="C734" s="12" t="n">
        <v>94.024643</v>
      </c>
      <c r="D734" s="12" t="n">
        <v>541.8900149999999</v>
      </c>
      <c r="E734" s="13">
        <f>100*B734/B$7</f>
        <v/>
      </c>
      <c r="F734" s="13">
        <f>100*C734/C$7</f>
        <v/>
      </c>
      <c r="G734" s="13">
        <f>100*D734/D$7</f>
        <v/>
      </c>
    </row>
    <row r="735">
      <c r="A735" s="11" t="n">
        <v>45946</v>
      </c>
      <c r="B735" s="12" t="n">
        <v>135.993866</v>
      </c>
      <c r="C735" s="12" t="n">
        <v>94.460403</v>
      </c>
      <c r="D735" s="12" t="n">
        <v>541.690002</v>
      </c>
      <c r="E735" s="13">
        <f>100*B735/B$7</f>
        <v/>
      </c>
      <c r="F735" s="13">
        <f>100*C735/C$7</f>
        <v/>
      </c>
      <c r="G735" s="13">
        <f>100*D735/D$7</f>
        <v/>
      </c>
    </row>
    <row r="736">
      <c r="A736" s="11" t="n">
        <v>45947</v>
      </c>
      <c r="B736" s="12" t="n">
        <v>136.535568</v>
      </c>
      <c r="C736" s="12" t="n">
        <v>94.305458</v>
      </c>
      <c r="D736" s="12" t="n">
        <v>539.849976</v>
      </c>
      <c r="E736" s="13">
        <f>100*B736/B$7</f>
        <v/>
      </c>
      <c r="F736" s="13">
        <f>100*C736/C$7</f>
        <v/>
      </c>
      <c r="G736" s="13">
        <f>100*D736/D$7</f>
        <v/>
      </c>
    </row>
    <row r="737">
      <c r="A737" s="11" t="n">
        <v>45950</v>
      </c>
      <c r="B737" s="12" t="n">
        <v>137.904572</v>
      </c>
      <c r="C737" s="12" t="n">
        <v>94.431335</v>
      </c>
      <c r="D737" s="12" t="n">
        <v>544.580017</v>
      </c>
      <c r="E737" s="13">
        <f>100*B737/B$7</f>
        <v/>
      </c>
      <c r="F737" s="13">
        <f>100*C737/C$7</f>
        <v/>
      </c>
      <c r="G737" s="13">
        <f>100*D737/D$7</f>
        <v/>
      </c>
    </row>
    <row r="738">
      <c r="A738" s="11" t="n">
        <v>45951</v>
      </c>
      <c r="B738" s="12" t="n">
        <v>137.500763</v>
      </c>
      <c r="C738" s="12" t="n">
        <v>94.605644</v>
      </c>
      <c r="D738" s="12" t="n">
        <v>541.880005</v>
      </c>
      <c r="E738" s="13">
        <f>100*B738/B$7</f>
        <v/>
      </c>
      <c r="F738" s="13">
        <f>100*C738/C$7</f>
        <v/>
      </c>
      <c r="G738" s="13">
        <f>100*D738/D$7</f>
        <v/>
      </c>
    </row>
    <row r="739">
      <c r="A739" s="11" t="n">
        <v>45952</v>
      </c>
      <c r="B739" s="12" t="n">
        <v>136.959076</v>
      </c>
      <c r="C739" s="12" t="n">
        <v>94.625023</v>
      </c>
      <c r="D739" s="12" t="n">
        <v>545.799988</v>
      </c>
      <c r="E739" s="13">
        <f>100*B739/B$7</f>
        <v/>
      </c>
      <c r="F739" s="13">
        <f>100*C739/C$7</f>
        <v/>
      </c>
      <c r="G739" s="13">
        <f>100*D739/D$7</f>
        <v/>
      </c>
    </row>
    <row r="740">
      <c r="A740" s="11" t="n">
        <v>45953</v>
      </c>
      <c r="B740" s="12" t="n">
        <v>137.835617</v>
      </c>
      <c r="C740" s="12" t="n">
        <v>94.31514</v>
      </c>
      <c r="D740" s="12" t="n">
        <v>561.460022</v>
      </c>
      <c r="E740" s="13">
        <f>100*B740/B$7</f>
        <v/>
      </c>
      <c r="F740" s="13">
        <f>100*C740/C$7</f>
        <v/>
      </c>
      <c r="G740" s="13">
        <f>100*D740/D$7</f>
        <v/>
      </c>
    </row>
    <row r="741">
      <c r="A741" s="11" t="n">
        <v>45954</v>
      </c>
      <c r="B741" s="12" t="n">
        <v>138.731873</v>
      </c>
      <c r="C741" s="12" t="n">
        <v>94.402306</v>
      </c>
      <c r="D741" s="12" t="n">
        <v>559.1400149999999</v>
      </c>
      <c r="E741" s="13">
        <f>100*B741/B$7</f>
        <v/>
      </c>
      <c r="F741" s="13">
        <f>100*C741/C$7</f>
        <v/>
      </c>
      <c r="G741" s="13">
        <f>100*D741/D$7</f>
        <v/>
      </c>
    </row>
    <row r="742">
      <c r="A742" s="11" t="n">
        <v>45957</v>
      </c>
      <c r="B742" s="12" t="n">
        <v>140.189499</v>
      </c>
      <c r="C742" s="12" t="n">
        <v>94.402306</v>
      </c>
      <c r="D742" s="12" t="n">
        <v>556.700012</v>
      </c>
      <c r="E742" s="13">
        <f>100*B742/B$7</f>
        <v/>
      </c>
      <c r="F742" s="13">
        <f>100*C742/C$7</f>
        <v/>
      </c>
      <c r="G742" s="13">
        <f>100*D742/D$7</f>
        <v/>
      </c>
    </row>
    <row r="743">
      <c r="A743" s="11" t="n">
        <v>45958</v>
      </c>
      <c r="B743" s="12" t="n">
        <v>140.396332</v>
      </c>
      <c r="C743" s="12" t="n">
        <v>94.489441</v>
      </c>
      <c r="D743" s="12" t="n">
        <v>550.710022</v>
      </c>
      <c r="E743" s="13">
        <f>100*B743/B$7</f>
        <v/>
      </c>
      <c r="F743" s="13">
        <f>100*C743/C$7</f>
        <v/>
      </c>
      <c r="G743" s="13">
        <f>100*D743/D$7</f>
        <v/>
      </c>
    </row>
    <row r="744">
      <c r="A744" s="11" t="n">
        <v>45959</v>
      </c>
      <c r="B744" s="12" t="n">
        <v>140.406189</v>
      </c>
      <c r="C744" s="12" t="n">
        <v>93.879402</v>
      </c>
      <c r="D744" s="12" t="n">
        <v>554.75</v>
      </c>
      <c r="E744" s="13">
        <f>100*B744/B$7</f>
        <v/>
      </c>
      <c r="F744" s="13">
        <f>100*C744/C$7</f>
        <v/>
      </c>
      <c r="G744" s="13">
        <f>100*D744/D$7</f>
        <v/>
      </c>
    </row>
    <row r="745">
      <c r="A745" s="11" t="n">
        <v>45960</v>
      </c>
      <c r="B745" s="12" t="n">
        <v>139.037186</v>
      </c>
      <c r="C745" s="12" t="n">
        <v>93.743843</v>
      </c>
      <c r="D745" s="12" t="n">
        <v>554.72998</v>
      </c>
      <c r="E745" s="13">
        <f>100*B745/B$7</f>
        <v/>
      </c>
      <c r="F745" s="13">
        <f>100*C745/C$7</f>
        <v/>
      </c>
      <c r="G745" s="13">
        <f>100*D745/D$7</f>
        <v/>
      </c>
    </row>
    <row r="746">
      <c r="A746" s="11" t="n">
        <v>45961</v>
      </c>
      <c r="B746" s="12" t="n">
        <v>139.273575</v>
      </c>
      <c r="C746" s="12" t="n">
        <v>93.78254699999999</v>
      </c>
      <c r="D746" s="12" t="n">
        <v>557</v>
      </c>
      <c r="E746" s="13">
        <f>100*B746/B$7</f>
        <v/>
      </c>
      <c r="F746" s="13">
        <f>100*C746/C$7</f>
        <v/>
      </c>
      <c r="G746" s="13">
        <f>100*D746/D$7</f>
        <v/>
      </c>
    </row>
    <row r="747">
      <c r="A747" s="11" t="n">
        <v>45964</v>
      </c>
      <c r="B747" s="12" t="n">
        <v>139.578888</v>
      </c>
      <c r="C747" s="12" t="n">
        <v>93.73788500000001</v>
      </c>
      <c r="D747" s="12" t="n">
        <v>561.049988</v>
      </c>
      <c r="E747" s="13">
        <f>100*B747/B$7</f>
        <v/>
      </c>
      <c r="F747" s="13">
        <f>100*C747/C$7</f>
        <v/>
      </c>
      <c r="G747" s="13">
        <f>100*D747/D$7</f>
        <v/>
      </c>
    </row>
    <row r="748">
      <c r="A748" s="11" t="n">
        <v>45965</v>
      </c>
      <c r="B748" s="12" t="n">
        <v>137.796219</v>
      </c>
      <c r="C748" s="12" t="n">
        <v>93.854462</v>
      </c>
      <c r="D748" s="12" t="n">
        <v>557.099976</v>
      </c>
      <c r="E748" s="13">
        <f>100*B748/B$7</f>
        <v/>
      </c>
      <c r="F748" s="13">
        <f>100*C748/C$7</f>
        <v/>
      </c>
      <c r="G748" s="13">
        <f>100*D748/D$7</f>
        <v/>
      </c>
    </row>
    <row r="749">
      <c r="A749" s="11" t="n">
        <v>45966</v>
      </c>
      <c r="B749" s="12" t="n">
        <v>138.436401</v>
      </c>
      <c r="C749" s="12" t="n">
        <v>93.407623</v>
      </c>
      <c r="D749" s="12" t="n">
        <v>553.77002</v>
      </c>
      <c r="E749" s="13">
        <f>100*B749/B$7</f>
        <v/>
      </c>
      <c r="F749" s="13">
        <f>100*C749/C$7</f>
        <v/>
      </c>
      <c r="G749" s="13">
        <f>100*D749/D$7</f>
        <v/>
      </c>
    </row>
    <row r="750">
      <c r="A750" s="11" t="n">
        <v>45967</v>
      </c>
      <c r="B750" s="12" t="n">
        <v>137.234833</v>
      </c>
      <c r="C750" s="12" t="n">
        <v>93.883583</v>
      </c>
      <c r="D750" s="12" t="n">
        <v>552.169983</v>
      </c>
      <c r="E750" s="13">
        <f>100*B750/B$7</f>
        <v/>
      </c>
      <c r="F750" s="13">
        <f>100*C750/C$7</f>
        <v/>
      </c>
      <c r="G750" s="13">
        <f>100*D750/D$7</f>
        <v/>
      </c>
    </row>
    <row r="751">
      <c r="A751" s="11" t="n">
        <v>45968</v>
      </c>
      <c r="B751" s="12" t="n">
        <v>137.431808</v>
      </c>
      <c r="C751" s="12" t="n">
        <v>93.92244700000001</v>
      </c>
      <c r="D751" s="12" t="n">
        <v>553.6099850000001</v>
      </c>
      <c r="E751" s="13">
        <f>100*B751/B$7</f>
        <v/>
      </c>
      <c r="F751" s="13">
        <f>100*C751/C$7</f>
        <v/>
      </c>
      <c r="G751" s="13">
        <f>100*D751/D$7</f>
        <v/>
      </c>
    </row>
    <row r="752">
      <c r="A752" s="11" t="n">
        <v>45971</v>
      </c>
      <c r="B752" s="12" t="n">
        <v>139.440994</v>
      </c>
      <c r="C752" s="12" t="n">
        <v>93.79615800000001</v>
      </c>
      <c r="D752" s="12" t="n">
        <v>560.690002</v>
      </c>
      <c r="E752" s="13">
        <f>100*B752/B$7</f>
        <v/>
      </c>
      <c r="F752" s="13">
        <f>100*C752/C$7</f>
        <v/>
      </c>
      <c r="G752" s="13">
        <f>100*D752/D$7</f>
        <v/>
      </c>
    </row>
    <row r="753">
      <c r="A753" s="11" t="n">
        <v>45972</v>
      </c>
      <c r="B753" s="12" t="n">
        <v>139.9039</v>
      </c>
      <c r="C753" s="12" t="n">
        <v>94.087585</v>
      </c>
      <c r="D753" s="12" t="n">
        <v>566.780029</v>
      </c>
      <c r="E753" s="13">
        <f>100*B753/B$7</f>
        <v/>
      </c>
      <c r="F753" s="13">
        <f>100*C753/C$7</f>
        <v/>
      </c>
      <c r="G753" s="13">
        <f>100*D753/D$7</f>
        <v/>
      </c>
    </row>
    <row r="754">
      <c r="A754" s="11" t="n">
        <v>45973</v>
      </c>
      <c r="B754" s="12" t="n">
        <v>140.179672</v>
      </c>
      <c r="C754" s="12" t="n">
        <v>94.106995</v>
      </c>
      <c r="D754" s="12" t="n">
        <v>558.559998</v>
      </c>
      <c r="E754" s="13">
        <f>100*B754/B$7</f>
        <v/>
      </c>
      <c r="F754" s="13">
        <f>100*C754/C$7</f>
        <v/>
      </c>
      <c r="G754" s="13">
        <f>100*D754/D$7</f>
        <v/>
      </c>
    </row>
    <row r="755">
      <c r="A755" s="11" t="n">
        <v>45974</v>
      </c>
      <c r="B755" s="12" t="n">
        <v>138.032593</v>
      </c>
      <c r="C755" s="12" t="n">
        <v>93.835014</v>
      </c>
      <c r="D755" s="12" t="n">
        <v>557.619995</v>
      </c>
      <c r="E755" s="13">
        <f>100*B755/B$7</f>
        <v/>
      </c>
      <c r="F755" s="13">
        <f>100*C755/C$7</f>
        <v/>
      </c>
      <c r="G755" s="13">
        <f>100*D755/D$7</f>
        <v/>
      </c>
    </row>
    <row r="756">
      <c r="A756" s="11" t="n">
        <v>45975</v>
      </c>
      <c r="B756" s="12" t="n">
        <v>137.963654</v>
      </c>
      <c r="C756" s="12" t="n">
        <v>93.679604</v>
      </c>
      <c r="D756" s="12" t="n">
        <v>559.280029</v>
      </c>
      <c r="E756" s="13">
        <f>100*B756/B$7</f>
        <v/>
      </c>
      <c r="F756" s="13">
        <f>100*C756/C$7</f>
        <v/>
      </c>
      <c r="G756" s="13">
        <f>100*D756/D$7</f>
        <v/>
      </c>
    </row>
    <row r="757">
      <c r="A757" s="11" t="n">
        <v>45978</v>
      </c>
      <c r="B757" s="12" t="n">
        <v>136.486328</v>
      </c>
      <c r="C757" s="12" t="n">
        <v>93.786461</v>
      </c>
      <c r="D757" s="12" t="n">
        <v>558.549988</v>
      </c>
      <c r="E757" s="13">
        <f>100*B757/B$7</f>
        <v/>
      </c>
      <c r="F757" s="13">
        <f>100*C757/C$7</f>
        <v/>
      </c>
      <c r="G757" s="13">
        <f>100*D757/D$7</f>
        <v/>
      </c>
    </row>
    <row r="758">
      <c r="A758" s="11" t="n">
        <v>45979</v>
      </c>
      <c r="B758" s="12" t="n">
        <v>135.314301</v>
      </c>
      <c r="C758" s="12" t="n">
        <v>93.941879</v>
      </c>
      <c r="D758" s="12" t="n">
        <v>562.030029</v>
      </c>
      <c r="E758" s="13">
        <f>100*B758/B$7</f>
        <v/>
      </c>
      <c r="F758" s="13">
        <f>100*C758/C$7</f>
        <v/>
      </c>
      <c r="G758" s="13">
        <f>100*D758/D$7</f>
        <v/>
      </c>
    </row>
    <row r="759">
      <c r="A759" s="11" t="n">
        <v>45980</v>
      </c>
      <c r="B759" s="12" t="n">
        <v>135.501434</v>
      </c>
      <c r="C759" s="12" t="n">
        <v>93.87387099999999</v>
      </c>
      <c r="D759" s="12" t="n">
        <v>555.530029</v>
      </c>
      <c r="E759" s="13">
        <f>100*B759/B$7</f>
        <v/>
      </c>
      <c r="F759" s="13">
        <f>100*C759/C$7</f>
        <v/>
      </c>
      <c r="G759" s="13">
        <f>100*D759/D$7</f>
        <v/>
      </c>
    </row>
    <row r="760">
      <c r="A760" s="11" t="n">
        <v>45981</v>
      </c>
      <c r="B760" s="12" t="n">
        <v>133.45285</v>
      </c>
      <c r="C760" s="12" t="n">
        <v>94.09729799999999</v>
      </c>
      <c r="D760" s="12" t="n">
        <v>551.26001</v>
      </c>
      <c r="E760" s="13">
        <f>100*B760/B$7</f>
        <v/>
      </c>
      <c r="F760" s="13">
        <f>100*C760/C$7</f>
        <v/>
      </c>
      <c r="G760" s="13">
        <f>100*D760/D$7</f>
        <v/>
      </c>
    </row>
    <row r="761">
      <c r="A761" s="11" t="n">
        <v>45982</v>
      </c>
      <c r="B761" s="12" t="n">
        <v>134.772598</v>
      </c>
      <c r="C761" s="12" t="n">
        <v>94.408134</v>
      </c>
      <c r="D761" s="12" t="n">
        <v>546.400024</v>
      </c>
      <c r="E761" s="13">
        <f>100*B761/B$7</f>
        <v/>
      </c>
      <c r="F761" s="13">
        <f>100*C761/C$7</f>
        <v/>
      </c>
      <c r="G761" s="13">
        <f>100*D761/D$7</f>
        <v/>
      </c>
    </row>
    <row r="762">
      <c r="A762" s="11" t="n">
        <v>45985</v>
      </c>
      <c r="B762" s="12" t="n">
        <v>136.269638</v>
      </c>
      <c r="C762" s="12" t="n">
        <v>94.553833</v>
      </c>
      <c r="D762" s="12" t="n">
        <v>546.969971</v>
      </c>
      <c r="E762" s="13">
        <f>100*B762/B$7</f>
        <v/>
      </c>
      <c r="F762" s="13">
        <f>100*C762/C$7</f>
        <v/>
      </c>
      <c r="G762" s="13">
        <f>100*D762/D$7</f>
        <v/>
      </c>
    </row>
    <row r="763">
      <c r="A763" s="11" t="n">
        <v>45986</v>
      </c>
      <c r="B763" s="12" t="n">
        <v>137.510605</v>
      </c>
      <c r="C763" s="12" t="n">
        <v>94.79669199999999</v>
      </c>
      <c r="D763" s="12" t="n">
        <v>543.380005</v>
      </c>
      <c r="E763" s="13">
        <f>100*B763/B$7</f>
        <v/>
      </c>
      <c r="F763" s="13">
        <f>100*C763/C$7</f>
        <v/>
      </c>
      <c r="G763" s="13">
        <f>100*D763/D$7</f>
        <v/>
      </c>
    </row>
    <row r="764">
      <c r="A764" s="11" t="n">
        <v>45987</v>
      </c>
      <c r="B764" s="12" t="n">
        <v>138.643234</v>
      </c>
      <c r="C764" s="12" t="n">
        <v>94.87439000000001</v>
      </c>
      <c r="D764" s="12" t="n">
        <v>549.6400149999999</v>
      </c>
      <c r="E764" s="13">
        <f>100*B764/B$7</f>
        <v/>
      </c>
      <c r="F764" s="13">
        <f>100*C764/C$7</f>
        <v/>
      </c>
      <c r="G764" s="13">
        <f>100*D764/D$7</f>
        <v/>
      </c>
    </row>
    <row r="765">
      <c r="A765" s="11" t="n">
        <v>45988</v>
      </c>
      <c r="B765" s="12" t="n">
        <v>138.643234</v>
      </c>
      <c r="C765" s="12" t="n">
        <v>94.87439000000001</v>
      </c>
      <c r="D765" s="12" t="n">
        <v>549.6400149999999</v>
      </c>
      <c r="E765" s="13">
        <f>100*B765/B$7</f>
        <v/>
      </c>
      <c r="F765" s="13">
        <f>100*C765/C$7</f>
        <v/>
      </c>
      <c r="G765" s="13">
        <f>100*D765/D$7</f>
        <v/>
      </c>
    </row>
    <row r="766">
      <c r="A766" s="11" t="n">
        <v>45989</v>
      </c>
      <c r="B766" s="12" t="n">
        <v>139.332657</v>
      </c>
      <c r="C766" s="12" t="n">
        <v>94.709244</v>
      </c>
      <c r="D766" s="12" t="n">
        <v>555.169983</v>
      </c>
      <c r="E766" s="13">
        <f>100*B766/B$7</f>
        <v/>
      </c>
      <c r="F766" s="13">
        <f>100*C766/C$7</f>
        <v/>
      </c>
      <c r="G766" s="13">
        <f>100*D766/D$7</f>
        <v/>
      </c>
    </row>
    <row r="767">
      <c r="A767" s="11" t="n">
        <v>45992</v>
      </c>
      <c r="B767" s="12" t="n">
        <v>138.712173</v>
      </c>
      <c r="C767" s="12" t="n">
        <v>94.200699</v>
      </c>
      <c r="D767" s="12" t="n">
        <v>558.450012</v>
      </c>
      <c r="E767" s="13">
        <f>100*B767/B$7</f>
        <v/>
      </c>
      <c r="F767" s="13">
        <f>100*C767/C$7</f>
        <v/>
      </c>
      <c r="G767" s="13">
        <f>100*D767/D$7</f>
        <v/>
      </c>
    </row>
    <row r="768">
      <c r="A768" s="11" t="n">
        <v>45993</v>
      </c>
      <c r="B768" s="12" t="n">
        <v>139.017487</v>
      </c>
      <c r="C768" s="12" t="n">
        <v>94.278633</v>
      </c>
      <c r="D768" s="12" t="n">
        <v>555.280029</v>
      </c>
      <c r="E768" s="13">
        <f>100*B768/B$7</f>
        <v/>
      </c>
      <c r="F768" s="13">
        <f>100*C768/C$7</f>
        <v/>
      </c>
      <c r="G768" s="13">
        <f>100*D768/D$7</f>
        <v/>
      </c>
    </row>
    <row r="769">
      <c r="A769" s="11" t="n">
        <v>45994</v>
      </c>
      <c r="B769" s="12" t="n">
        <v>139.539474</v>
      </c>
      <c r="C769" s="12" t="n">
        <v>94.473488</v>
      </c>
      <c r="D769" s="12" t="n">
        <v>557.429993</v>
      </c>
      <c r="E769" s="13">
        <f>100*B769/B$7</f>
        <v/>
      </c>
      <c r="F769" s="13">
        <f>100*C769/C$7</f>
        <v/>
      </c>
      <c r="G769" s="13">
        <f>100*D769/D$7</f>
        <v/>
      </c>
    </row>
    <row r="770">
      <c r="A770" s="11" t="n">
        <v>45995</v>
      </c>
      <c r="B770" s="12" t="n">
        <v>139.825104</v>
      </c>
      <c r="C770" s="12" t="n">
        <v>94.18122099999999</v>
      </c>
      <c r="D770" s="12" t="n">
        <v>560.960022</v>
      </c>
      <c r="E770" s="13">
        <f>100*B770/B$7</f>
        <v/>
      </c>
      <c r="F770" s="13">
        <f>100*C770/C$7</f>
        <v/>
      </c>
      <c r="G770" s="13">
        <f>100*D770/D$7</f>
        <v/>
      </c>
    </row>
    <row r="771">
      <c r="A771" s="11" t="n">
        <v>45996</v>
      </c>
      <c r="B771" s="12" t="n">
        <v>139.953156</v>
      </c>
      <c r="C771" s="12" t="n">
        <v>93.986366</v>
      </c>
      <c r="D771" s="12" t="n">
        <v>564.72998</v>
      </c>
      <c r="E771" s="13">
        <f>100*B771/B$7</f>
        <v/>
      </c>
      <c r="F771" s="13">
        <f>100*C771/C$7</f>
        <v/>
      </c>
      <c r="G771" s="13">
        <f>100*D771/D$7</f>
        <v/>
      </c>
    </row>
    <row r="772">
      <c r="A772" s="11" t="n">
        <v>45999</v>
      </c>
      <c r="B772" s="12" t="n">
        <v>139.618271</v>
      </c>
      <c r="C772" s="12" t="n">
        <v>93.791504</v>
      </c>
      <c r="D772" s="12" t="n">
        <v>555.559998</v>
      </c>
      <c r="E772" s="13">
        <f>100*B772/B$7</f>
        <v/>
      </c>
      <c r="F772" s="13">
        <f>100*C772/C$7</f>
        <v/>
      </c>
      <c r="G772" s="13">
        <f>100*D772/D$7</f>
        <v/>
      </c>
    </row>
    <row r="773">
      <c r="A773" s="11" t="n">
        <v>46000</v>
      </c>
      <c r="B773" s="12" t="n">
        <v>139.509933</v>
      </c>
      <c r="C773" s="12" t="n">
        <v>93.65512099999999</v>
      </c>
      <c r="D773" s="12" t="n">
        <v>550.559998</v>
      </c>
      <c r="E773" s="13">
        <f>100*B773/B$7</f>
        <v/>
      </c>
      <c r="F773" s="13">
        <f>100*C773/C$7</f>
        <v/>
      </c>
      <c r="G773" s="13">
        <f>100*D773/D$7</f>
        <v/>
      </c>
    </row>
    <row r="774">
      <c r="A774" s="11" t="n">
        <v>46001</v>
      </c>
      <c r="B774" s="12" t="n">
        <v>140.642578</v>
      </c>
      <c r="C774" s="12" t="n">
        <v>93.957138</v>
      </c>
      <c r="D774" s="12" t="n">
        <v>551.6099850000001</v>
      </c>
      <c r="E774" s="13">
        <f>100*B774/B$7</f>
        <v/>
      </c>
      <c r="F774" s="13">
        <f>100*C774/C$7</f>
        <v/>
      </c>
      <c r="G774" s="13">
        <f>100*D774/D$7</f>
        <v/>
      </c>
    </row>
    <row r="775">
      <c r="A775" s="11" t="n">
        <v>46002</v>
      </c>
      <c r="B775" s="12" t="n">
        <v>141.016815</v>
      </c>
      <c r="C775" s="12" t="n">
        <v>93.966881</v>
      </c>
      <c r="D775" s="12" t="n">
        <v>550.27002</v>
      </c>
      <c r="E775" s="13">
        <f>100*B775/B$7</f>
        <v/>
      </c>
      <c r="F775" s="13">
        <f>100*C775/C$7</f>
        <v/>
      </c>
      <c r="G775" s="13">
        <f>100*D775/D$7</f>
        <v/>
      </c>
    </row>
    <row r="776">
      <c r="A776" s="11" t="n">
        <v>46003</v>
      </c>
      <c r="B776" s="12" t="n">
        <v>139.628128</v>
      </c>
      <c r="C776" s="12" t="n">
        <v>93.713577</v>
      </c>
      <c r="D776" s="12" t="n">
        <v>545.51001</v>
      </c>
      <c r="E776" s="13">
        <f>100*B776/B$7</f>
        <v/>
      </c>
      <c r="F776" s="13">
        <f>100*C776/C$7</f>
        <v/>
      </c>
      <c r="G776" s="13">
        <f>100*D776/D$7</f>
        <v/>
      </c>
    </row>
    <row r="777">
      <c r="A777" s="11" t="n">
        <v>46006</v>
      </c>
      <c r="B777" s="12" t="n">
        <v>139.657684</v>
      </c>
      <c r="C777" s="12" t="n">
        <v>93.791504</v>
      </c>
      <c r="D777" s="12" t="n">
        <v>542.460022</v>
      </c>
      <c r="E777" s="13">
        <f>100*B777/B$7</f>
        <v/>
      </c>
      <c r="F777" s="13">
        <f>100*C777/C$7</f>
        <v/>
      </c>
      <c r="G777" s="13">
        <f>100*D777/D$7</f>
        <v/>
      </c>
    </row>
    <row r="778">
      <c r="A778" s="11" t="n">
        <v>46007</v>
      </c>
      <c r="B778" s="12" t="n">
        <v>139.08638</v>
      </c>
      <c r="C778" s="12" t="n">
        <v>94.054565</v>
      </c>
      <c r="D778" s="12" t="n">
        <v>534.869995</v>
      </c>
      <c r="E778" s="13">
        <f>100*B778/B$7</f>
        <v/>
      </c>
      <c r="F778" s="13">
        <f>100*C778/C$7</f>
        <v/>
      </c>
      <c r="G778" s="13">
        <f>100*D778/D$7</f>
        <v/>
      </c>
    </row>
    <row r="779">
      <c r="A779" s="11" t="n">
        <v>46008</v>
      </c>
      <c r="B779" s="12" t="n">
        <v>137.665604</v>
      </c>
      <c r="C779" s="12" t="n">
        <v>94.035072</v>
      </c>
      <c r="D779" s="12" t="n">
        <v>539.340027</v>
      </c>
      <c r="E779" s="13">
        <f>100*B779/B$7</f>
        <v/>
      </c>
      <c r="F779" s="13">
        <f>100*C779/C$7</f>
        <v/>
      </c>
      <c r="G779" s="13">
        <f>100*D779/D$7</f>
        <v/>
      </c>
    </row>
    <row r="780">
      <c r="A780" s="11" t="n">
        <v>46009</v>
      </c>
      <c r="B780" s="12" t="n">
        <v>138.808197</v>
      </c>
      <c r="C780" s="12" t="n">
        <v>94.278633</v>
      </c>
      <c r="D780" s="12" t="n">
        <v>538.909973</v>
      </c>
      <c r="E780" s="13">
        <f>100*B780/B$7</f>
        <v/>
      </c>
      <c r="F780" s="13">
        <f>100*C780/C$7</f>
        <v/>
      </c>
      <c r="G780" s="13">
        <f>100*D780/D$7</f>
        <v/>
      </c>
    </row>
    <row r="781">
      <c r="A781" s="11" t="n">
        <v>46010</v>
      </c>
      <c r="B781" s="12" t="n">
        <v>140.000443</v>
      </c>
      <c r="C781" s="12" t="n">
        <v>94.06652800000001</v>
      </c>
      <c r="D781" s="12" t="n">
        <v>542.200012</v>
      </c>
      <c r="E781" s="13">
        <f>100*B781/B$7</f>
        <v/>
      </c>
      <c r="F781" s="13">
        <f>100*C781/C$7</f>
        <v/>
      </c>
      <c r="G781" s="13">
        <f>100*D781/D$7</f>
        <v/>
      </c>
    </row>
    <row r="782">
      <c r="A782" s="11" t="n">
        <v>46013</v>
      </c>
      <c r="B782" s="12" t="n">
        <v>140.825089</v>
      </c>
      <c r="C782" s="12" t="n">
        <v>93.968796</v>
      </c>
      <c r="D782" s="12" t="n">
        <v>549.530029</v>
      </c>
      <c r="E782" s="13">
        <f>100*B782/B$7</f>
        <v/>
      </c>
      <c r="F782" s="13">
        <f>100*C782/C$7</f>
        <v/>
      </c>
      <c r="G782" s="13">
        <f>100*D782/D$7</f>
        <v/>
      </c>
    </row>
    <row r="783">
      <c r="A783" s="11" t="n">
        <v>46014</v>
      </c>
      <c r="B783" s="12" t="n">
        <v>141.540451</v>
      </c>
      <c r="C783" s="12" t="n">
        <v>93.929695</v>
      </c>
      <c r="D783" s="12" t="n">
        <v>554.47998</v>
      </c>
      <c r="E783" s="13">
        <f>100*B783/B$7</f>
        <v/>
      </c>
      <c r="F783" s="13">
        <f>100*C783/C$7</f>
        <v/>
      </c>
      <c r="G783" s="13">
        <f>100*D783/D$7</f>
        <v/>
      </c>
    </row>
    <row r="784">
      <c r="A784" s="11" t="n">
        <v>46015</v>
      </c>
      <c r="B784" s="12" t="n">
        <v>141.788834</v>
      </c>
      <c r="C784" s="12" t="n">
        <v>94.174049</v>
      </c>
      <c r="D784" s="12" t="n">
        <v>554.5</v>
      </c>
      <c r="E784" s="13">
        <f>100*B784/B$7</f>
        <v/>
      </c>
      <c r="F784" s="13">
        <f>100*C784/C$7</f>
        <v/>
      </c>
      <c r="G784" s="13">
        <f>100*D784/D$7</f>
        <v/>
      </c>
    </row>
    <row r="785">
      <c r="A785" s="11" t="n">
        <v>46016</v>
      </c>
      <c r="B785" s="12" t="n">
        <v>141.788834</v>
      </c>
      <c r="C785" s="12" t="n">
        <v>94.174049</v>
      </c>
      <c r="D785" s="12" t="n">
        <v>554.5</v>
      </c>
      <c r="E785" s="13">
        <f>100*B785/B$7</f>
        <v/>
      </c>
      <c r="F785" s="13">
        <f>100*C785/C$7</f>
        <v/>
      </c>
      <c r="G785" s="13">
        <f>100*D785/D$7</f>
        <v/>
      </c>
    </row>
    <row r="786">
      <c r="A786" s="11" t="n">
        <v>46017</v>
      </c>
      <c r="B786" s="12" t="n">
        <v>141.977585</v>
      </c>
      <c r="C786" s="12" t="n">
        <v>94.262024</v>
      </c>
      <c r="D786" s="12" t="n">
        <v>550.400024</v>
      </c>
      <c r="E786" s="13">
        <f>100*B786/B$7</f>
        <v/>
      </c>
      <c r="F786" s="13">
        <f>100*C786/C$7</f>
        <v/>
      </c>
      <c r="G786" s="13">
        <f>100*D786/D$7</f>
        <v/>
      </c>
    </row>
    <row r="787">
      <c r="A787" s="11" t="n">
        <v>46020</v>
      </c>
      <c r="B787" s="12" t="n">
        <v>141.490768</v>
      </c>
      <c r="C787" s="12" t="n">
        <v>94.39885700000001</v>
      </c>
      <c r="D787" s="12" t="n">
        <v>551.309998</v>
      </c>
      <c r="E787" s="13">
        <f>100*B787/B$7</f>
        <v/>
      </c>
      <c r="F787" s="13">
        <f>100*C787/C$7</f>
        <v/>
      </c>
      <c r="G787" s="13">
        <f>100*D787/D$7</f>
        <v/>
      </c>
    </row>
    <row r="788">
      <c r="A788" s="11" t="n">
        <v>46021</v>
      </c>
      <c r="B788" s="12" t="n">
        <v>141.490768</v>
      </c>
      <c r="C788" s="12" t="n">
        <v>94.301125</v>
      </c>
      <c r="D788" s="12" t="n">
        <v>554.280029</v>
      </c>
      <c r="E788" s="13">
        <f>100*B788/B$7</f>
        <v/>
      </c>
      <c r="F788" s="13">
        <f>100*C788/C$7</f>
        <v/>
      </c>
      <c r="G788" s="13">
        <f>100*D788/D$7</f>
        <v/>
      </c>
    </row>
    <row r="789">
      <c r="A789" s="11" t="n">
        <v>46022</v>
      </c>
      <c r="B789" s="12" t="n">
        <v>140.576706</v>
      </c>
      <c r="C789" s="12" t="n">
        <v>93.98835</v>
      </c>
      <c r="D789" s="12" t="n">
        <v>548.52002</v>
      </c>
      <c r="E789" s="13">
        <f>100*B789/B$7</f>
        <v/>
      </c>
      <c r="F789" s="13">
        <f>100*C789/C$7</f>
        <v/>
      </c>
      <c r="G789" s="13">
        <f>100*D789/D$7</f>
        <v/>
      </c>
    </row>
    <row r="790">
      <c r="A790" s="11" t="n">
        <v>46023</v>
      </c>
      <c r="B790" s="12" t="n">
        <v>140.576706</v>
      </c>
      <c r="C790" s="12" t="n">
        <v>93.98835</v>
      </c>
      <c r="D790" s="12" t="n">
        <v>548.52002</v>
      </c>
      <c r="E790" s="13">
        <f>100*B790/B$7</f>
        <v/>
      </c>
      <c r="F790" s="13">
        <f>100*C790/C$7</f>
        <v/>
      </c>
      <c r="G790" s="13">
        <f>100*D790/D$7</f>
        <v/>
      </c>
    </row>
    <row r="791">
      <c r="A791" s="11" t="n">
        <v>46024</v>
      </c>
      <c r="B791" s="12" t="n">
        <v>141.570251</v>
      </c>
      <c r="C791" s="12" t="n">
        <v>93.910141</v>
      </c>
      <c r="D791" s="12" t="n">
        <v>547.98999</v>
      </c>
      <c r="E791" s="13">
        <f>100*B791/B$7</f>
        <v/>
      </c>
      <c r="F791" s="13">
        <f>100*C791/C$7</f>
        <v/>
      </c>
      <c r="G791" s="13">
        <f>100*D791/D$7</f>
        <v/>
      </c>
    </row>
    <row r="792">
      <c r="A792" s="11" t="n">
        <v>46027</v>
      </c>
      <c r="B792" s="12" t="n">
        <v>142.752548</v>
      </c>
      <c r="C792" s="12" t="n">
        <v>94.19360399999999</v>
      </c>
      <c r="D792" s="12" t="n">
        <v>557.590027</v>
      </c>
      <c r="E792" s="13">
        <f>100*B792/B$7</f>
        <v/>
      </c>
      <c r="F792" s="13">
        <f>100*C792/C$7</f>
        <v/>
      </c>
      <c r="G792" s="13">
        <f>100*D792/D$7</f>
        <v/>
      </c>
    </row>
    <row r="793">
      <c r="A793" s="11" t="n">
        <v>46028</v>
      </c>
      <c r="B793" s="12" t="n">
        <v>143.418243</v>
      </c>
      <c r="C793" s="12" t="n">
        <v>94.125191</v>
      </c>
      <c r="D793" s="12" t="n">
        <v>555.51001</v>
      </c>
      <c r="E793" s="13">
        <f>100*B793/B$7</f>
        <v/>
      </c>
      <c r="F793" s="13">
        <f>100*C793/C$7</f>
        <v/>
      </c>
      <c r="G793" s="13">
        <f>100*D793/D$7</f>
        <v/>
      </c>
    </row>
    <row r="794">
      <c r="A794" s="11" t="n">
        <v>46029</v>
      </c>
      <c r="B794" s="12" t="n">
        <v>142.881714</v>
      </c>
      <c r="C794" s="12" t="n">
        <v>94.301125</v>
      </c>
      <c r="D794" s="12" t="n">
        <v>550.47998</v>
      </c>
      <c r="E794" s="13">
        <f>100*B794/B$7</f>
        <v/>
      </c>
      <c r="F794" s="13">
        <f>100*C794/C$7</f>
        <v/>
      </c>
      <c r="G794" s="13">
        <f>100*D794/D$7</f>
        <v/>
      </c>
    </row>
    <row r="795">
      <c r="A795" s="11" t="n">
        <v>46030</v>
      </c>
      <c r="B795" s="12" t="n">
        <v>142.84198</v>
      </c>
      <c r="C795" s="12" t="n">
        <v>94.01767</v>
      </c>
      <c r="D795" s="12" t="n">
        <v>555.3900149999999</v>
      </c>
      <c r="E795" s="13">
        <f>100*B795/B$7</f>
        <v/>
      </c>
      <c r="F795" s="13">
        <f>100*C795/C$7</f>
        <v/>
      </c>
      <c r="G795" s="13">
        <f>100*D795/D$7</f>
        <v/>
      </c>
    </row>
    <row r="796">
      <c r="A796" s="11" t="n">
        <v>46031</v>
      </c>
      <c r="B796" s="12" t="n">
        <v>143.815659</v>
      </c>
      <c r="C796" s="12" t="n">
        <v>94.125191</v>
      </c>
      <c r="D796" s="12" t="n">
        <v>559.820007</v>
      </c>
      <c r="E796" s="13">
        <f>100*B796/B$7</f>
        <v/>
      </c>
      <c r="F796" s="13">
        <f>100*C796/C$7</f>
        <v/>
      </c>
      <c r="G796" s="13">
        <f>100*D796/D$7</f>
        <v/>
      </c>
    </row>
    <row r="797">
      <c r="A797" s="11" t="n">
        <v>46034</v>
      </c>
      <c r="B797" s="12" t="n">
        <v>144.441589</v>
      </c>
      <c r="C797" s="12" t="n">
        <v>94.00788900000001</v>
      </c>
      <c r="D797" s="12" t="n">
        <v>563.659973</v>
      </c>
      <c r="E797" s="13">
        <f>100*B797/B$7</f>
        <v/>
      </c>
      <c r="F797" s="13">
        <f>100*C797/C$7</f>
        <v/>
      </c>
      <c r="G797" s="13">
        <f>100*D797/D$7</f>
        <v/>
      </c>
    </row>
    <row r="798">
      <c r="A798" s="11" t="n">
        <v>46035</v>
      </c>
      <c r="B798" s="12" t="n">
        <v>143.954758</v>
      </c>
      <c r="C798" s="12" t="n">
        <v>94.125191</v>
      </c>
      <c r="D798" s="12" t="n">
        <v>570.219971</v>
      </c>
      <c r="E798" s="13">
        <f>100*B798/B$7</f>
        <v/>
      </c>
      <c r="F798" s="13">
        <f>100*C798/C$7</f>
        <v/>
      </c>
      <c r="G798" s="13">
        <f>100*D798/D$7</f>
        <v/>
      </c>
    </row>
    <row r="799">
      <c r="A799" s="11" t="n">
        <v>46036</v>
      </c>
      <c r="B799" s="12" t="n">
        <v>143.775925</v>
      </c>
      <c r="C799" s="12" t="n">
        <v>94.320656</v>
      </c>
      <c r="D799" s="12" t="n">
        <v>573.549988</v>
      </c>
      <c r="E799" s="13">
        <f>100*B799/B$7</f>
        <v/>
      </c>
      <c r="F799" s="13">
        <f>100*C799/C$7</f>
        <v/>
      </c>
      <c r="G799" s="13">
        <f>100*D799/D$7</f>
        <v/>
      </c>
    </row>
    <row r="800">
      <c r="A800" s="11" t="n">
        <v>46037</v>
      </c>
      <c r="B800" s="12" t="n">
        <v>144.064041</v>
      </c>
      <c r="C800" s="12" t="n">
        <v>94.125191</v>
      </c>
      <c r="D800" s="12" t="n">
        <v>563.76001</v>
      </c>
      <c r="E800" s="13">
        <f>100*B800/B$7</f>
        <v/>
      </c>
      <c r="F800" s="13">
        <f>100*C800/C$7</f>
        <v/>
      </c>
      <c r="G800" s="13">
        <f>100*D800/D$7</f>
        <v/>
      </c>
    </row>
    <row r="801">
      <c r="A801" s="11" t="n">
        <v>46038</v>
      </c>
      <c r="B801" s="12" t="n">
        <v>144.064041</v>
      </c>
      <c r="C801" s="12" t="n">
        <v>93.763535</v>
      </c>
      <c r="D801" s="12" t="n">
        <v>562.919983</v>
      </c>
      <c r="E801" s="13">
        <f>100*B801/B$7</f>
        <v/>
      </c>
      <c r="F801" s="13">
        <f>100*C801/C$7</f>
        <v/>
      </c>
      <c r="G801" s="13">
        <f>100*D801/D$7</f>
        <v/>
      </c>
    </row>
    <row r="802">
      <c r="A802" s="11" t="n">
        <v>46041</v>
      </c>
      <c r="B802" s="12" t="n">
        <v>144.064041</v>
      </c>
      <c r="C802" s="12" t="n">
        <v>93.763535</v>
      </c>
      <c r="D802" s="12" t="n">
        <v>562.919983</v>
      </c>
      <c r="E802" s="13">
        <f>100*B802/B$7</f>
        <v/>
      </c>
      <c r="F802" s="13">
        <f>100*C802/C$7</f>
        <v/>
      </c>
      <c r="G802" s="13">
        <f>100*D802/D$7</f>
        <v/>
      </c>
    </row>
    <row r="803">
      <c r="A803" s="11" t="n">
        <v>46042</v>
      </c>
      <c r="B803" s="12" t="n">
        <v>141.441086</v>
      </c>
      <c r="C803" s="12" t="n">
        <v>93.392128</v>
      </c>
      <c r="D803" s="12" t="n">
        <v>571.349976</v>
      </c>
      <c r="E803" s="13">
        <f>100*B803/B$7</f>
        <v/>
      </c>
      <c r="F803" s="13">
        <f>100*C803/C$7</f>
        <v/>
      </c>
      <c r="G803" s="13">
        <f>100*D803/D$7</f>
        <v/>
      </c>
    </row>
    <row r="804">
      <c r="A804" s="11" t="n">
        <v>46043</v>
      </c>
      <c r="B804" s="12" t="n">
        <v>143.080429</v>
      </c>
      <c r="C804" s="12" t="n">
        <v>93.636467</v>
      </c>
      <c r="D804" s="12" t="n">
        <v>576.469971</v>
      </c>
      <c r="E804" s="13">
        <f>100*B804/B$7</f>
        <v/>
      </c>
      <c r="F804" s="13">
        <f>100*C804/C$7</f>
        <v/>
      </c>
      <c r="G804" s="13">
        <f>100*D804/D$7</f>
        <v/>
      </c>
    </row>
    <row r="805">
      <c r="A805" s="11" t="n">
        <v>46044</v>
      </c>
      <c r="B805" s="12" t="n">
        <v>143.875259</v>
      </c>
      <c r="C805" s="12" t="n">
        <v>93.62670900000001</v>
      </c>
      <c r="D805" s="12" t="n">
        <v>573.840027</v>
      </c>
      <c r="E805" s="13">
        <f>100*B805/B$7</f>
        <v/>
      </c>
      <c r="F805" s="13">
        <f>100*C805/C$7</f>
        <v/>
      </c>
      <c r="G805" s="13">
        <f>100*D805/D$7</f>
        <v/>
      </c>
    </row>
    <row r="806">
      <c r="A806" s="11" t="n">
        <v>46045</v>
      </c>
      <c r="B806" s="12" t="n">
        <v>144.223007</v>
      </c>
      <c r="C806" s="12" t="n">
        <v>93.783073</v>
      </c>
      <c r="D806" s="12" t="n">
        <v>584.119995</v>
      </c>
      <c r="E806" s="13">
        <f>100*B806/B$7</f>
        <v/>
      </c>
      <c r="F806" s="13">
        <f>100*C806/C$7</f>
        <v/>
      </c>
      <c r="G806" s="13">
        <f>100*D806/D$7</f>
        <v/>
      </c>
    </row>
    <row r="807">
      <c r="A807" s="11" t="n">
        <v>46048</v>
      </c>
      <c r="B807" s="12" t="n">
        <v>144.779388</v>
      </c>
      <c r="C807" s="12" t="n">
        <v>93.919922</v>
      </c>
      <c r="D807" s="12" t="n">
        <v>588.01001</v>
      </c>
      <c r="E807" s="13">
        <f>100*B807/B$7</f>
        <v/>
      </c>
      <c r="F807" s="13">
        <f>100*C807/C$7</f>
        <v/>
      </c>
      <c r="G807" s="13">
        <f>100*D807/D$7</f>
        <v/>
      </c>
    </row>
    <row r="808">
      <c r="A808" s="11" t="n">
        <v>46049</v>
      </c>
      <c r="B808" s="12" t="n">
        <v>146.110748</v>
      </c>
      <c r="C808" s="12" t="n">
        <v>93.81242399999999</v>
      </c>
      <c r="D808" s="12" t="n">
        <v>592.530029</v>
      </c>
      <c r="E808" s="13">
        <f>100*B808/B$7</f>
        <v/>
      </c>
      <c r="F808" s="13">
        <f>100*C808/C$7</f>
        <v/>
      </c>
      <c r="G808" s="13">
        <f>100*D808/D$7</f>
        <v/>
      </c>
    </row>
    <row r="809">
      <c r="A809" s="11" t="n">
        <v>46050</v>
      </c>
      <c r="B809" s="12" t="n">
        <v>145.892166</v>
      </c>
      <c r="C809" s="12" t="n">
        <v>93.73421500000001</v>
      </c>
      <c r="D809" s="12" t="n">
        <v>599.809998</v>
      </c>
      <c r="E809" s="13">
        <f>100*B809/B$7</f>
        <v/>
      </c>
      <c r="F809" s="13">
        <f>100*C809/C$7</f>
        <v/>
      </c>
      <c r="G809" s="13">
        <f>100*D809/D$7</f>
        <v/>
      </c>
    </row>
    <row r="810">
      <c r="A810" s="11" t="n">
        <v>46051</v>
      </c>
      <c r="B810" s="12" t="n">
        <v>145.753067</v>
      </c>
      <c r="C810" s="12" t="n">
        <v>93.831947</v>
      </c>
      <c r="D810" s="12" t="n">
        <v>610.130005</v>
      </c>
      <c r="E810" s="13">
        <f>100*B810/B$7</f>
        <v/>
      </c>
      <c r="F810" s="13">
        <f>100*C810/C$7</f>
        <v/>
      </c>
      <c r="G810" s="13">
        <f>100*D810/D$7</f>
        <v/>
      </c>
    </row>
    <row r="811">
      <c r="A811" s="11" t="n">
        <v>46052</v>
      </c>
      <c r="B811" s="12" t="n">
        <v>144.560822</v>
      </c>
      <c r="C811" s="12" t="n">
        <v>93.773323</v>
      </c>
      <c r="D811" s="12" t="n">
        <v>598.190002</v>
      </c>
      <c r="E811" s="13">
        <f>100*B811/B$7</f>
        <v/>
      </c>
      <c r="F811" s="13">
        <f>100*C811/C$7</f>
        <v/>
      </c>
      <c r="G811" s="13">
        <f>100*D811/D$7</f>
        <v/>
      </c>
    </row>
    <row r="812">
      <c r="A812" s="11" t="n">
        <v>46055</v>
      </c>
      <c r="B812" s="12" t="n">
        <v>145.365585</v>
      </c>
      <c r="C812" s="12" t="n">
        <v>93.588959</v>
      </c>
      <c r="D812" s="12" t="n">
        <v>575.23999</v>
      </c>
      <c r="E812" s="13">
        <f>100*B812/B$7</f>
        <v/>
      </c>
      <c r="F812" s="13">
        <f>100*C812/C$7</f>
        <v/>
      </c>
      <c r="G812" s="13">
        <f>100*D812/D$7</f>
        <v/>
      </c>
    </row>
    <row r="813">
      <c r="A813" s="11" t="n">
        <v>46056</v>
      </c>
      <c r="B813" s="12" t="n">
        <v>144.600555</v>
      </c>
      <c r="C813" s="12" t="n">
        <v>93.67720799999999</v>
      </c>
      <c r="D813" s="12" t="n">
        <v>587.200012</v>
      </c>
      <c r="E813" s="13">
        <f>100*B813/B$7</f>
        <v/>
      </c>
      <c r="F813" s="13">
        <f>100*C813/C$7</f>
        <v/>
      </c>
      <c r="G813" s="13">
        <f>100*D813/D$7</f>
        <v/>
      </c>
    </row>
    <row r="814">
      <c r="A814" s="11" t="n">
        <v>46057</v>
      </c>
      <c r="B814" s="12" t="n">
        <v>144.054108</v>
      </c>
      <c r="C814" s="12" t="n">
        <v>93.657608</v>
      </c>
      <c r="D814" s="12" t="n">
        <v>593.700012</v>
      </c>
      <c r="E814" s="13">
        <f>100*B814/B$7</f>
        <v/>
      </c>
      <c r="F814" s="13">
        <f>100*C814/C$7</f>
        <v/>
      </c>
      <c r="G814" s="13">
        <f>100*D814/D$7</f>
        <v/>
      </c>
    </row>
    <row r="815">
      <c r="A815" s="11" t="n">
        <v>46058</v>
      </c>
      <c r="B815" s="12" t="n">
        <v>142.285599</v>
      </c>
      <c r="C815" s="12" t="n">
        <v>94.20674099999999</v>
      </c>
      <c r="D815" s="12" t="n">
        <v>584.76001</v>
      </c>
      <c r="E815" s="13">
        <f>100*B815/B$7</f>
        <v/>
      </c>
      <c r="F815" s="13">
        <f>100*C815/C$7</f>
        <v/>
      </c>
      <c r="G815" s="13">
        <f>100*D815/D$7</f>
        <v/>
      </c>
    </row>
    <row r="816">
      <c r="A816" s="11" t="n">
        <v>46059</v>
      </c>
      <c r="B816" s="12" t="n">
        <v>145.335785</v>
      </c>
      <c r="C816" s="12" t="n">
        <v>94.20674099999999</v>
      </c>
      <c r="D816" s="12" t="n">
        <v>585.650024</v>
      </c>
      <c r="E816" s="13">
        <f>100*B816/B$7</f>
        <v/>
      </c>
      <c r="F816" s="13">
        <f>100*C816/C$7</f>
        <v/>
      </c>
      <c r="G816" s="13">
        <f>100*D816/D$7</f>
        <v/>
      </c>
    </row>
    <row r="817">
      <c r="A817" s="11" t="n">
        <v>46062</v>
      </c>
      <c r="B817" s="12" t="n">
        <v>146.458496</v>
      </c>
      <c r="C817" s="12" t="n">
        <v>94.226349</v>
      </c>
      <c r="D817" s="12" t="n">
        <v>591.6099850000001</v>
      </c>
      <c r="E817" s="13">
        <f>100*B817/B$7</f>
        <v/>
      </c>
      <c r="F817" s="13">
        <f>100*C817/C$7</f>
        <v/>
      </c>
      <c r="G817" s="13">
        <f>100*D817/D$7</f>
        <v/>
      </c>
    </row>
    <row r="818">
      <c r="A818" s="11" t="n">
        <v>46063</v>
      </c>
      <c r="B818" s="12" t="n">
        <v>146.359131</v>
      </c>
      <c r="C818" s="12" t="n">
        <v>94.638199</v>
      </c>
      <c r="D818" s="12" t="n">
        <v>587.909973</v>
      </c>
      <c r="E818" s="13">
        <f>100*B818/B$7</f>
        <v/>
      </c>
      <c r="F818" s="13">
        <f>100*C818/C$7</f>
        <v/>
      </c>
      <c r="G818" s="13">
        <f>100*D818/D$7</f>
        <v/>
      </c>
    </row>
    <row r="819">
      <c r="A819" s="11" t="n">
        <v>46064</v>
      </c>
      <c r="B819" s="12" t="n">
        <v>146.756561</v>
      </c>
      <c r="C819" s="12" t="n">
        <v>94.373436</v>
      </c>
      <c r="D819" s="12" t="n">
        <v>593.440002</v>
      </c>
      <c r="E819" s="13">
        <f>100*B819/B$7</f>
        <v/>
      </c>
      <c r="F819" s="13">
        <f>100*C819/C$7</f>
        <v/>
      </c>
      <c r="G819" s="13">
        <f>100*D819/D$7</f>
        <v/>
      </c>
    </row>
    <row r="820">
      <c r="A820" s="11" t="n">
        <v>46065</v>
      </c>
      <c r="B820" s="12" t="n">
        <v>144.709839</v>
      </c>
      <c r="C820" s="12" t="n">
        <v>94.952003</v>
      </c>
      <c r="D820" s="12" t="n">
        <v>583.090027</v>
      </c>
      <c r="E820" s="13">
        <f>100*B820/B$7</f>
        <v/>
      </c>
      <c r="F820" s="13">
        <f>100*C820/C$7</f>
        <v/>
      </c>
      <c r="G820" s="13">
        <f>100*D820/D$7</f>
        <v/>
      </c>
    </row>
    <row r="821">
      <c r="A821" s="11" t="n">
        <v>46066</v>
      </c>
      <c r="B821" s="12" t="n">
        <v>144.997971</v>
      </c>
      <c r="C821" s="12" t="n">
        <v>95.324623</v>
      </c>
      <c r="D821" s="12" t="n">
        <v>583.849976</v>
      </c>
      <c r="E821" s="13">
        <f>100*B821/B$7</f>
        <v/>
      </c>
      <c r="F821" s="13">
        <f>100*C821/C$7</f>
        <v/>
      </c>
      <c r="G821" s="13">
        <f>100*D821/D$7</f>
        <v/>
      </c>
    </row>
    <row r="822">
      <c r="A822" s="11" t="n">
        <v>46069</v>
      </c>
      <c r="B822" s="12" t="n">
        <v>144.997971</v>
      </c>
      <c r="C822" s="12" t="n">
        <v>95.324623</v>
      </c>
      <c r="D822" s="12" t="n">
        <v>583.849976</v>
      </c>
      <c r="E822" s="13">
        <f>100*B822/B$7</f>
        <v/>
      </c>
      <c r="F822" s="13">
        <f>100*C822/C$7</f>
        <v/>
      </c>
      <c r="G822" s="13">
        <f>100*D822/D$7</f>
        <v/>
      </c>
    </row>
    <row r="823">
      <c r="A823" s="11" t="n">
        <v>46070</v>
      </c>
      <c r="B823" s="12" t="n">
        <v>145.057587</v>
      </c>
      <c r="C823" s="12" t="n">
        <v>95.31482699999999</v>
      </c>
      <c r="D823" s="12" t="n">
        <v>577.789978</v>
      </c>
      <c r="E823" s="13">
        <f>100*B823/B$7</f>
        <v/>
      </c>
      <c r="F823" s="13">
        <f>100*C823/C$7</f>
        <v/>
      </c>
      <c r="G823" s="13">
        <f>100*D823/D$7</f>
        <v/>
      </c>
    </row>
    <row r="824">
      <c r="A824" s="11" t="n">
        <v>46071</v>
      </c>
      <c r="B824" s="12" t="n">
        <v>145.683517</v>
      </c>
      <c r="C824" s="12" t="n">
        <v>95.11869799999999</v>
      </c>
      <c r="D824" s="12" t="n">
        <v>592.669983</v>
      </c>
      <c r="E824" s="13">
        <f>100*B824/B$7</f>
        <v/>
      </c>
      <c r="F824" s="13">
        <f>100*C824/C$7</f>
        <v/>
      </c>
      <c r="G824" s="13">
        <f>100*D824/D$7</f>
        <v/>
      </c>
    </row>
    <row r="825">
      <c r="A825" s="11" t="n">
        <v>46072</v>
      </c>
      <c r="B825" s="12" t="n">
        <v>145.395386</v>
      </c>
      <c r="C825" s="12" t="n">
        <v>95.20695499999999</v>
      </c>
      <c r="D825" s="12" t="n">
        <v>598.909973</v>
      </c>
      <c r="E825" s="13">
        <f>100*B825/B$7</f>
        <v/>
      </c>
      <c r="F825" s="13">
        <f>100*C825/C$7</f>
        <v/>
      </c>
      <c r="G825" s="13">
        <f>100*D825/D$7</f>
        <v/>
      </c>
    </row>
    <row r="826">
      <c r="A826" s="11" t="n">
        <v>46073</v>
      </c>
      <c r="B826" s="12" t="n">
        <v>146.677063</v>
      </c>
      <c r="C826" s="12" t="n">
        <v>95.20695499999999</v>
      </c>
      <c r="D826" s="12" t="n">
        <v>602.320007</v>
      </c>
      <c r="E826" s="13">
        <f>100*B826/B$7</f>
        <v/>
      </c>
      <c r="F826" s="13">
        <f>100*C826/C$7</f>
        <v/>
      </c>
      <c r="G826" s="13">
        <f>100*D826/D$7</f>
        <v/>
      </c>
    </row>
    <row r="827">
      <c r="A827" s="11" t="n">
        <v>46076</v>
      </c>
      <c r="B827" s="12" t="n">
        <v>145.315903</v>
      </c>
      <c r="C827" s="12" t="n">
        <v>95.55017100000001</v>
      </c>
      <c r="D827" s="12" t="n">
        <v>603.070007</v>
      </c>
      <c r="E827" s="13">
        <f>100*B827/B$7</f>
        <v/>
      </c>
      <c r="F827" s="13">
        <f>100*C827/C$7</f>
        <v/>
      </c>
      <c r="G827" s="13">
        <f>100*D827/D$7</f>
        <v/>
      </c>
    </row>
    <row r="828">
      <c r="A828" s="11" t="n">
        <v>46077</v>
      </c>
      <c r="B828" s="12" t="n">
        <v>146.378998</v>
      </c>
      <c r="C828" s="12" t="n">
        <v>95.530556</v>
      </c>
      <c r="D828" s="12" t="n">
        <v>601.320007</v>
      </c>
      <c r="E828" s="13">
        <f>100*B828/B$7</f>
        <v/>
      </c>
      <c r="F828" s="13">
        <f>100*C828/C$7</f>
        <v/>
      </c>
      <c r="G828" s="13">
        <f>100*D828/D$7</f>
        <v/>
      </c>
    </row>
    <row r="829">
      <c r="A829" s="11" t="n">
        <v>46078</v>
      </c>
      <c r="B829" s="12" t="n">
        <v>147.690475</v>
      </c>
      <c r="C829" s="12" t="n">
        <v>95.45210299999999</v>
      </c>
      <c r="D829" s="12" t="n">
        <v>604.559998</v>
      </c>
      <c r="E829" s="13">
        <f>100*B829/B$7</f>
        <v/>
      </c>
      <c r="F829" s="13">
        <f>100*C829/C$7</f>
        <v/>
      </c>
      <c r="G829" s="13">
        <f>100*D829/D$7</f>
        <v/>
      </c>
    </row>
    <row r="830">
      <c r="A830" s="11" t="n">
        <v>46079</v>
      </c>
      <c r="B830" s="12" t="n">
        <v>146.994995</v>
      </c>
      <c r="C830" s="12" t="n">
        <v>95.707069</v>
      </c>
      <c r="D830" s="12" t="n">
        <v>603.22998</v>
      </c>
      <c r="E830" s="13">
        <f>100*B830/B$7</f>
        <v/>
      </c>
      <c r="F830" s="13">
        <f>100*C830/C$7</f>
        <v/>
      </c>
      <c r="G830" s="13">
        <f>100*D830/D$7</f>
        <v/>
      </c>
    </row>
    <row r="831">
      <c r="A831" s="11" t="n">
        <v>46080</v>
      </c>
      <c r="B831" s="12" t="n">
        <v>146.42868</v>
      </c>
      <c r="C831" s="12" t="n">
        <v>96.089493</v>
      </c>
      <c r="D831" s="12" t="n">
        <v>610.900024</v>
      </c>
      <c r="E831" s="13">
        <f>100*B831/B$7</f>
        <v/>
      </c>
      <c r="F831" s="13">
        <f>100*C831/C$7</f>
        <v/>
      </c>
      <c r="G831" s="13">
        <f>100*D831/D$7</f>
        <v/>
      </c>
    </row>
    <row r="832">
      <c r="A832" s="11" t="n">
        <v>46083</v>
      </c>
      <c r="B832" s="12" t="n">
        <v>145.604034</v>
      </c>
      <c r="C832" s="12" t="n">
        <v>95.51222199999999</v>
      </c>
      <c r="D832" s="12" t="n">
        <v>632.27002</v>
      </c>
      <c r="E832" s="13">
        <f>100*B832/B$7</f>
        <v/>
      </c>
      <c r="F832" s="13">
        <f>100*C832/C$7</f>
        <v/>
      </c>
      <c r="G832" s="13">
        <f>100*D832/D$7</f>
        <v/>
      </c>
    </row>
    <row r="833">
      <c r="A833" s="11" t="n">
        <v>46084</v>
      </c>
      <c r="B833" s="12" t="n">
        <v>142.752548</v>
      </c>
      <c r="C833" s="12" t="n">
        <v>95.404037</v>
      </c>
      <c r="D833" s="12" t="n">
        <v>647.72998</v>
      </c>
      <c r="E833" s="13">
        <f>100*B833/B$7</f>
        <v/>
      </c>
      <c r="F833" s="13">
        <f>100*C833/C$7</f>
        <v/>
      </c>
      <c r="G833" s="13">
        <f>100*D833/D$7</f>
        <v/>
      </c>
    </row>
    <row r="834">
      <c r="A834" s="11" t="n">
        <v>46085</v>
      </c>
      <c r="B834" s="12" t="n">
        <v>144.064041</v>
      </c>
      <c r="C834" s="12" t="n">
        <v>95.207336</v>
      </c>
      <c r="D834" s="12" t="n">
        <v>649.960022</v>
      </c>
      <c r="E834" s="13">
        <f>100*B834/B$7</f>
        <v/>
      </c>
      <c r="F834" s="13">
        <f>100*C834/C$7</f>
        <v/>
      </c>
      <c r="G834" s="13">
        <f>100*D834/D$7</f>
        <v/>
      </c>
    </row>
    <row r="835">
      <c r="A835" s="11" t="n">
        <v>46086</v>
      </c>
      <c r="B835" s="12" t="n">
        <v>142.394897</v>
      </c>
      <c r="C835" s="12" t="n">
        <v>94.912308</v>
      </c>
      <c r="D835" s="12" t="n">
        <v>672.450012</v>
      </c>
      <c r="E835" s="13">
        <f>100*B835/B$7</f>
        <v/>
      </c>
      <c r="F835" s="13">
        <f>100*C835/C$7</f>
        <v/>
      </c>
      <c r="G835" s="13">
        <f>100*D835/D$7</f>
        <v/>
      </c>
    </row>
    <row r="836">
      <c r="A836" s="11" t="n">
        <v>46087</v>
      </c>
      <c r="B836" s="12" t="n">
        <v>140.765457</v>
      </c>
      <c r="C836" s="12" t="n">
        <v>94.853302</v>
      </c>
      <c r="D836" s="12" t="n">
        <v>700.630005</v>
      </c>
      <c r="E836" s="13">
        <f>100*B836/B$7</f>
        <v/>
      </c>
      <c r="F836" s="13">
        <f>100*C836/C$7</f>
        <v/>
      </c>
      <c r="G836" s="13">
        <f>100*D836/D$7</f>
        <v/>
      </c>
    </row>
    <row r="837">
      <c r="A837" s="11" t="n">
        <v>46090</v>
      </c>
      <c r="B837" s="12" t="n">
        <v>142.126633</v>
      </c>
      <c r="C837" s="12" t="n">
        <v>95.148338</v>
      </c>
      <c r="D837" s="12" t="n">
        <v>710.469971</v>
      </c>
      <c r="E837" s="13">
        <f>100*B837/B$7</f>
        <v/>
      </c>
      <c r="F837" s="13">
        <f>100*C837/C$7</f>
        <v/>
      </c>
      <c r="G837" s="13">
        <f>100*D837/D$7</f>
        <v/>
      </c>
    </row>
    <row r="838">
      <c r="A838" s="11" t="n">
        <v>46091</v>
      </c>
      <c r="B838" s="12" t="n">
        <v>142.126633</v>
      </c>
      <c r="C838" s="12" t="n">
        <v>94.84348300000001</v>
      </c>
      <c r="D838" s="12" t="n">
        <v>675.02002</v>
      </c>
      <c r="E838" s="13">
        <f>100*B838/B$7</f>
        <v/>
      </c>
      <c r="F838" s="13">
        <f>100*C838/C$7</f>
        <v/>
      </c>
      <c r="G838" s="13">
        <f>100*D838/D$7</f>
        <v/>
      </c>
    </row>
    <row r="839">
      <c r="A839" s="11" t="n">
        <v>46092</v>
      </c>
      <c r="B839" s="12" t="n">
        <v>142.017334</v>
      </c>
      <c r="C839" s="12" t="n">
        <v>94.410759</v>
      </c>
      <c r="D839" s="12" t="n">
        <v>690.909973</v>
      </c>
      <c r="E839" s="13">
        <f>100*B839/B$7</f>
        <v/>
      </c>
      <c r="F839" s="13">
        <f>100*C839/C$7</f>
        <v/>
      </c>
      <c r="G839" s="13">
        <f>100*D839/D$7</f>
        <v/>
      </c>
    </row>
    <row r="840">
      <c r="A840" s="11" t="n">
        <v>46093</v>
      </c>
      <c r="B840" s="12" t="n">
        <v>139.543411</v>
      </c>
      <c r="C840" s="12" t="n">
        <v>94.10588799999999</v>
      </c>
      <c r="D840" s="12" t="n">
        <v>718.049988</v>
      </c>
      <c r="E840" s="13">
        <f>100*B840/B$7</f>
        <v/>
      </c>
      <c r="F840" s="13">
        <f>100*C840/C$7</f>
        <v/>
      </c>
      <c r="G840" s="13">
        <f>100*D840/D$7</f>
        <v/>
      </c>
    </row>
    <row r="841">
      <c r="A841" s="11" t="n">
        <v>46094</v>
      </c>
      <c r="B841" s="12" t="n">
        <v>138.639282</v>
      </c>
      <c r="C841" s="12" t="n">
        <v>94.007538</v>
      </c>
      <c r="D841" s="12" t="n">
        <v>722.8599850000001</v>
      </c>
      <c r="E841" s="13">
        <f>100*B841/B$7</f>
        <v/>
      </c>
      <c r="F841" s="13">
        <f>100*C841/C$7</f>
        <v/>
      </c>
      <c r="G841" s="13">
        <f>100*D841/D$7</f>
        <v/>
      </c>
    </row>
    <row r="842">
      <c r="A842" s="11" t="n">
        <v>46097</v>
      </c>
      <c r="B842" s="12" t="n">
        <v>140.566757</v>
      </c>
      <c r="C842" s="12" t="n">
        <v>94.43042</v>
      </c>
      <c r="D842" s="12" t="n">
        <v>708.6400149999999</v>
      </c>
      <c r="E842" s="13">
        <f>100*B842/B$7</f>
        <v/>
      </c>
      <c r="F842" s="13">
        <f>100*C842/C$7</f>
        <v/>
      </c>
      <c r="G842" s="13">
        <f>100*D842/D$7</f>
        <v/>
      </c>
    </row>
    <row r="843">
      <c r="A843" s="11" t="n">
        <v>46098</v>
      </c>
      <c r="B843" s="12" t="n">
        <v>140.964188</v>
      </c>
      <c r="C843" s="12" t="n">
        <v>94.597618</v>
      </c>
      <c r="D843" s="12" t="n">
        <v>721.059998</v>
      </c>
      <c r="E843" s="13">
        <f>100*B843/B$7</f>
        <v/>
      </c>
      <c r="F843" s="13">
        <f>100*C843/C$7</f>
        <v/>
      </c>
      <c r="G843" s="13">
        <f>100*D843/D$7</f>
        <v/>
      </c>
    </row>
    <row r="844">
      <c r="A844" s="11" t="n">
        <v>46099</v>
      </c>
      <c r="B844" s="12" t="n">
        <v>138.808197</v>
      </c>
      <c r="C844" s="12" t="n">
        <v>94.164894</v>
      </c>
      <c r="D844" s="12" t="n">
        <v>728.97998</v>
      </c>
      <c r="E844" s="13">
        <f>100*B844/B$7</f>
        <v/>
      </c>
      <c r="F844" s="13">
        <f>100*C844/C$7</f>
        <v/>
      </c>
      <c r="G844" s="13">
        <f>100*D844/D$7</f>
        <v/>
      </c>
    </row>
    <row r="845">
      <c r="A845" s="11" t="n">
        <v>46100</v>
      </c>
      <c r="B845" s="12" t="n">
        <v>138.480316</v>
      </c>
      <c r="C845" s="12" t="n">
        <v>94.15506000000001</v>
      </c>
      <c r="D845" s="12" t="n">
        <v>727.590027</v>
      </c>
      <c r="E845" s="13">
        <f>100*B845/B$7</f>
        <v/>
      </c>
      <c r="F845" s="13">
        <f>100*C845/C$7</f>
        <v/>
      </c>
      <c r="G845" s="13">
        <f>100*D845/D$7</f>
        <v/>
      </c>
    </row>
    <row r="846">
      <c r="A846" s="11" t="n">
        <v>46101</v>
      </c>
      <c r="B846" s="12" t="n">
        <v>135.658646</v>
      </c>
      <c r="C846" s="12" t="n">
        <v>93.309296</v>
      </c>
      <c r="D846" s="12" t="n">
        <v>736.150024</v>
      </c>
      <c r="E846" s="13">
        <f>100*B846/B$7</f>
        <v/>
      </c>
      <c r="F846" s="13">
        <f>100*C846/C$7</f>
        <v/>
      </c>
      <c r="G846" s="13">
        <f>100*D846/D$7</f>
        <v/>
      </c>
    </row>
    <row r="847">
      <c r="A847" s="11" t="n">
        <v>46104</v>
      </c>
      <c r="B847" s="12" t="n">
        <v>137.914001</v>
      </c>
      <c r="C847" s="12" t="n">
        <v>93.604332</v>
      </c>
      <c r="D847" s="12" t="n">
        <v>694.030029</v>
      </c>
      <c r="E847" s="13">
        <f>100*B847/B$7</f>
        <v/>
      </c>
      <c r="F847" s="13">
        <f>100*C847/C$7</f>
        <v/>
      </c>
      <c r="G847" s="13">
        <f>100*D847/D$7</f>
        <v/>
      </c>
    </row>
    <row r="848">
      <c r="A848" s="11" t="n">
        <v>46105</v>
      </c>
      <c r="B848" s="12" t="n">
        <v>137.148956</v>
      </c>
      <c r="C848" s="12" t="n">
        <v>93.289627</v>
      </c>
      <c r="D848" s="12" t="n">
        <v>711.340027</v>
      </c>
      <c r="E848" s="13">
        <f>100*B848/B$7</f>
        <v/>
      </c>
      <c r="F848" s="13">
        <f>100*C848/C$7</f>
        <v/>
      </c>
      <c r="G848" s="13">
        <f>100*D848/D$7</f>
        <v/>
      </c>
    </row>
    <row r="849">
      <c r="A849" s="11" t="n">
        <v>46106</v>
      </c>
      <c r="B849" s="12" t="n">
        <v>138.440567</v>
      </c>
      <c r="C849" s="12" t="n">
        <v>93.78134900000001</v>
      </c>
      <c r="D849" s="12" t="n">
        <v>701.330017</v>
      </c>
      <c r="E849" s="13">
        <f>100*B849/B$7</f>
        <v/>
      </c>
      <c r="F849" s="13">
        <f>100*C849/C$7</f>
        <v/>
      </c>
      <c r="G849" s="13">
        <f>100*D849/D$7</f>
        <v/>
      </c>
    </row>
    <row r="850">
      <c r="A850" s="11" t="n">
        <v>46107</v>
      </c>
      <c r="B850" s="12" t="n">
        <v>135.499695</v>
      </c>
      <c r="C850" s="12" t="n">
        <v>93.02409400000001</v>
      </c>
      <c r="D850" s="12" t="n">
        <v>720.119995</v>
      </c>
      <c r="E850" s="13">
        <f>100*B850/B$7</f>
        <v/>
      </c>
      <c r="F850" s="13">
        <f>100*C850/C$7</f>
        <v/>
      </c>
      <c r="G850" s="13">
        <f>100*D850/D$7</f>
        <v/>
      </c>
    </row>
    <row r="851">
      <c r="A851" s="11" t="n">
        <v>46108</v>
      </c>
      <c r="B851" s="12" t="n">
        <v>133.681503</v>
      </c>
      <c r="C851" s="12" t="n">
        <v>93.033936</v>
      </c>
      <c r="D851" s="12" t="n">
        <v>739.22998</v>
      </c>
      <c r="E851" s="13">
        <f>100*B851/B$7</f>
        <v/>
      </c>
      <c r="F851" s="13">
        <f>100*C851/C$7</f>
        <v/>
      </c>
      <c r="G851" s="13">
        <f>100*D851/D$7</f>
        <v/>
      </c>
    </row>
    <row r="852">
      <c r="A852" s="11" t="n">
        <v>46111</v>
      </c>
      <c r="B852" s="12" t="n">
        <v>133.323822</v>
      </c>
      <c r="C852" s="12" t="n">
        <v>93.69283299999999</v>
      </c>
      <c r="D852" s="12" t="n">
        <v>749.150024</v>
      </c>
      <c r="E852" s="13">
        <f>100*B852/B$7</f>
        <v/>
      </c>
      <c r="F852" s="13">
        <f>100*C852/C$7</f>
        <v/>
      </c>
      <c r="G852" s="13">
        <f>100*D852/D$7</f>
        <v/>
      </c>
    </row>
    <row r="853">
      <c r="A853" s="11" t="n">
        <v>46112</v>
      </c>
      <c r="B853" s="12" t="n">
        <v>137.476837</v>
      </c>
      <c r="C853" s="12" t="n">
        <v>93.860039</v>
      </c>
      <c r="D853" s="12" t="n">
        <v>745.179993</v>
      </c>
      <c r="E853" s="13">
        <f>100*B853/B$7</f>
        <v/>
      </c>
      <c r="F853" s="13">
        <f>100*C853/C$7</f>
        <v/>
      </c>
      <c r="G853" s="13">
        <f>100*D853/D$7</f>
        <v/>
      </c>
    </row>
    <row r="854">
      <c r="A854" s="11" t="n">
        <v>46113</v>
      </c>
      <c r="B854" s="12" t="n">
        <v>138.768448</v>
      </c>
      <c r="C854" s="12" t="n">
        <v>93.77813</v>
      </c>
      <c r="D854" s="12" t="n">
        <v>738.659973</v>
      </c>
      <c r="E854" s="13">
        <f>100*B854/B$7</f>
        <v/>
      </c>
      <c r="F854" s="13">
        <f>100*C854/C$7</f>
        <v/>
      </c>
      <c r="G854" s="13">
        <f>100*D854/D$7</f>
        <v/>
      </c>
    </row>
    <row r="855">
      <c r="A855" s="11" t="n">
        <v>46114</v>
      </c>
      <c r="B855" s="12" t="n">
        <v>138.539932</v>
      </c>
      <c r="C855" s="12" t="n">
        <v>93.995216</v>
      </c>
      <c r="D855" s="12" t="n">
        <v>771.830017</v>
      </c>
      <c r="E855" s="13">
        <f>100*B855/B$7</f>
        <v/>
      </c>
      <c r="F855" s="13">
        <f>100*C855/C$7</f>
        <v/>
      </c>
      <c r="G855" s="13">
        <f>100*D855/D$7</f>
        <v/>
      </c>
    </row>
    <row r="856">
      <c r="A856" s="11" t="n">
        <v>46115</v>
      </c>
      <c r="B856" s="12" t="n">
        <v>138.539932</v>
      </c>
      <c r="C856" s="12" t="n">
        <v>93.995216</v>
      </c>
      <c r="D856" s="12" t="n">
        <v>771.830017</v>
      </c>
      <c r="E856" s="13">
        <f>100*B856/B$7</f>
        <v/>
      </c>
      <c r="F856" s="13">
        <f>100*C856/C$7</f>
        <v/>
      </c>
      <c r="G856" s="13">
        <f>100*D856/D$7</f>
        <v/>
      </c>
    </row>
    <row r="857">
      <c r="A857" s="11" t="n">
        <v>46118</v>
      </c>
      <c r="B857" s="12" t="n">
        <v>139.245346</v>
      </c>
      <c r="C857" s="12" t="n">
        <v>93.748535</v>
      </c>
      <c r="D857" s="12" t="n">
        <v>776.580017</v>
      </c>
      <c r="E857" s="13">
        <f>100*B857/B$7</f>
        <v/>
      </c>
      <c r="F857" s="13">
        <f>100*C857/C$7</f>
        <v/>
      </c>
      <c r="G857" s="13">
        <f>100*D857/D$7</f>
        <v/>
      </c>
    </row>
    <row r="858">
      <c r="A858" s="11" t="n">
        <v>46119</v>
      </c>
      <c r="B858" s="12" t="n">
        <v>139.295029</v>
      </c>
      <c r="C858" s="12" t="n">
        <v>93.985336</v>
      </c>
      <c r="D858" s="12" t="n">
        <v>777.090027</v>
      </c>
      <c r="E858" s="13">
        <f>100*B858/B$7</f>
        <v/>
      </c>
      <c r="F858" s="13">
        <f>100*C858/C$7</f>
        <v/>
      </c>
      <c r="G858" s="13">
        <f>100*D858/D$7</f>
        <v/>
      </c>
    </row>
    <row r="859">
      <c r="A859" s="11" t="n">
        <v>46120</v>
      </c>
      <c r="B859" s="12" t="n">
        <v>143.686493</v>
      </c>
      <c r="C859" s="12" t="n">
        <v>94.19255800000001</v>
      </c>
      <c r="D859" s="12" t="n">
        <v>708.630005</v>
      </c>
      <c r="E859" s="13">
        <f>100*B859/B$7</f>
        <v/>
      </c>
      <c r="F859" s="13">
        <f>100*C859/C$7</f>
        <v/>
      </c>
      <c r="G859" s="13">
        <f>100*D859/D$7</f>
        <v/>
      </c>
    </row>
    <row r="860">
      <c r="A860" s="11" t="n">
        <v>46121</v>
      </c>
      <c r="B860" s="12" t="n">
        <v>144.133591</v>
      </c>
      <c r="C860" s="12" t="n">
        <v>94.162949</v>
      </c>
      <c r="D860" s="12" t="n">
        <v>714.26001</v>
      </c>
      <c r="E860" s="13">
        <f>100*B860/B$7</f>
        <v/>
      </c>
      <c r="F860" s="13">
        <f>100*C860/C$7</f>
        <v/>
      </c>
      <c r="G860" s="13">
        <f>100*D860/D$7</f>
        <v/>
      </c>
    </row>
    <row r="861">
      <c r="A861" s="11" t="n">
        <v>46122</v>
      </c>
      <c r="B861" s="12" t="n">
        <v>144.103775</v>
      </c>
      <c r="C861" s="12" t="n">
        <v>94.005066</v>
      </c>
      <c r="D861" s="12" t="n">
        <v>704.669983</v>
      </c>
      <c r="E861" s="13">
        <f>100*B861/B$7</f>
        <v/>
      </c>
      <c r="F861" s="13">
        <f>100*C861/C$7</f>
        <v/>
      </c>
      <c r="G861" s="13">
        <f>100*D861/D$7</f>
        <v/>
      </c>
    </row>
    <row r="862">
      <c r="A862" s="11" t="n">
        <v>46125</v>
      </c>
      <c r="B862" s="12" t="n">
        <v>145.464951</v>
      </c>
      <c r="C862" s="12" t="n">
        <v>94.21229599999999</v>
      </c>
      <c r="D862" s="12" t="n">
        <v>715.530029</v>
      </c>
      <c r="E862" s="13">
        <f>100*B862/B$7</f>
        <v/>
      </c>
      <c r="F862" s="13">
        <f>100*C862/C$7</f>
        <v/>
      </c>
      <c r="G862" s="13">
        <f>100*D862/D$7</f>
        <v/>
      </c>
    </row>
    <row r="863">
      <c r="A863" s="11" t="n">
        <v>46126</v>
      </c>
      <c r="B863" s="12" t="n">
        <v>147.153961</v>
      </c>
      <c r="C863" s="12" t="n">
        <v>94.51816599999999</v>
      </c>
      <c r="D863" s="12" t="n">
        <v>698.130005</v>
      </c>
      <c r="E863" s="13">
        <f>100*B863/B$7</f>
        <v/>
      </c>
      <c r="F863" s="13">
        <f>100*C863/C$7</f>
        <v/>
      </c>
      <c r="G863" s="13">
        <f>100*D863/D$7</f>
        <v/>
      </c>
    </row>
    <row r="864">
      <c r="A864" s="11" t="n">
        <v>46127</v>
      </c>
      <c r="B864" s="12" t="n">
        <v>147.839523</v>
      </c>
      <c r="C864" s="12" t="n">
        <v>94.31096599999999</v>
      </c>
      <c r="D864" s="12" t="n">
        <v>700.559998</v>
      </c>
      <c r="E864" s="13">
        <f>100*B864/B$7</f>
        <v/>
      </c>
      <c r="F864" s="13">
        <f>100*C864/C$7</f>
        <v/>
      </c>
      <c r="G864" s="13">
        <f>100*D864/D$7</f>
        <v/>
      </c>
    </row>
    <row r="865">
      <c r="A865" s="11" t="n">
        <v>46128</v>
      </c>
      <c r="B865" s="12" t="n">
        <v>147.938858</v>
      </c>
      <c r="C865" s="12" t="n">
        <v>94.143219</v>
      </c>
      <c r="D865" s="12" t="n">
        <v>710.700012</v>
      </c>
      <c r="E865" s="13">
        <f>100*B865/B$7</f>
        <v/>
      </c>
      <c r="F865" s="13">
        <f>100*C865/C$7</f>
        <v/>
      </c>
      <c r="G865" s="13">
        <f>100*D865/D$7</f>
        <v/>
      </c>
    </row>
    <row r="866">
      <c r="A866" s="11" t="n">
        <v>46129</v>
      </c>
      <c r="B866" s="12" t="n">
        <v>149.925949</v>
      </c>
      <c r="C866" s="12" t="n">
        <v>94.656311</v>
      </c>
      <c r="D866" s="12" t="n">
        <v>679.099976</v>
      </c>
      <c r="E866" s="13">
        <f>100*B866/B$7</f>
        <v/>
      </c>
      <c r="F866" s="13">
        <f>100*C866/C$7</f>
        <v/>
      </c>
      <c r="G866" s="13">
        <f>100*D866/D$7</f>
        <v/>
      </c>
    </row>
    <row r="867">
      <c r="A867" s="11" t="n">
        <v>46132</v>
      </c>
      <c r="B867" s="12" t="n">
        <v>149.439117</v>
      </c>
      <c r="C867" s="12" t="n">
        <v>94.567505</v>
      </c>
      <c r="D867" s="12" t="n">
        <v>695.340027</v>
      </c>
      <c r="E867" s="13">
        <f>100*B867/B$7</f>
        <v/>
      </c>
      <c r="F867" s="13">
        <f>100*C867/C$7</f>
        <v/>
      </c>
      <c r="G867" s="13">
        <f>100*D867/D$7</f>
        <v/>
      </c>
    </row>
    <row r="868">
      <c r="A868" s="11" t="n">
        <v>46133</v>
      </c>
      <c r="B868" s="12" t="n">
        <v>147.779907</v>
      </c>
      <c r="C868" s="12" t="n">
        <v>94.15308400000001</v>
      </c>
      <c r="D868" s="12" t="n">
        <v>705.150024</v>
      </c>
      <c r="E868" s="13">
        <f>100*B868/B$7</f>
        <v/>
      </c>
      <c r="F868" s="13">
        <f>100*C868/C$7</f>
        <v/>
      </c>
      <c r="G868" s="13">
        <f>100*D868/D$7</f>
        <v/>
      </c>
    </row>
    <row r="869">
      <c r="A869" s="11" t="n">
        <v>46134</v>
      </c>
      <c r="B869" s="12" t="n">
        <v>149.200668</v>
      </c>
      <c r="C869" s="12" t="n">
        <v>94.25174699999999</v>
      </c>
      <c r="D869" s="12" t="n">
        <v>720.849976</v>
      </c>
      <c r="E869" s="13">
        <f>100*B869/B$7</f>
        <v/>
      </c>
      <c r="F869" s="13">
        <f>100*C869/C$7</f>
        <v/>
      </c>
      <c r="G869" s="13">
        <f>100*D869/D$7</f>
        <v/>
      </c>
    </row>
    <row r="870">
      <c r="A870" s="11" t="n">
        <v>46135</v>
      </c>
      <c r="B870" s="12" t="n">
        <v>148.286606</v>
      </c>
      <c r="C870" s="12" t="n">
        <v>94.103752</v>
      </c>
      <c r="D870" s="12" t="n">
        <v>731.119995</v>
      </c>
      <c r="E870" s="13">
        <f>100*B870/B$7</f>
        <v/>
      </c>
      <c r="F870" s="13">
        <f>100*C870/C$7</f>
        <v/>
      </c>
      <c r="G870" s="13">
        <f>100*D870/D$7</f>
        <v/>
      </c>
    </row>
    <row r="871">
      <c r="A871" s="11" t="n">
        <v>46136</v>
      </c>
      <c r="B871" s="12" t="n">
        <v>149.518616</v>
      </c>
      <c r="C871" s="12" t="n">
        <v>94.291222</v>
      </c>
      <c r="D871" s="12" t="n">
        <v>728.659973</v>
      </c>
      <c r="E871" s="13">
        <f>100*B871/B$7</f>
        <v/>
      </c>
      <c r="F871" s="13">
        <f>100*C871/C$7</f>
        <v/>
      </c>
      <c r="G871" s="13">
        <f>100*D871/D$7</f>
        <v/>
      </c>
    </row>
    <row r="872">
      <c r="A872" s="11" t="n">
        <v>46139</v>
      </c>
      <c r="B872" s="12" t="n">
        <v>149.538467</v>
      </c>
      <c r="C872" s="12" t="n">
        <v>94.07414199999999</v>
      </c>
      <c r="D872" s="12" t="n">
        <v>738.190002</v>
      </c>
      <c r="E872" s="13">
        <f>100*B872/B$7</f>
        <v/>
      </c>
      <c r="F872" s="13">
        <f>100*C872/C$7</f>
        <v/>
      </c>
      <c r="G872" s="13">
        <f>100*D872/D$7</f>
        <v/>
      </c>
    </row>
    <row r="873">
      <c r="A873" s="11" t="n">
        <v>46140</v>
      </c>
      <c r="B873" s="12" t="n">
        <v>148.654221</v>
      </c>
      <c r="C873" s="12" t="n">
        <v>93.985336</v>
      </c>
      <c r="D873" s="12" t="n">
        <v>746.679993</v>
      </c>
      <c r="E873" s="13">
        <f>100*B873/B$7</f>
        <v/>
      </c>
      <c r="F873" s="13">
        <f>100*C873/C$7</f>
        <v/>
      </c>
      <c r="G873" s="13">
        <f>100*D873/D$7</f>
        <v/>
      </c>
    </row>
    <row r="874">
      <c r="A874" s="11" t="n">
        <v>46141</v>
      </c>
      <c r="B874" s="12" t="n">
        <v>148.177322</v>
      </c>
      <c r="C874" s="12" t="n">
        <v>93.541321</v>
      </c>
      <c r="D874" s="12" t="n">
        <v>770.679993</v>
      </c>
      <c r="E874" s="13">
        <f>100*B874/B$7</f>
        <v/>
      </c>
      <c r="F874" s="13">
        <f>100*C874/C$7</f>
        <v/>
      </c>
      <c r="G874" s="13">
        <f>100*D874/D$7</f>
        <v/>
      </c>
    </row>
    <row r="875">
      <c r="A875" s="11" t="n">
        <v>46142</v>
      </c>
      <c r="B875" s="12" t="n">
        <v>150.561813</v>
      </c>
      <c r="C875" s="12" t="n">
        <v>93.718925</v>
      </c>
      <c r="D875" s="12" t="n">
        <v>768.429993</v>
      </c>
      <c r="E875" s="13">
        <f>100*B875/B$7</f>
        <v/>
      </c>
      <c r="F875" s="13">
        <f>100*C875/C$7</f>
        <v/>
      </c>
      <c r="G875" s="13">
        <f>100*D875/D$7</f>
        <v/>
      </c>
    </row>
    <row r="876">
      <c r="A876" s="11" t="n">
        <v>46143</v>
      </c>
      <c r="B876" s="12" t="n">
        <v>150.681061</v>
      </c>
      <c r="C876" s="12" t="n">
        <v>93.790199</v>
      </c>
      <c r="D876" s="12" t="n">
        <v>760.349976</v>
      </c>
      <c r="E876" s="13">
        <f>100*B876/B$7</f>
        <v/>
      </c>
      <c r="F876" s="13">
        <f>100*C876/C$7</f>
        <v/>
      </c>
      <c r="G876" s="13">
        <f>100*D876/D$7</f>
        <v/>
      </c>
    </row>
    <row r="877">
      <c r="A877" s="11" t="n">
        <v>46146</v>
      </c>
      <c r="B877" s="12" t="n">
        <v>149.727249</v>
      </c>
      <c r="C877" s="12" t="n">
        <v>93.443718</v>
      </c>
      <c r="D877" s="12" t="n">
        <v>777.809998</v>
      </c>
      <c r="E877" s="13">
        <f>100*B877/B$7</f>
        <v/>
      </c>
      <c r="F877" s="13">
        <f>100*C877/C$7</f>
        <v/>
      </c>
      <c r="G877" s="13">
        <f>100*D877/D$7</f>
        <v/>
      </c>
    </row>
    <row r="878">
      <c r="A878" s="11" t="n">
        <v>46147</v>
      </c>
      <c r="B878" s="12" t="n">
        <v>151.366608</v>
      </c>
      <c r="C878" s="12" t="n">
        <v>93.582314</v>
      </c>
      <c r="D878" s="12" t="n">
        <v>765.1400149999999</v>
      </c>
      <c r="E878" s="13">
        <f>100*B878/B$7</f>
        <v/>
      </c>
      <c r="F878" s="13">
        <f>100*C878/C$7</f>
        <v/>
      </c>
      <c r="G878" s="13">
        <f>100*D878/D$7</f>
        <v/>
      </c>
    </row>
    <row r="879">
      <c r="A879" s="11" t="n">
        <v>46148</v>
      </c>
      <c r="B879" s="12" t="n">
        <v>154.396912</v>
      </c>
      <c r="C879" s="12" t="n">
        <v>94.0476</v>
      </c>
      <c r="D879" s="12" t="n">
        <v>735.099976</v>
      </c>
      <c r="E879" s="13">
        <f>100*B879/B$7</f>
        <v/>
      </c>
      <c r="F879" s="13">
        <f>100*C879/C$7</f>
        <v/>
      </c>
      <c r="G879" s="13">
        <f>100*D879/D$7</f>
        <v/>
      </c>
    </row>
    <row r="880">
      <c r="A880" s="11" t="n">
        <v>46149</v>
      </c>
      <c r="B880" s="12" t="n">
        <v>152.936386</v>
      </c>
      <c r="C880" s="12" t="n">
        <v>93.76050600000001</v>
      </c>
      <c r="D880" s="12" t="n">
        <v>727.700012</v>
      </c>
      <c r="E880" s="13">
        <f>100*B880/B$7</f>
        <v/>
      </c>
      <c r="F880" s="13">
        <f>100*C880/C$7</f>
        <v/>
      </c>
      <c r="G880" s="13">
        <f>100*D880/D$7</f>
        <v/>
      </c>
    </row>
    <row r="881">
      <c r="A881" s="11" t="n">
        <v>46150</v>
      </c>
      <c r="B881" s="12" t="n">
        <v>154.377045</v>
      </c>
      <c r="C881" s="12" t="n">
        <v>94.008003</v>
      </c>
      <c r="D881" s="12" t="n">
        <v>732.210022</v>
      </c>
      <c r="E881" s="13">
        <f>100*B881/B$7</f>
        <v/>
      </c>
      <c r="F881" s="13">
        <f>100*C881/C$7</f>
        <v/>
      </c>
      <c r="G881" s="13">
        <f>100*D881/D$7</f>
        <v/>
      </c>
    </row>
    <row r="882">
      <c r="A882" s="11" t="n">
        <v>46153</v>
      </c>
      <c r="B882" s="12" t="n">
        <v>154.526077</v>
      </c>
      <c r="C882" s="12" t="n">
        <v>93.691208</v>
      </c>
      <c r="D882" s="12" t="n">
        <v>744.5</v>
      </c>
      <c r="E882" s="13">
        <f>100*B882/B$7</f>
        <v/>
      </c>
      <c r="F882" s="13">
        <f>100*C882/C$7</f>
        <v/>
      </c>
      <c r="G882" s="13">
        <f>100*D882/D$7</f>
        <v/>
      </c>
    </row>
    <row r="883">
      <c r="A883" s="11" t="n">
        <v>46154</v>
      </c>
      <c r="B883" s="12" t="n">
        <v>153.651749</v>
      </c>
      <c r="C883" s="12" t="n">
        <v>93.374413</v>
      </c>
      <c r="D883" s="12" t="n">
        <v>756.900024</v>
      </c>
      <c r="E883" s="13">
        <f>100*B883/B$7</f>
        <v/>
      </c>
      <c r="F883" s="13">
        <f>100*C883/C$7</f>
        <v/>
      </c>
      <c r="G883" s="13">
        <f>100*D883/D$7</f>
        <v/>
      </c>
    </row>
    <row r="884">
      <c r="A884" s="11" t="n">
        <v>46155</v>
      </c>
      <c r="B884" s="12" t="n">
        <v>154.87381</v>
      </c>
      <c r="C884" s="12" t="n">
        <v>93.374413</v>
      </c>
      <c r="D884" s="12" t="n">
        <v>749.75</v>
      </c>
      <c r="E884" s="13">
        <f>100*B884/B$7</f>
        <v/>
      </c>
      <c r="F884" s="13">
        <f>100*C884/C$7</f>
        <v/>
      </c>
      <c r="G884" s="13">
        <f>100*D884/D$7</f>
        <v/>
      </c>
    </row>
    <row r="885">
      <c r="A885" s="11" t="n">
        <v>46156</v>
      </c>
      <c r="B885" s="12" t="n">
        <v>155.63884</v>
      </c>
      <c r="C885" s="12" t="n">
        <v>93.31501799999999</v>
      </c>
      <c r="D885" s="12" t="n">
        <v>743.169983</v>
      </c>
      <c r="E885" s="13">
        <f>100*B885/B$7</f>
        <v/>
      </c>
      <c r="F885" s="13">
        <f>100*C885/C$7</f>
        <v/>
      </c>
      <c r="G885" s="13">
        <f>100*D885/D$7</f>
        <v/>
      </c>
    </row>
    <row r="886">
      <c r="A886" s="11" t="n">
        <v>46157</v>
      </c>
      <c r="B886" s="12" t="n">
        <v>153.085434</v>
      </c>
      <c r="C886" s="12" t="n">
        <v>92.572548</v>
      </c>
      <c r="D886" s="12" t="n">
        <v>751.159973</v>
      </c>
      <c r="E886" s="13">
        <f>100*B886/B$7</f>
        <v/>
      </c>
      <c r="F886" s="13">
        <f>100*C886/C$7</f>
        <v/>
      </c>
      <c r="G886" s="13">
        <f>100*D886/D$7</f>
        <v/>
      </c>
    </row>
    <row r="887">
      <c r="A887" s="11" t="n">
        <v>46160</v>
      </c>
      <c r="B887" s="12" t="n">
        <v>153.353699</v>
      </c>
      <c r="C887" s="12" t="n">
        <v>92.532944</v>
      </c>
      <c r="D887" s="12" t="n">
        <v>765.349976</v>
      </c>
      <c r="E887" s="13">
        <f>100*B887/B$7</f>
        <v/>
      </c>
      <c r="F887" s="13">
        <f>100*C887/C$7</f>
        <v/>
      </c>
      <c r="G887" s="13">
        <f>100*D887/D$7</f>
        <v/>
      </c>
    </row>
    <row r="888">
      <c r="A888" s="11" t="n">
        <v>46161</v>
      </c>
      <c r="B888" s="12" t="n">
        <v>152.161423</v>
      </c>
      <c r="C888" s="12" t="n">
        <v>92.176552</v>
      </c>
      <c r="D888" s="12" t="n">
        <v>763.150024</v>
      </c>
      <c r="E888" s="13">
        <f>100*B888/B$7</f>
        <v/>
      </c>
      <c r="F888" s="13">
        <f>100*C888/C$7</f>
        <v/>
      </c>
      <c r="G888" s="13">
        <f>100*D888/D$7</f>
        <v/>
      </c>
    </row>
    <row r="889">
      <c r="A889" s="11" t="n">
        <v>46162</v>
      </c>
      <c r="B889" s="12" t="n">
        <v>154.098846</v>
      </c>
      <c r="C889" s="12" t="n">
        <v>92.800224</v>
      </c>
      <c r="D889" s="12" t="n">
        <v>741.200012</v>
      </c>
      <c r="E889" s="13">
        <f>100*B889/B$7</f>
        <v/>
      </c>
      <c r="F889" s="13">
        <f>100*C889/C$7</f>
        <v/>
      </c>
      <c r="G889" s="13">
        <f>100*D889/D$7</f>
        <v/>
      </c>
    </row>
    <row r="890">
      <c r="A890" s="11" t="n">
        <v>46163</v>
      </c>
      <c r="B890" s="12" t="n">
        <v>154.685043</v>
      </c>
      <c r="C890" s="12" t="n">
        <v>92.85964199999999</v>
      </c>
      <c r="D890" s="12" t="n">
        <v>731.780029</v>
      </c>
      <c r="E890" s="13">
        <f>100*B890/B$7</f>
        <v/>
      </c>
      <c r="F890" s="13">
        <f>100*C890/C$7</f>
        <v/>
      </c>
      <c r="G890" s="13">
        <f>100*D890/D$7</f>
        <v/>
      </c>
    </row>
    <row r="891">
      <c r="A891" s="11" t="n">
        <v>46164</v>
      </c>
      <c r="B891" s="12" t="n">
        <v>154.983109</v>
      </c>
      <c r="C891" s="12" t="n">
        <v>92.938828</v>
      </c>
      <c r="D891" s="12" t="n">
        <v>731.679993</v>
      </c>
      <c r="E891" s="13">
        <f>100*B891/B$7</f>
        <v/>
      </c>
      <c r="F891" s="13">
        <f>100*C891/C$7</f>
        <v/>
      </c>
      <c r="G891" s="13">
        <f>100*D891/D$7</f>
        <v/>
      </c>
    </row>
    <row r="892">
      <c r="A892" s="11" t="n">
        <v>46167</v>
      </c>
      <c r="B892" s="12" t="n">
        <v>154.983109</v>
      </c>
      <c r="C892" s="12" t="n">
        <v>92.938828</v>
      </c>
      <c r="D892" s="12" t="n">
        <v>731.679993</v>
      </c>
      <c r="E892" s="13">
        <f>100*B892/B$7</f>
        <v/>
      </c>
      <c r="F892" s="13">
        <f>100*C892/C$7</f>
        <v/>
      </c>
      <c r="G892" s="13">
        <f>100*D892/D$7</f>
        <v/>
      </c>
    </row>
    <row r="893">
      <c r="A893" s="11" t="n">
        <v>46168</v>
      </c>
      <c r="B893" s="12" t="n">
        <v>156.821152</v>
      </c>
      <c r="C893" s="12" t="n">
        <v>93.334824</v>
      </c>
      <c r="D893" s="12" t="n">
        <v>716.780029</v>
      </c>
      <c r="E893" s="13">
        <f>100*B893/B$7</f>
        <v/>
      </c>
      <c r="F893" s="13">
        <f>100*C893/C$7</f>
        <v/>
      </c>
      <c r="G893" s="13">
        <f>100*D893/D$7</f>
        <v/>
      </c>
    </row>
    <row r="894">
      <c r="A894" s="11" t="n">
        <v>46169</v>
      </c>
      <c r="B894" s="12" t="n">
        <v>156.622452</v>
      </c>
      <c r="C894" s="12" t="n">
        <v>93.374413</v>
      </c>
      <c r="D894" s="12" t="n">
        <v>699</v>
      </c>
      <c r="E894" s="13">
        <f>100*B894/B$7</f>
        <v/>
      </c>
      <c r="F894" s="13">
        <f>100*C894/C$7</f>
        <v/>
      </c>
      <c r="G894" s="13">
        <f>100*D894/D$7</f>
        <v/>
      </c>
    </row>
    <row r="895">
      <c r="A895" s="11" t="n">
        <v>46170</v>
      </c>
      <c r="B895" s="12" t="n">
        <v>157.228516</v>
      </c>
      <c r="C895" s="12" t="n">
        <v>93.59221599999999</v>
      </c>
      <c r="D895" s="12" t="n">
        <v>702.900024</v>
      </c>
      <c r="E895" s="13">
        <f>100*B895/B$7</f>
        <v/>
      </c>
      <c r="F895" s="13">
        <f>100*C895/C$7</f>
        <v/>
      </c>
      <c r="G895" s="13">
        <f>100*D895/D$7</f>
        <v/>
      </c>
    </row>
    <row r="896">
      <c r="A896" s="11" t="n">
        <v>46171</v>
      </c>
      <c r="B896" s="12" t="n">
        <v>157.516632</v>
      </c>
      <c r="C896" s="12" t="n">
        <v>93.701111</v>
      </c>
      <c r="D896" s="12" t="n">
        <v>694.570007</v>
      </c>
      <c r="E896" s="13">
        <f>100*B896/B$7</f>
        <v/>
      </c>
      <c r="F896" s="13">
        <f>100*C896/C$7</f>
        <v/>
      </c>
      <c r="G896" s="13">
        <f>100*D896/D$7</f>
        <v/>
      </c>
    </row>
    <row r="897">
      <c r="A897" s="11" t="n">
        <v>46174</v>
      </c>
      <c r="B897" s="12" t="n">
        <v>158.073029</v>
      </c>
      <c r="C897" s="12" t="n">
        <v>93.53919999999999</v>
      </c>
      <c r="D897" s="12" t="n">
        <v>711.690002</v>
      </c>
      <c r="E897" s="13">
        <f>100*B897/B$7</f>
        <v/>
      </c>
      <c r="F897" s="13">
        <f>100*C897/C$7</f>
        <v/>
      </c>
      <c r="G897" s="13">
        <f>100*D897/D$7</f>
        <v/>
      </c>
    </row>
    <row r="898">
      <c r="A898" s="11" t="n">
        <v>46175</v>
      </c>
      <c r="B898" s="12" t="n">
        <v>158.937408</v>
      </c>
      <c r="C898" s="12" t="n">
        <v>93.608734</v>
      </c>
      <c r="D898" s="12" t="n">
        <v>716.179993</v>
      </c>
      <c r="E898" s="13">
        <f>100*B898/B$7</f>
        <v/>
      </c>
      <c r="F898" s="13">
        <f>100*C898/C$7</f>
        <v/>
      </c>
      <c r="G898" s="13">
        <f>100*D898/D$7</f>
        <v/>
      </c>
    </row>
    <row r="899">
      <c r="A899" s="11" t="n">
        <v>46176</v>
      </c>
      <c r="B899" s="12" t="n">
        <v>157.625931</v>
      </c>
      <c r="C899" s="12" t="n">
        <v>93.370338</v>
      </c>
      <c r="D899" s="12" t="n">
        <v>721.210022</v>
      </c>
      <c r="E899" s="13">
        <f>100*B899/B$7</f>
        <v/>
      </c>
      <c r="F899" s="13">
        <f>100*C899/C$7</f>
        <v/>
      </c>
      <c r="G899" s="13">
        <f>100*D899/D$7</f>
        <v/>
      </c>
    </row>
    <row r="900">
      <c r="A900" s="11" t="n">
        <v>46177</v>
      </c>
      <c r="B900" s="12" t="n">
        <v>158.102844</v>
      </c>
      <c r="C900" s="12" t="n">
        <v>93.48954000000001</v>
      </c>
      <c r="D900" s="12" t="n">
        <v>709.539978</v>
      </c>
      <c r="E900" s="13">
        <f>100*B900/B$7</f>
        <v/>
      </c>
      <c r="F900" s="13">
        <f>100*C900/C$7</f>
        <v/>
      </c>
      <c r="G900" s="13">
        <f>100*D900/D$7</f>
        <v/>
      </c>
    </row>
    <row r="901">
      <c r="A901" s="11" t="n">
        <v>46178</v>
      </c>
      <c r="B901" s="12" t="n">
        <v>153.393433</v>
      </c>
      <c r="C901" s="12" t="n">
        <v>92.99288900000001</v>
      </c>
      <c r="D901" s="12" t="n">
        <v>693.820007</v>
      </c>
      <c r="E901" s="13">
        <f>100*B901/B$7</f>
        <v/>
      </c>
      <c r="F901" s="13">
        <f>100*C901/C$7</f>
        <v/>
      </c>
      <c r="G901" s="13">
        <f>100*D901/D$7</f>
        <v/>
      </c>
    </row>
    <row r="902">
      <c r="A902" s="11" t="n">
        <v>46181</v>
      </c>
      <c r="B902" s="12" t="n">
        <v>153.920013</v>
      </c>
      <c r="C902" s="12" t="n">
        <v>92.893547</v>
      </c>
      <c r="D902" s="12" t="n">
        <v>695.369995</v>
      </c>
      <c r="E902" s="13">
        <f>100*B902/B$7</f>
        <v/>
      </c>
      <c r="F902" s="13">
        <f>100*C902/C$7</f>
        <v/>
      </c>
      <c r="G902" s="13">
        <f>100*D902/D$7</f>
        <v/>
      </c>
    </row>
    <row r="903">
      <c r="A903" s="11" t="n">
        <v>46182</v>
      </c>
      <c r="B903" s="12" t="n">
        <v>153.602081</v>
      </c>
      <c r="C903" s="12" t="n">
        <v>93.15181</v>
      </c>
      <c r="D903" s="12" t="n">
        <v>682.130005</v>
      </c>
      <c r="E903" s="13">
        <f>100*B903/B$7</f>
        <v/>
      </c>
      <c r="F903" s="13">
        <f>100*C903/C$7</f>
        <v/>
      </c>
      <c r="G903" s="13">
        <f>100*D903/D$7</f>
        <v/>
      </c>
    </row>
    <row r="904">
      <c r="A904" s="11" t="n">
        <v>46183</v>
      </c>
      <c r="B904" s="12" t="n">
        <v>151.257309</v>
      </c>
      <c r="C904" s="12" t="n">
        <v>93.06242399999999</v>
      </c>
      <c r="D904" s="12" t="n">
        <v>685.3900149999999</v>
      </c>
      <c r="E904" s="13">
        <f>100*B904/B$7</f>
        <v/>
      </c>
      <c r="F904" s="13">
        <f>100*C904/C$7</f>
        <v/>
      </c>
      <c r="G904" s="13">
        <f>100*D904/D$7</f>
        <v/>
      </c>
    </row>
    <row r="905">
      <c r="A905" s="11" t="n">
        <v>46184</v>
      </c>
      <c r="B905" s="12" t="n">
        <v>154.824142</v>
      </c>
      <c r="C905" s="12" t="n">
        <v>93.708061</v>
      </c>
      <c r="D905" s="12" t="n">
        <v>676.669983</v>
      </c>
      <c r="E905" s="13">
        <f>100*B905/B$7</f>
        <v/>
      </c>
      <c r="F905" s="13">
        <f>100*C905/C$7</f>
        <v/>
      </c>
      <c r="G905" s="13">
        <f>100*D905/D$7</f>
        <v/>
      </c>
    </row>
    <row r="906">
      <c r="A906" s="11" t="n">
        <v>46185</v>
      </c>
      <c r="B906" s="12" t="n">
        <v>155.460007</v>
      </c>
      <c r="C906" s="12" t="n">
        <v>93.54914100000001</v>
      </c>
      <c r="D906" s="12" t="n">
        <v>667.190002</v>
      </c>
      <c r="E906" s="13">
        <f>100*B906/B$7</f>
        <v/>
      </c>
      <c r="F906" s="13">
        <f>100*C906/C$7</f>
        <v/>
      </c>
      <c r="G906" s="13">
        <f>100*D906/D$7</f>
        <v/>
      </c>
    </row>
    <row r="907">
      <c r="A907" s="11" t="n">
        <v>46188</v>
      </c>
      <c r="B907" s="12" t="n">
        <v>158.039993</v>
      </c>
      <c r="C907" s="12" t="n">
        <v>93.64846799999999</v>
      </c>
      <c r="D907" s="12" t="n">
        <v>653.940002</v>
      </c>
      <c r="E907" s="13">
        <f>100*B907/B$7</f>
        <v/>
      </c>
      <c r="F907" s="13">
        <f>100*C907/C$7</f>
        <v/>
      </c>
      <c r="G907" s="13">
        <f>100*D907/D$7</f>
        <v/>
      </c>
    </row>
    <row r="908">
      <c r="A908" s="11" t="n">
        <v>46189</v>
      </c>
      <c r="B908" s="12" t="n">
        <v>157.339996</v>
      </c>
      <c r="C908" s="12" t="n">
        <v>93.88685599999999</v>
      </c>
      <c r="D908" s="12" t="n">
        <v>642.6400149999999</v>
      </c>
      <c r="E908" s="13">
        <f>100*B908/B$7</f>
        <v/>
      </c>
      <c r="F908" s="13">
        <f>100*C908/C$7</f>
        <v/>
      </c>
      <c r="G908" s="13">
        <f>100*D908/D$7</f>
        <v/>
      </c>
    </row>
    <row r="909">
      <c r="A909" s="11" t="n">
        <v>46190</v>
      </c>
      <c r="B909" s="12" t="n">
        <v>155.809998</v>
      </c>
      <c r="C909" s="12" t="n">
        <v>93.39020499999999</v>
      </c>
      <c r="D909" s="12" t="n">
        <v>647.130005</v>
      </c>
      <c r="E909" s="13">
        <f>100*B909/B$7</f>
        <v/>
      </c>
      <c r="F909" s="13">
        <f>100*C909/C$7</f>
        <v/>
      </c>
      <c r="G909" s="13">
        <f>100*D909/D$7</f>
        <v/>
      </c>
    </row>
    <row r="910">
      <c r="A910" s="11" t="n">
        <v>46191</v>
      </c>
      <c r="B910" s="12" t="n">
        <v>157.740005</v>
      </c>
      <c r="C910" s="12" t="n">
        <v>93.72792800000001</v>
      </c>
      <c r="D910" s="12" t="n">
        <v>642.200012</v>
      </c>
      <c r="E910" s="13">
        <f>100*B910/B$7</f>
        <v/>
      </c>
      <c r="F910" s="13">
        <f>100*C910/C$7</f>
        <v/>
      </c>
      <c r="G910" s="13">
        <f>100*D910/D$7</f>
        <v/>
      </c>
    </row>
    <row r="911">
      <c r="A911" s="11" t="n">
        <v>46192</v>
      </c>
      <c r="B911" s="12" t="n">
        <v>157.740005</v>
      </c>
      <c r="C911" s="12" t="n">
        <v>93.72792800000001</v>
      </c>
      <c r="D911" s="12" t="n">
        <v>642.200012</v>
      </c>
      <c r="E911" s="13">
        <f>100*B911/B$7</f>
        <v/>
      </c>
      <c r="F911" s="13">
        <f>100*C911/C$7</f>
        <v/>
      </c>
      <c r="G911" s="13">
        <f>100*D911/D$7</f>
        <v/>
      </c>
    </row>
    <row r="912">
      <c r="A912" s="11" t="n">
        <v>46195</v>
      </c>
      <c r="B912" s="12" t="n">
        <v>157.589996</v>
      </c>
      <c r="C912" s="12" t="n">
        <v>93.370338</v>
      </c>
      <c r="D912" s="12" t="n">
        <v>635.25</v>
      </c>
      <c r="E912" s="13">
        <f>100*B912/B$7</f>
        <v/>
      </c>
      <c r="F912" s="13">
        <f>100*C912/C$7</f>
        <v/>
      </c>
      <c r="G912" s="13">
        <f>100*D912/D$7</f>
        <v/>
      </c>
    </row>
    <row r="913">
      <c r="A913" s="11" t="n">
        <v>46196</v>
      </c>
      <c r="B913" s="12" t="n">
        <v>154.440002</v>
      </c>
      <c r="C913" s="12" t="n">
        <v>93.48954000000001</v>
      </c>
      <c r="D913" s="12" t="n">
        <v>629.190002</v>
      </c>
      <c r="E913" s="13">
        <f>100*B913/B$7</f>
        <v/>
      </c>
      <c r="F913" s="13">
        <f>100*C913/C$7</f>
        <v/>
      </c>
      <c r="G913" s="13">
        <f>100*D913/D$7</f>
        <v/>
      </c>
    </row>
    <row r="914">
      <c r="A914" s="11" t="n">
        <v>46197</v>
      </c>
      <c r="B914" s="12" t="n">
        <v>154.229996</v>
      </c>
      <c r="C914" s="12" t="n">
        <v>94.09545900000001</v>
      </c>
      <c r="D914" s="12" t="n">
        <v>616.190002</v>
      </c>
      <c r="E914" s="13">
        <f>100*B914/B$7</f>
        <v/>
      </c>
      <c r="F914" s="13">
        <f>100*C914/C$7</f>
        <v/>
      </c>
      <c r="G914" s="13">
        <f>100*D914/D$7</f>
        <v/>
      </c>
    </row>
    <row r="915">
      <c r="A915" s="11" t="n">
        <v>46198</v>
      </c>
      <c r="B915" s="12" t="n">
        <v>154.699997</v>
      </c>
      <c r="C915" s="12" t="n">
        <v>94.155052</v>
      </c>
      <c r="D915" s="12" t="n">
        <v>626.960022</v>
      </c>
      <c r="E915" s="13">
        <f>100*B915/B$7</f>
        <v/>
      </c>
      <c r="F915" s="13">
        <f>100*C915/C$7</f>
        <v/>
      </c>
      <c r="G915" s="13">
        <f>100*D915/D$7</f>
        <v/>
      </c>
    </row>
    <row r="916">
      <c r="A916" s="11" t="n">
        <v>46199</v>
      </c>
      <c r="B916" s="12" t="n">
        <v>154.279999</v>
      </c>
      <c r="C916" s="12" t="n">
        <v>94.39344</v>
      </c>
      <c r="D916" s="12" t="n">
        <v>616.27002</v>
      </c>
      <c r="E916" s="13">
        <f>100*B916/B$7</f>
        <v/>
      </c>
      <c r="F916" s="13">
        <f>100*C916/C$7</f>
        <v/>
      </c>
      <c r="G916" s="13">
        <f>100*D916/D$7</f>
        <v/>
      </c>
    </row>
    <row r="917">
      <c r="A917" s="11" t="n">
        <v>46202</v>
      </c>
      <c r="B917" s="12" t="n">
        <v>155.820007</v>
      </c>
      <c r="C917" s="12" t="n">
        <v>94.423233</v>
      </c>
      <c r="D917" s="12" t="n">
        <v>618.969971</v>
      </c>
      <c r="E917" s="13">
        <f>100*B917/B$7</f>
        <v/>
      </c>
      <c r="F917" s="13">
        <f>100*C917/C$7</f>
        <v/>
      </c>
      <c r="G917" s="13">
        <f>100*D917/D$7</f>
        <v/>
      </c>
    </row>
    <row r="918">
      <c r="A918" s="11" t="n">
        <v>46203</v>
      </c>
      <c r="B918" s="12" t="n">
        <v>156.970001</v>
      </c>
      <c r="C918" s="12" t="n">
        <v>93.93652299999999</v>
      </c>
      <c r="D918" s="12" t="n">
        <v>619.450012</v>
      </c>
      <c r="E918" s="13">
        <f>100*B918/B$7</f>
        <v/>
      </c>
      <c r="F918" s="13">
        <f>100*C918/C$7</f>
        <v/>
      </c>
      <c r="G918" s="13">
        <f>100*D918/D$7</f>
        <v/>
      </c>
    </row>
    <row r="919">
      <c r="A919" s="11" t="n">
        <v>46204</v>
      </c>
      <c r="B919" s="12" t="n">
        <v>156.119995</v>
      </c>
      <c r="C919" s="12" t="n">
        <v>93.708305</v>
      </c>
      <c r="D919" s="12" t="n">
        <v>617.440002</v>
      </c>
      <c r="E919" s="13">
        <f>100*B919/B$7</f>
        <v/>
      </c>
      <c r="F919" s="13">
        <f>100*C919/C$7</f>
        <v/>
      </c>
      <c r="G919" s="13">
        <f>100*D919/D$7</f>
        <v/>
      </c>
    </row>
    <row r="920">
      <c r="A920" s="11" t="n">
        <v>46205</v>
      </c>
      <c r="B920" s="12" t="n">
        <v>156.149994</v>
      </c>
      <c r="C920" s="12" t="n">
        <v>93.79800400000001</v>
      </c>
      <c r="D920" s="12" t="n">
        <v>617.119995</v>
      </c>
      <c r="E920" s="13">
        <f>100*B920/B$7</f>
        <v/>
      </c>
      <c r="F920" s="13">
        <f>100*C920/C$7</f>
        <v/>
      </c>
      <c r="G920" s="13">
        <f>100*D920/D$7</f>
        <v/>
      </c>
    </row>
    <row r="921">
      <c r="A921" s="11" t="n">
        <v>46206</v>
      </c>
      <c r="B921" s="12" t="n">
        <v>156.149994</v>
      </c>
      <c r="C921" s="12" t="n">
        <v>93.79800400000001</v>
      </c>
      <c r="D921" s="12" t="n">
        <v>617.119995</v>
      </c>
      <c r="E921" s="13">
        <f>100*B921/B$7</f>
        <v/>
      </c>
      <c r="F921" s="13">
        <f>100*C921/C$7</f>
        <v/>
      </c>
      <c r="G921" s="13">
        <f>100*D921/D$7</f>
        <v/>
      </c>
    </row>
    <row r="922">
      <c r="A922" s="11" t="n">
        <v>46209</v>
      </c>
      <c r="B922" s="12" t="n">
        <v>157.970001</v>
      </c>
      <c r="C922" s="12" t="n">
        <v>93.85779599999999</v>
      </c>
      <c r="D922" s="12" t="n">
        <v>626.77002</v>
      </c>
      <c r="E922" s="13">
        <f>100*B922/B$7</f>
        <v/>
      </c>
      <c r="F922" s="13">
        <f>100*C922/C$7</f>
        <v/>
      </c>
      <c r="G922" s="13">
        <f>100*D922/D$7</f>
        <v/>
      </c>
    </row>
    <row r="923">
      <c r="A923" s="11" t="n">
        <v>46210</v>
      </c>
      <c r="B923" s="12" t="n">
        <v>156.460007</v>
      </c>
      <c r="C923" s="12" t="n">
        <v>93.37943300000001</v>
      </c>
      <c r="D923" s="12" t="n">
        <v>631.429993</v>
      </c>
      <c r="E923" s="13">
        <f>100*B923/B$7</f>
        <v/>
      </c>
      <c r="F923" s="13">
        <f>100*C923/C$7</f>
        <v/>
      </c>
      <c r="G923" s="13">
        <f>100*D923/D$7</f>
        <v/>
      </c>
    </row>
    <row r="924">
      <c r="A924" s="11" t="n">
        <v>46211</v>
      </c>
      <c r="B924" s="12" t="n">
        <v>155.899994</v>
      </c>
      <c r="C924" s="12" t="n">
        <v>93.19008599999999</v>
      </c>
      <c r="D924" s="12" t="n">
        <v>646.679993</v>
      </c>
      <c r="E924" s="13">
        <f>100*B924/B$7</f>
        <v/>
      </c>
      <c r="F924" s="13">
        <f>100*C924/C$7</f>
        <v/>
      </c>
      <c r="G924" s="13">
        <f>100*D924/D$7</f>
        <v/>
      </c>
    </row>
    <row r="925">
      <c r="A925" s="11" t="n">
        <v>46212</v>
      </c>
      <c r="B925" s="12" t="n">
        <v>157.020004</v>
      </c>
      <c r="C925" s="12" t="n">
        <v>93.389397</v>
      </c>
      <c r="D925" s="12" t="n">
        <v>639.77002</v>
      </c>
      <c r="E925" s="13">
        <f>100*B925/B$7</f>
        <v/>
      </c>
      <c r="F925" s="13">
        <f>100*C925/C$7</f>
        <v/>
      </c>
      <c r="G925" s="13">
        <f>100*D925/D$7</f>
        <v/>
      </c>
    </row>
    <row r="926">
      <c r="A926" s="11" t="n">
        <v>46213</v>
      </c>
      <c r="B926" s="12" t="n">
        <v>157.679993</v>
      </c>
      <c r="C926" s="12" t="n">
        <v>93.309669</v>
      </c>
      <c r="D926" s="12" t="n">
        <v>635.049988</v>
      </c>
      <c r="E926" s="13">
        <f>100*B926/B$7</f>
        <v/>
      </c>
      <c r="F926" s="13">
        <f>100*C926/C$7</f>
        <v/>
      </c>
      <c r="G926" s="13">
        <f>100*D926/D$7</f>
        <v/>
      </c>
    </row>
    <row r="927">
      <c r="A927" s="11" t="n">
        <v>46216</v>
      </c>
      <c r="B927" s="12" t="n">
        <v>155.940002</v>
      </c>
      <c r="C927" s="12" t="n">
        <v>92.97084</v>
      </c>
      <c r="D927" s="12" t="n">
        <v>657.159973</v>
      </c>
      <c r="E927" s="13">
        <f>100*B927/B$7</f>
        <v/>
      </c>
      <c r="F927" s="13">
        <f>100*C927/C$7</f>
        <v/>
      </c>
      <c r="G927" s="13">
        <f>100*D927/D$7</f>
        <v/>
      </c>
    </row>
    <row r="928">
      <c r="A928" s="11" t="n">
        <v>46217</v>
      </c>
      <c r="B928" s="12" t="n">
        <v>156.940002</v>
      </c>
      <c r="C928" s="12" t="n">
        <v>93.22995</v>
      </c>
      <c r="D928" s="12" t="n">
        <v>661.960022</v>
      </c>
      <c r="E928" s="13">
        <f>100*B928/B$7</f>
        <v/>
      </c>
      <c r="F928" s="13">
        <f>100*C928/C$7</f>
        <v/>
      </c>
      <c r="G928" s="13">
        <f>100*D928/D$7</f>
        <v/>
      </c>
    </row>
    <row r="929">
      <c r="A929" s="11" t="n">
        <v>46218</v>
      </c>
      <c r="B929" s="12" t="n">
        <v>157.520004</v>
      </c>
      <c r="C929" s="12" t="n">
        <v>93.45916</v>
      </c>
      <c r="D929" s="12" t="n">
        <v>664.47998</v>
      </c>
      <c r="E929" s="13">
        <f>100*B929/B$7</f>
        <v/>
      </c>
      <c r="F929" s="13">
        <f>100*C929/C$7</f>
        <v/>
      </c>
      <c r="G929" s="13">
        <f>100*D929/D$7</f>
        <v/>
      </c>
    </row>
    <row r="930">
      <c r="A930" s="11" t="n">
        <v>46219</v>
      </c>
      <c r="B930" s="12" t="n">
        <v>156.360001</v>
      </c>
      <c r="C930" s="12" t="n">
        <v>93.399368</v>
      </c>
      <c r="D930" s="12" t="n">
        <v>661.630005</v>
      </c>
      <c r="E930" s="13">
        <f>100*B930/B$7</f>
        <v/>
      </c>
      <c r="F930" s="13">
        <f>100*C930/C$7</f>
        <v/>
      </c>
      <c r="G930" s="13">
        <f>100*D930/D$7</f>
        <v/>
      </c>
    </row>
    <row r="931">
      <c r="A931" s="11" t="n">
        <v>46220</v>
      </c>
      <c r="B931" s="12" t="n">
        <v>155</v>
      </c>
      <c r="C931" s="12" t="n">
        <v>93.518951</v>
      </c>
      <c r="D931" s="12" t="n">
        <v>673.940002</v>
      </c>
      <c r="E931" s="13">
        <f>100*B931/B$7</f>
        <v/>
      </c>
      <c r="F931" s="13">
        <f>100*C931/C$7</f>
        <v/>
      </c>
      <c r="G931" s="13">
        <f>100*D931/D$7</f>
        <v/>
      </c>
    </row>
    <row r="932">
      <c r="A932" s="11" t="n">
        <v>46223</v>
      </c>
      <c r="B932" s="12" t="n">
        <v>154.479996</v>
      </c>
      <c r="C932" s="12" t="n">
        <v>93.21998600000001</v>
      </c>
      <c r="D932" s="12" t="n">
        <v>678.719971</v>
      </c>
      <c r="E932" s="13">
        <f>100*B932/B$7</f>
        <v/>
      </c>
      <c r="F932" s="13">
        <f>100*C932/C$7</f>
        <v/>
      </c>
      <c r="G932" s="13">
        <f>100*D932/D$7</f>
        <v/>
      </c>
    </row>
    <row r="933">
      <c r="A933" s="11" t="n">
        <v>46224</v>
      </c>
      <c r="B933" s="12" t="n">
        <v>156.289993</v>
      </c>
      <c r="C933" s="12" t="n">
        <v>92.990768</v>
      </c>
      <c r="D933" s="12" t="n">
        <v>687.090027</v>
      </c>
      <c r="E933" s="13">
        <f>100*B933/B$7</f>
        <v/>
      </c>
      <c r="F933" s="13">
        <f>100*C933/C$7</f>
        <v/>
      </c>
      <c r="G933" s="13">
        <f>100*D933/D$7</f>
        <v/>
      </c>
    </row>
    <row r="934">
      <c r="A934" s="11" t="n">
        <v>46225</v>
      </c>
      <c r="B934" s="12" t="n">
        <v>156.190002</v>
      </c>
      <c r="C934" s="12" t="n">
        <v>92.781487</v>
      </c>
      <c r="D934" s="12" t="n">
        <v>696.570007</v>
      </c>
      <c r="E934" s="13">
        <f>100*B934/B$7</f>
        <v/>
      </c>
      <c r="F934" s="13">
        <f>100*C934/C$7</f>
        <v/>
      </c>
      <c r="G934" s="13">
        <f>100*D934/D$7</f>
        <v/>
      </c>
    </row>
    <row r="935">
      <c r="A935" s="11" t="n">
        <v>46226</v>
      </c>
      <c r="B935" s="12" t="n">
        <v>154.339996</v>
      </c>
      <c r="C935" s="12" t="n">
        <v>92.532341</v>
      </c>
      <c r="D935" s="12" t="n">
        <v>712.98999</v>
      </c>
      <c r="E935" s="13">
        <f>100*B935/B$7</f>
        <v/>
      </c>
      <c r="F935" s="13">
        <f>100*C935/C$7</f>
        <v/>
      </c>
      <c r="G935" s="13">
        <f>100*D935/D$7</f>
        <v/>
      </c>
    </row>
    <row r="936">
      <c r="A936" s="11" t="n">
        <v>46227</v>
      </c>
      <c r="B936" s="12" t="n">
        <v>154.300003</v>
      </c>
      <c r="C936" s="12" t="n">
        <v>92.71172300000001</v>
      </c>
      <c r="D936" s="12" t="n">
        <v>700.8900149999999</v>
      </c>
      <c r="E936" s="13">
        <f>100*B936/B$7</f>
        <v/>
      </c>
      <c r="F936" s="13">
        <f>100*C936/C$7</f>
        <v/>
      </c>
      <c r="G936" s="13">
        <f>100*D936/D$7</f>
        <v/>
      </c>
    </row>
    <row r="937">
      <c r="A937" s="11" t="n">
        <v>46230</v>
      </c>
      <c r="B937" s="12" t="n">
        <v>154.610001</v>
      </c>
      <c r="C937" s="12" t="n">
        <v>92.960869</v>
      </c>
      <c r="D937" s="12" t="n">
        <v>677.900024</v>
      </c>
      <c r="E937" s="13">
        <f>100*B937/B$7</f>
        <v/>
      </c>
      <c r="F937" s="13">
        <f>100*C937/C$7</f>
        <v/>
      </c>
      <c r="G937" s="13">
        <f>100*D937/D$7</f>
        <v/>
      </c>
    </row>
    <row r="938">
      <c r="A938" s="11" t="n">
        <v>46231</v>
      </c>
      <c r="B938" s="12" t="n">
        <v>154.539993</v>
      </c>
      <c r="C938" s="12" t="n">
        <v>93.239914</v>
      </c>
      <c r="D938" s="12" t="n">
        <v>666.869995</v>
      </c>
      <c r="E938" s="13">
        <f>100*B938/B$7</f>
        <v/>
      </c>
      <c r="F938" s="13">
        <f>100*C938/C$7</f>
        <v/>
      </c>
      <c r="G938" s="13">
        <f>100*D938/D$7</f>
        <v/>
      </c>
    </row>
    <row r="939">
      <c r="A939" s="11" t="n">
        <v>46232</v>
      </c>
      <c r="B939" s="12" t="n">
        <v>152.470001</v>
      </c>
      <c r="C939" s="12" t="n">
        <v>92.85124999999999</v>
      </c>
      <c r="D939" s="12" t="n">
        <v>687</v>
      </c>
      <c r="E939" s="13">
        <f>100*B939/B$7</f>
        <v/>
      </c>
      <c r="F939" s="13">
        <f>100*C939/C$7</f>
        <v/>
      </c>
      <c r="G939" s="13">
        <f>100*D939/D$7</f>
        <v/>
      </c>
    </row>
    <row r="940">
      <c r="A940" s="11" t="n">
        <v>46233</v>
      </c>
      <c r="B940" s="12" t="n">
        <v>155.660004</v>
      </c>
      <c r="C940" s="12" t="n">
        <v>92.891113</v>
      </c>
      <c r="D940" s="12" t="n">
        <v>683.73999</v>
      </c>
      <c r="E940" s="13">
        <f>100*B940/B$7</f>
        <v/>
      </c>
      <c r="F940" s="13">
        <f>100*C940/C$7</f>
        <v/>
      </c>
      <c r="G940" s="13">
        <f>100*D940/D$7</f>
        <v/>
      </c>
    </row>
    <row r="941">
      <c r="A941" s="11" t="n">
        <v>46234</v>
      </c>
      <c r="B941" s="12" t="n">
        <v>156.429993</v>
      </c>
      <c r="C941" s="12" t="n">
        <v>92.631996</v>
      </c>
      <c r="D941" s="12" t="n">
        <v>686.150024</v>
      </c>
      <c r="E941" s="13">
        <f>100*B941/B$7</f>
        <v/>
      </c>
      <c r="F941" s="13">
        <f>100*C941/C$7</f>
        <v/>
      </c>
      <c r="G941" s="13">
        <f>100*D941/D$7</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8"/>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12" customWidth="1" min="1" max="1"/>
    <col width="14" customWidth="1" min="2" max="2"/>
    <col width="14" customWidth="1" min="3" max="3"/>
    <col width="14" customWidth="1" min="4" max="4"/>
    <col width="14" customWidth="1" min="5" max="5"/>
    <col width="14" customWidth="1" min="6" max="6"/>
  </cols>
  <sheetData>
    <row r="1">
      <c r="A1" s="1" t="inlineStr">
        <is>
          <t>Initial jobless claims</t>
        </is>
      </c>
    </row>
    <row r="2">
      <c r="A2" s="2" t="inlineStr">
        <is>
          <t>Seasonally adjusted, thousands, by week of year. Series ICSA.</t>
        </is>
      </c>
    </row>
    <row r="3" ht="4" customHeight="1">
      <c r="A3" s="3" t="n"/>
      <c r="B3" s="3" t="n"/>
      <c r="C3" s="3" t="n"/>
      <c r="D3" s="3" t="n"/>
      <c r="E3" s="3" t="n"/>
      <c r="F3" s="3" t="n"/>
    </row>
    <row r="6" ht="30" customHeight="1">
      <c r="A6" s="9" t="inlineStr">
        <is>
          <t>Week</t>
        </is>
      </c>
      <c r="B6" s="10" t="inlineStr">
        <is>
          <t>2026</t>
        </is>
      </c>
      <c r="C6" s="10" t="inlineStr">
        <is>
          <t>2025</t>
        </is>
      </c>
      <c r="D6" s="10" t="inlineStr">
        <is>
          <t>2024</t>
        </is>
      </c>
      <c r="E6" s="10" t="inlineStr">
        <is>
          <t>2023</t>
        </is>
      </c>
      <c r="F6" s="10" t="inlineStr">
        <is>
          <t>2023-25 average</t>
        </is>
      </c>
    </row>
    <row r="7">
      <c r="A7" s="14" t="n">
        <v>1</v>
      </c>
      <c r="B7" s="15" t="n">
        <v>207</v>
      </c>
      <c r="C7" s="15" t="n">
        <v>206</v>
      </c>
      <c r="D7" s="15" t="n">
        <v>201</v>
      </c>
      <c r="E7" s="15" t="n">
        <v>210</v>
      </c>
      <c r="F7" s="15">
        <f>AVERAGE($C$7:$E$58)</f>
        <v/>
      </c>
    </row>
    <row r="8">
      <c r="A8" s="14" t="n">
        <v>2</v>
      </c>
      <c r="B8" s="15" t="n">
        <v>201</v>
      </c>
      <c r="C8" s="15" t="n">
        <v>219</v>
      </c>
      <c r="D8" s="15" t="n">
        <v>195</v>
      </c>
      <c r="E8" s="15" t="n">
        <v>204</v>
      </c>
      <c r="F8" s="15">
        <f>AVERAGE($C$7:$E$58)</f>
        <v/>
      </c>
    </row>
    <row r="9">
      <c r="A9" s="14" t="n">
        <v>3</v>
      </c>
      <c r="B9" s="15" t="n">
        <v>210</v>
      </c>
      <c r="C9" s="15" t="n">
        <v>223</v>
      </c>
      <c r="D9" s="15" t="n">
        <v>224</v>
      </c>
      <c r="E9" s="15" t="n">
        <v>204</v>
      </c>
      <c r="F9" s="15">
        <f>AVERAGE($C$7:$E$58)</f>
        <v/>
      </c>
    </row>
    <row r="10">
      <c r="A10" s="14" t="n">
        <v>4</v>
      </c>
      <c r="B10" s="15" t="n">
        <v>211</v>
      </c>
      <c r="C10" s="15" t="n">
        <v>212</v>
      </c>
      <c r="D10" s="15" t="n">
        <v>226</v>
      </c>
      <c r="E10" s="15" t="n">
        <v>200</v>
      </c>
      <c r="F10" s="15">
        <f>AVERAGE($C$7:$E$58)</f>
        <v/>
      </c>
    </row>
    <row r="11">
      <c r="A11" s="14" t="n">
        <v>5</v>
      </c>
      <c r="B11" s="15" t="n">
        <v>230</v>
      </c>
      <c r="C11" s="15" t="n">
        <v>220</v>
      </c>
      <c r="D11" s="15" t="n">
        <v>213</v>
      </c>
      <c r="E11" s="15" t="n">
        <v>215</v>
      </c>
      <c r="F11" s="15">
        <f>AVERAGE($C$7:$E$58)</f>
        <v/>
      </c>
    </row>
    <row r="12">
      <c r="A12" s="14" t="n">
        <v>6</v>
      </c>
      <c r="B12" s="15" t="n">
        <v>230</v>
      </c>
      <c r="C12" s="15" t="n">
        <v>216</v>
      </c>
      <c r="D12" s="15" t="n">
        <v>213</v>
      </c>
      <c r="E12" s="15" t="n">
        <v>220</v>
      </c>
      <c r="F12" s="15">
        <f>AVERAGE($C$7:$E$58)</f>
        <v/>
      </c>
    </row>
    <row r="13">
      <c r="A13" s="14" t="n">
        <v>7</v>
      </c>
      <c r="B13" s="15" t="n">
        <v>208</v>
      </c>
      <c r="C13" s="15" t="n">
        <v>223</v>
      </c>
      <c r="D13" s="15" t="n">
        <v>202</v>
      </c>
      <c r="E13" s="15" t="n">
        <v>217</v>
      </c>
      <c r="F13" s="15">
        <f>AVERAGE($C$7:$E$58)</f>
        <v/>
      </c>
    </row>
    <row r="14">
      <c r="A14" s="14" t="n">
        <v>8</v>
      </c>
      <c r="B14" s="15" t="n">
        <v>211</v>
      </c>
      <c r="C14" s="15" t="n">
        <v>241</v>
      </c>
      <c r="D14" s="15" t="n">
        <v>212</v>
      </c>
      <c r="E14" s="15" t="n">
        <v>207</v>
      </c>
      <c r="F14" s="15">
        <f>AVERAGE($C$7:$E$58)</f>
        <v/>
      </c>
    </row>
    <row r="15">
      <c r="A15" s="14" t="n">
        <v>9</v>
      </c>
      <c r="B15" s="15" t="n">
        <v>214</v>
      </c>
      <c r="C15" s="15" t="n">
        <v>224</v>
      </c>
      <c r="D15" s="15" t="n">
        <v>213</v>
      </c>
      <c r="E15" s="15" t="n">
        <v>230</v>
      </c>
      <c r="F15" s="15">
        <f>AVERAGE($C$7:$E$58)</f>
        <v/>
      </c>
    </row>
    <row r="16">
      <c r="A16" s="14" t="n">
        <v>10</v>
      </c>
      <c r="B16" s="15" t="n">
        <v>213</v>
      </c>
      <c r="C16" s="15" t="n">
        <v>222</v>
      </c>
      <c r="D16" s="15" t="n">
        <v>213</v>
      </c>
      <c r="E16" s="15" t="n">
        <v>222</v>
      </c>
      <c r="F16" s="15">
        <f>AVERAGE($C$7:$E$58)</f>
        <v/>
      </c>
    </row>
    <row r="17">
      <c r="A17" s="14" t="n">
        <v>11</v>
      </c>
      <c r="B17" s="15" t="n">
        <v>205</v>
      </c>
      <c r="C17" s="15" t="n">
        <v>225</v>
      </c>
      <c r="D17" s="15" t="n">
        <v>213</v>
      </c>
      <c r="E17" s="15" t="n">
        <v>230</v>
      </c>
      <c r="F17" s="15">
        <f>AVERAGE($C$7:$E$58)</f>
        <v/>
      </c>
    </row>
    <row r="18">
      <c r="A18" s="14" t="n">
        <v>12</v>
      </c>
      <c r="B18" s="15" t="n">
        <v>211</v>
      </c>
      <c r="C18" s="15" t="n">
        <v>224</v>
      </c>
      <c r="D18" s="15" t="n">
        <v>214</v>
      </c>
      <c r="E18" s="15" t="n">
        <v>234</v>
      </c>
      <c r="F18" s="15">
        <f>AVERAGE($C$7:$E$58)</f>
        <v/>
      </c>
    </row>
    <row r="19">
      <c r="A19" s="14" t="n">
        <v>13</v>
      </c>
      <c r="B19" s="15" t="n">
        <v>203</v>
      </c>
      <c r="C19" s="15" t="n">
        <v>220</v>
      </c>
      <c r="D19" s="15" t="n">
        <v>223</v>
      </c>
      <c r="E19" s="15" t="n">
        <v>217</v>
      </c>
      <c r="F19" s="15">
        <f>AVERAGE($C$7:$E$58)</f>
        <v/>
      </c>
    </row>
    <row r="20">
      <c r="A20" s="14" t="n">
        <v>14</v>
      </c>
      <c r="B20" s="15" t="n">
        <v>218</v>
      </c>
      <c r="C20" s="15" t="n">
        <v>223</v>
      </c>
      <c r="D20" s="15" t="n">
        <v>213</v>
      </c>
      <c r="E20" s="15" t="n">
        <v>220</v>
      </c>
      <c r="F20" s="15">
        <f>AVERAGE($C$7:$E$58)</f>
        <v/>
      </c>
    </row>
    <row r="21">
      <c r="A21" s="14" t="n">
        <v>15</v>
      </c>
      <c r="B21" s="15" t="n">
        <v>208</v>
      </c>
      <c r="C21" s="15" t="n">
        <v>217</v>
      </c>
      <c r="D21" s="15" t="n">
        <v>212</v>
      </c>
      <c r="E21" s="15" t="n">
        <v>223</v>
      </c>
      <c r="F21" s="15">
        <f>AVERAGE($C$7:$E$58)</f>
        <v/>
      </c>
    </row>
    <row r="22">
      <c r="A22" s="14" t="n">
        <v>16</v>
      </c>
      <c r="B22" s="15" t="n">
        <v>215</v>
      </c>
      <c r="C22" s="15" t="n">
        <v>224</v>
      </c>
      <c r="D22" s="15" t="n">
        <v>209</v>
      </c>
      <c r="E22" s="15" t="n">
        <v>209</v>
      </c>
      <c r="F22" s="15">
        <f>AVERAGE($C$7:$E$58)</f>
        <v/>
      </c>
    </row>
    <row r="23">
      <c r="A23" s="14" t="n">
        <v>17</v>
      </c>
      <c r="B23" s="15" t="n">
        <v>190</v>
      </c>
      <c r="C23" s="15" t="n">
        <v>239</v>
      </c>
      <c r="D23" s="15" t="n">
        <v>207</v>
      </c>
      <c r="E23" s="15" t="n">
        <v>213</v>
      </c>
      <c r="F23" s="15">
        <f>AVERAGE($C$7:$E$58)</f>
        <v/>
      </c>
    </row>
    <row r="24">
      <c r="A24" s="14" t="n">
        <v>18</v>
      </c>
      <c r="B24" s="15" t="n">
        <v>199</v>
      </c>
      <c r="C24" s="15" t="n">
        <v>228</v>
      </c>
      <c r="D24" s="15" t="n">
        <v>230</v>
      </c>
      <c r="E24" s="15" t="n">
        <v>223</v>
      </c>
      <c r="F24" s="15">
        <f>AVERAGE($C$7:$E$58)</f>
        <v/>
      </c>
    </row>
    <row r="25">
      <c r="A25" s="14" t="n">
        <v>19</v>
      </c>
      <c r="B25" s="15" t="n">
        <v>212</v>
      </c>
      <c r="C25" s="15" t="n">
        <v>226</v>
      </c>
      <c r="D25" s="15" t="n">
        <v>222</v>
      </c>
      <c r="E25" s="15" t="n">
        <v>225</v>
      </c>
      <c r="F25" s="15">
        <f>AVERAGE($C$7:$E$58)</f>
        <v/>
      </c>
    </row>
    <row r="26">
      <c r="A26" s="14" t="n">
        <v>20</v>
      </c>
      <c r="B26" s="15" t="n">
        <v>210</v>
      </c>
      <c r="C26" s="15" t="n">
        <v>225</v>
      </c>
      <c r="D26" s="15" t="n">
        <v>216</v>
      </c>
      <c r="E26" s="15" t="n">
        <v>227</v>
      </c>
      <c r="F26" s="15">
        <f>AVERAGE($C$7:$E$58)</f>
        <v/>
      </c>
    </row>
    <row r="27">
      <c r="A27" s="14" t="n">
        <v>21</v>
      </c>
      <c r="B27" s="15" t="n">
        <v>212</v>
      </c>
      <c r="C27" s="15" t="n">
        <v>236</v>
      </c>
      <c r="D27" s="15" t="n">
        <v>220</v>
      </c>
      <c r="E27" s="15" t="n">
        <v>229</v>
      </c>
      <c r="F27" s="15">
        <f>AVERAGE($C$7:$E$58)</f>
        <v/>
      </c>
    </row>
    <row r="28">
      <c r="A28" s="14" t="n">
        <v>22</v>
      </c>
      <c r="B28" s="15" t="n">
        <v>225</v>
      </c>
      <c r="C28" s="15" t="n">
        <v>244</v>
      </c>
      <c r="D28" s="15" t="n">
        <v>227</v>
      </c>
      <c r="E28" s="15" t="n">
        <v>252</v>
      </c>
      <c r="F28" s="15">
        <f>AVERAGE($C$7:$E$58)</f>
        <v/>
      </c>
    </row>
    <row r="29">
      <c r="A29" s="14" t="n">
        <v>23</v>
      </c>
      <c r="B29" s="15" t="n">
        <v>230</v>
      </c>
      <c r="C29" s="15" t="n">
        <v>246</v>
      </c>
      <c r="D29" s="15" t="n">
        <v>240</v>
      </c>
      <c r="E29" s="15" t="n">
        <v>256</v>
      </c>
      <c r="F29" s="15">
        <f>AVERAGE($C$7:$E$58)</f>
        <v/>
      </c>
    </row>
    <row r="30">
      <c r="A30" s="14" t="n">
        <v>24</v>
      </c>
      <c r="B30" s="15" t="n">
        <v>227</v>
      </c>
      <c r="C30" s="15" t="n">
        <v>243</v>
      </c>
      <c r="D30" s="15" t="n">
        <v>236</v>
      </c>
      <c r="E30" s="15" t="n">
        <v>259</v>
      </c>
      <c r="F30" s="15">
        <f>AVERAGE($C$7:$E$58)</f>
        <v/>
      </c>
    </row>
    <row r="31">
      <c r="A31" s="14" t="n">
        <v>25</v>
      </c>
      <c r="B31" s="15" t="n">
        <v>216</v>
      </c>
      <c r="C31" s="15" t="n">
        <v>236</v>
      </c>
      <c r="D31" s="15" t="n">
        <v>233</v>
      </c>
      <c r="E31" s="15" t="n">
        <v>236</v>
      </c>
      <c r="F31" s="15">
        <f>AVERAGE($C$7:$E$58)</f>
        <v/>
      </c>
    </row>
    <row r="32">
      <c r="A32" s="14" t="n">
        <v>26</v>
      </c>
      <c r="B32" s="15" t="n">
        <v>217</v>
      </c>
      <c r="C32" s="15" t="n">
        <v>231</v>
      </c>
      <c r="D32" s="15" t="n">
        <v>238</v>
      </c>
      <c r="E32" s="15" t="n">
        <v>248</v>
      </c>
      <c r="F32" s="15">
        <f>AVERAGE($C$7:$E$58)</f>
        <v/>
      </c>
    </row>
    <row r="33">
      <c r="A33" s="14" t="n">
        <v>27</v>
      </c>
      <c r="B33" s="15" t="n">
        <v>217</v>
      </c>
      <c r="C33" s="15" t="n">
        <v>228</v>
      </c>
      <c r="D33" s="15" t="n">
        <v>223</v>
      </c>
      <c r="E33" s="15" t="n">
        <v>230</v>
      </c>
      <c r="F33" s="15">
        <f>AVERAGE($C$7:$E$58)</f>
        <v/>
      </c>
    </row>
    <row r="34">
      <c r="A34" s="14" t="n">
        <v>28</v>
      </c>
      <c r="B34" s="15" t="n">
        <v>209</v>
      </c>
      <c r="C34" s="15" t="n">
        <v>221</v>
      </c>
      <c r="D34" s="15" t="n">
        <v>241</v>
      </c>
      <c r="E34" s="15" t="n">
        <v>229</v>
      </c>
      <c r="F34" s="15">
        <f>AVERAGE($C$7:$E$58)</f>
        <v/>
      </c>
    </row>
    <row r="35">
      <c r="A35" s="14" t="n">
        <v>29</v>
      </c>
      <c r="B35" s="15" t="n">
        <v>189</v>
      </c>
      <c r="C35" s="15" t="n">
        <v>218</v>
      </c>
      <c r="D35" s="15" t="n">
        <v>237</v>
      </c>
      <c r="E35" s="15" t="n">
        <v>231</v>
      </c>
      <c r="F35" s="15">
        <f>AVERAGE($C$7:$E$58)</f>
        <v/>
      </c>
    </row>
    <row r="36">
      <c r="A36" s="14" t="n">
        <v>30</v>
      </c>
      <c r="B36" s="15" t="n">
        <v>198</v>
      </c>
      <c r="C36" s="15" t="n">
        <v>219</v>
      </c>
      <c r="D36" s="15" t="n">
        <v>248</v>
      </c>
      <c r="E36" s="15" t="n">
        <v>238</v>
      </c>
      <c r="F36" s="15">
        <f>AVERAGE($C$7:$E$58)</f>
        <v/>
      </c>
    </row>
    <row r="37">
      <c r="A37" s="14" t="n">
        <v>31</v>
      </c>
      <c r="B37" s="15" t="n">
        <v>199</v>
      </c>
      <c r="C37" s="15" t="n">
        <v>226</v>
      </c>
      <c r="D37" s="15" t="n">
        <v>234</v>
      </c>
      <c r="E37" s="15" t="n">
        <v>258</v>
      </c>
      <c r="F37" s="15">
        <f>AVERAGE($C$7:$E$58)</f>
        <v/>
      </c>
    </row>
    <row r="38">
      <c r="A38" s="14" t="n">
        <v>32</v>
      </c>
      <c r="B38" s="15" t="n"/>
      <c r="C38" s="15" t="n">
        <v>224</v>
      </c>
      <c r="D38" s="15" t="n">
        <v>228</v>
      </c>
      <c r="E38" s="15" t="n">
        <v>248</v>
      </c>
      <c r="F38" s="15">
        <f>AVERAGE($C$7:$E$58)</f>
        <v/>
      </c>
    </row>
    <row r="39">
      <c r="A39" s="14" t="n">
        <v>33</v>
      </c>
      <c r="B39" s="15" t="n"/>
      <c r="C39" s="15" t="n">
        <v>233</v>
      </c>
      <c r="D39" s="15" t="n">
        <v>232</v>
      </c>
      <c r="E39" s="15" t="n">
        <v>240</v>
      </c>
      <c r="F39" s="15">
        <f>AVERAGE($C$7:$E$58)</f>
        <v/>
      </c>
    </row>
    <row r="40">
      <c r="A40" s="14" t="n">
        <v>34</v>
      </c>
      <c r="B40" s="15" t="n"/>
      <c r="C40" s="15" t="n">
        <v>229</v>
      </c>
      <c r="D40" s="15" t="n">
        <v>232</v>
      </c>
      <c r="E40" s="15" t="n">
        <v>234</v>
      </c>
      <c r="F40" s="15">
        <f>AVERAGE($C$7:$E$58)</f>
        <v/>
      </c>
    </row>
    <row r="41">
      <c r="A41" s="14" t="n">
        <v>35</v>
      </c>
      <c r="B41" s="15" t="n"/>
      <c r="C41" s="15" t="n">
        <v>236</v>
      </c>
      <c r="D41" s="15" t="n">
        <v>227</v>
      </c>
      <c r="E41" s="15" t="n">
        <v>225</v>
      </c>
      <c r="F41" s="15">
        <f>AVERAGE($C$7:$E$58)</f>
        <v/>
      </c>
    </row>
    <row r="42">
      <c r="A42" s="14" t="n">
        <v>36</v>
      </c>
      <c r="B42" s="15" t="n"/>
      <c r="C42" s="15" t="n">
        <v>259</v>
      </c>
      <c r="D42" s="15" t="n">
        <v>227</v>
      </c>
      <c r="E42" s="15" t="n">
        <v>225</v>
      </c>
      <c r="F42" s="15">
        <f>AVERAGE($C$7:$E$58)</f>
        <v/>
      </c>
    </row>
    <row r="43">
      <c r="A43" s="14" t="n">
        <v>37</v>
      </c>
      <c r="B43" s="15" t="n"/>
      <c r="C43" s="15" t="n">
        <v>233</v>
      </c>
      <c r="D43" s="15" t="n">
        <v>223</v>
      </c>
      <c r="E43" s="15" t="n">
        <v>211</v>
      </c>
      <c r="F43" s="15">
        <f>AVERAGE($C$7:$E$58)</f>
        <v/>
      </c>
    </row>
    <row r="44">
      <c r="A44" s="14" t="n">
        <v>38</v>
      </c>
      <c r="B44" s="15" t="n"/>
      <c r="C44" s="15" t="n">
        <v>219</v>
      </c>
      <c r="D44" s="15" t="n">
        <v>221</v>
      </c>
      <c r="E44" s="15" t="n">
        <v>216</v>
      </c>
      <c r="F44" s="15">
        <f>AVERAGE($C$7:$E$58)</f>
        <v/>
      </c>
    </row>
    <row r="45">
      <c r="A45" s="14" t="n">
        <v>39</v>
      </c>
      <c r="B45" s="15" t="n"/>
      <c r="C45" s="15" t="n">
        <v>225</v>
      </c>
      <c r="D45" s="15" t="n">
        <v>227</v>
      </c>
      <c r="E45" s="15" t="n">
        <v>216</v>
      </c>
      <c r="F45" s="15">
        <f>AVERAGE($C$7:$E$58)</f>
        <v/>
      </c>
    </row>
    <row r="46">
      <c r="A46" s="14" t="n">
        <v>40</v>
      </c>
      <c r="B46" s="15" t="n"/>
      <c r="C46" s="15" t="n">
        <v>233</v>
      </c>
      <c r="D46" s="15" t="n">
        <v>258</v>
      </c>
      <c r="E46" s="15" t="n">
        <v>210</v>
      </c>
      <c r="F46" s="15">
        <f>AVERAGE($C$7:$E$58)</f>
        <v/>
      </c>
    </row>
    <row r="47">
      <c r="A47" s="14" t="n">
        <v>41</v>
      </c>
      <c r="B47" s="15" t="n"/>
      <c r="C47" s="15" t="n">
        <v>222</v>
      </c>
      <c r="D47" s="15" t="n">
        <v>241</v>
      </c>
      <c r="E47" s="15" t="n">
        <v>200</v>
      </c>
      <c r="F47" s="15">
        <f>AVERAGE($C$7:$E$58)</f>
        <v/>
      </c>
    </row>
    <row r="48">
      <c r="A48" s="14" t="n">
        <v>42</v>
      </c>
      <c r="B48" s="15" t="n"/>
      <c r="C48" s="15" t="n">
        <v>231</v>
      </c>
      <c r="D48" s="15" t="n">
        <v>227</v>
      </c>
      <c r="E48" s="15" t="n">
        <v>214</v>
      </c>
      <c r="F48" s="15">
        <f>AVERAGE($C$7:$E$58)</f>
        <v/>
      </c>
    </row>
    <row r="49">
      <c r="A49" s="14" t="n">
        <v>43</v>
      </c>
      <c r="B49" s="15" t="n"/>
      <c r="C49" s="15" t="n">
        <v>221</v>
      </c>
      <c r="D49" s="15" t="n">
        <v>219</v>
      </c>
      <c r="E49" s="15" t="n">
        <v>217</v>
      </c>
      <c r="F49" s="15">
        <f>AVERAGE($C$7:$E$58)</f>
        <v/>
      </c>
    </row>
    <row r="50">
      <c r="A50" s="14" t="n">
        <v>44</v>
      </c>
      <c r="B50" s="15" t="n"/>
      <c r="C50" s="15" t="n">
        <v>228</v>
      </c>
      <c r="D50" s="15" t="n">
        <v>221</v>
      </c>
      <c r="E50" s="15" t="n">
        <v>216</v>
      </c>
      <c r="F50" s="15">
        <f>AVERAGE($C$7:$E$58)</f>
        <v/>
      </c>
    </row>
    <row r="51">
      <c r="A51" s="14" t="n">
        <v>45</v>
      </c>
      <c r="B51" s="15" t="n"/>
      <c r="C51" s="15" t="n">
        <v>228</v>
      </c>
      <c r="D51" s="15" t="n">
        <v>218</v>
      </c>
      <c r="E51" s="15" t="n">
        <v>230</v>
      </c>
      <c r="F51" s="15">
        <f>AVERAGE($C$7:$E$58)</f>
        <v/>
      </c>
    </row>
    <row r="52">
      <c r="A52" s="14" t="n">
        <v>46</v>
      </c>
      <c r="B52" s="15" t="n"/>
      <c r="C52" s="15" t="n">
        <v>222</v>
      </c>
      <c r="D52" s="15" t="n">
        <v>216</v>
      </c>
      <c r="E52" s="15" t="n">
        <v>213</v>
      </c>
      <c r="F52" s="15">
        <f>AVERAGE($C$7:$E$58)</f>
        <v/>
      </c>
    </row>
    <row r="53">
      <c r="A53" s="14" t="n">
        <v>47</v>
      </c>
      <c r="B53" s="15" t="n"/>
      <c r="C53" s="15" t="n">
        <v>218</v>
      </c>
      <c r="D53" s="15" t="n">
        <v>219</v>
      </c>
      <c r="E53" s="15" t="n">
        <v>213</v>
      </c>
      <c r="F53" s="15">
        <f>AVERAGE($C$7:$E$58)</f>
        <v/>
      </c>
    </row>
    <row r="54">
      <c r="A54" s="14" t="n">
        <v>48</v>
      </c>
      <c r="B54" s="15" t="n"/>
      <c r="C54" s="15" t="n">
        <v>216</v>
      </c>
      <c r="D54" s="15" t="n">
        <v>222</v>
      </c>
      <c r="E54" s="15" t="n">
        <v>215</v>
      </c>
      <c r="F54" s="15">
        <f>AVERAGE($C$7:$E$58)</f>
        <v/>
      </c>
    </row>
    <row r="55">
      <c r="A55" s="14" t="n">
        <v>49</v>
      </c>
      <c r="B55" s="15" t="n"/>
      <c r="C55" s="15" t="n">
        <v>235</v>
      </c>
      <c r="D55" s="15" t="n">
        <v>238</v>
      </c>
      <c r="E55" s="15" t="n">
        <v>203</v>
      </c>
      <c r="F55" s="15">
        <f>AVERAGE($C$7:$E$58)</f>
        <v/>
      </c>
    </row>
    <row r="56">
      <c r="A56" s="14" t="n">
        <v>50</v>
      </c>
      <c r="B56" s="15" t="n"/>
      <c r="C56" s="15" t="n">
        <v>224</v>
      </c>
      <c r="D56" s="15" t="n">
        <v>222</v>
      </c>
      <c r="E56" s="15" t="n">
        <v>209</v>
      </c>
      <c r="F56" s="15">
        <f>AVERAGE($C$7:$E$58)</f>
        <v/>
      </c>
    </row>
    <row r="57">
      <c r="A57" s="14" t="n">
        <v>51</v>
      </c>
      <c r="B57" s="15" t="n"/>
      <c r="C57" s="15" t="n">
        <v>215</v>
      </c>
      <c r="D57" s="15" t="n">
        <v>219</v>
      </c>
      <c r="E57" s="15" t="n">
        <v>212</v>
      </c>
      <c r="F57" s="15">
        <f>AVERAGE($C$7:$E$58)</f>
        <v/>
      </c>
    </row>
    <row r="58">
      <c r="A58" s="14" t="n">
        <v>52</v>
      </c>
      <c r="B58" s="15" t="n"/>
      <c r="C58" s="15" t="n">
        <v>203</v>
      </c>
      <c r="D58" s="15" t="n">
        <v>212</v>
      </c>
      <c r="E58" s="15" t="n">
        <v>200</v>
      </c>
      <c r="F58" s="15">
        <f>AVERAGE($C$7:$E$58)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12" customWidth="1" min="1" max="1"/>
    <col width="18" customWidth="1" min="2" max="2"/>
    <col width="18" customWidth="1" min="3" max="3"/>
    <col width="18" customWidth="1" min="4" max="4"/>
    <col width="18" customWidth="1" min="5" max="5"/>
  </cols>
  <sheetData>
    <row r="1">
      <c r="A1" s="1" t="inlineStr">
        <is>
          <t>Continuing claims and the unemployment rate</t>
        </is>
      </c>
    </row>
    <row r="2">
      <c r="A2" s="2" t="inlineStr">
        <is>
          <t>Change from November, survey reference week (the week containing the 12th). Series CCSA and UNRATE.</t>
        </is>
      </c>
    </row>
    <row r="3" ht="4" customHeight="1">
      <c r="A3" s="3" t="n"/>
      <c r="B3" s="3" t="n"/>
      <c r="C3" s="3" t="n"/>
      <c r="D3" s="3" t="n"/>
      <c r="E3" s="3" t="n"/>
      <c r="F3" s="3" t="n"/>
    </row>
    <row r="6" ht="30" customHeight="1">
      <c r="A6" s="9" t="inlineStr">
        <is>
          <t>Month</t>
        </is>
      </c>
      <c r="B6" s="10" t="inlineStr">
        <is>
          <t>Continuing claims, this cycle</t>
        </is>
      </c>
      <c r="C6" s="10" t="inlineStr">
        <is>
          <t>Continuing claims, 2024</t>
        </is>
      </c>
      <c r="D6" s="10" t="inlineStr">
        <is>
          <t>Unemployment rate, this cycle</t>
        </is>
      </c>
      <c r="E6" s="10" t="inlineStr">
        <is>
          <t>Unemployment rate, 2024</t>
        </is>
      </c>
    </row>
    <row r="7">
      <c r="A7" s="14" t="inlineStr">
        <is>
          <t>Nov</t>
        </is>
      </c>
      <c r="B7" s="16" t="n">
        <v>0</v>
      </c>
      <c r="C7" s="16" t="n">
        <v>0</v>
      </c>
      <c r="D7" s="17" t="n">
        <v>0</v>
      </c>
      <c r="E7" s="17" t="n">
        <v>0</v>
      </c>
    </row>
    <row r="8">
      <c r="A8" s="14" t="inlineStr">
        <is>
          <t>Dec</t>
        </is>
      </c>
      <c r="B8" s="16" t="n">
        <v>-0.016984</v>
      </c>
      <c r="C8" s="16" t="n">
        <v>-0.001109</v>
      </c>
      <c r="D8" s="17" t="n">
        <v>-0.1</v>
      </c>
      <c r="E8" s="17" t="n">
        <v>0.1</v>
      </c>
    </row>
    <row r="9">
      <c r="A9" s="14" t="inlineStr">
        <is>
          <t>Jan</t>
        </is>
      </c>
      <c r="B9" s="16" t="n">
        <v>-0.06176</v>
      </c>
      <c r="C9" s="16" t="n">
        <v>-0.027732</v>
      </c>
      <c r="D9" s="17" t="n">
        <v>-0.2</v>
      </c>
      <c r="E9" s="17" t="n">
        <v>0</v>
      </c>
    </row>
    <row r="10">
      <c r="A10" s="14" t="inlineStr">
        <is>
          <t>Feb</t>
        </is>
      </c>
      <c r="B10" s="16" t="n">
        <v>-0.059701</v>
      </c>
      <c r="C10" s="16" t="n">
        <v>-0.000555</v>
      </c>
      <c r="D10" s="17" t="n">
        <v>-0.1</v>
      </c>
      <c r="E10" s="17" t="n">
        <v>0.2</v>
      </c>
    </row>
    <row r="11">
      <c r="A11" s="14" t="inlineStr">
        <is>
          <t>Mar</t>
        </is>
      </c>
      <c r="B11" s="16" t="n">
        <v>-0.065363</v>
      </c>
      <c r="C11" s="16" t="n">
        <v>0.002219</v>
      </c>
      <c r="D11" s="17" t="n">
        <v>-0.2</v>
      </c>
      <c r="E11" s="17" t="n">
        <v>0.2</v>
      </c>
    </row>
    <row r="12">
      <c r="A12" s="14" t="inlineStr">
        <is>
          <t>Apr</t>
        </is>
      </c>
      <c r="B12" s="16" t="n">
        <v>-0.08595</v>
      </c>
      <c r="C12" s="16" t="n">
        <v>-0.012202</v>
      </c>
      <c r="D12" s="17" t="n">
        <v>-0.2</v>
      </c>
      <c r="E12" s="17" t="n">
        <v>0.2</v>
      </c>
    </row>
    <row r="13">
      <c r="A13" s="14" t="inlineStr">
        <is>
          <t>May</t>
        </is>
      </c>
      <c r="B13" s="16" t="n">
        <v>-0.081318</v>
      </c>
      <c r="C13" s="16" t="n">
        <v>0.002773</v>
      </c>
      <c r="D13" s="17" t="n">
        <v>-0.2</v>
      </c>
      <c r="E13" s="17" t="n">
        <v>0.2</v>
      </c>
    </row>
    <row r="14">
      <c r="A14" s="14" t="inlineStr">
        <is>
          <t>Jun</t>
        </is>
      </c>
      <c r="B14" s="16" t="n">
        <v>-0.067422</v>
      </c>
      <c r="C14" s="16" t="n">
        <v>0.019967</v>
      </c>
      <c r="D14" s="17" t="n">
        <v>-0.3</v>
      </c>
      <c r="E14" s="17" t="n">
        <v>0.4</v>
      </c>
    </row>
    <row r="15">
      <c r="A15" s="14" t="inlineStr">
        <is>
          <t>Jul</t>
        </is>
      </c>
      <c r="B15" s="16" t="n">
        <v>-0.085435</v>
      </c>
      <c r="C15" s="16" t="n">
        <v>0.024958</v>
      </c>
      <c r="D15" s="17" t="n">
        <v>-0.4</v>
      </c>
      <c r="E15" s="17" t="n">
        <v>0.5</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07"/>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The 10y through equity bubbles</t>
        </is>
      </c>
    </row>
    <row r="2">
      <c r="A2" s="2" t="inlineStr">
        <is>
          <t>US 10y Treasury yield, change from the start of each episode, percentage points. Series DGS10.</t>
        </is>
      </c>
    </row>
    <row r="3" ht="4" customHeight="1">
      <c r="A3" s="3" t="n"/>
      <c r="B3" s="3" t="n"/>
      <c r="C3" s="3" t="n"/>
      <c r="D3" s="3" t="n"/>
      <c r="E3" s="3" t="n"/>
      <c r="F3" s="3" t="n"/>
      <c r="G3" s="3" t="n"/>
      <c r="H3" s="3" t="n"/>
    </row>
    <row r="6" ht="30" customHeight="1">
      <c r="A6" s="9" t="inlineStr">
        <is>
          <t>Day</t>
        </is>
      </c>
      <c r="B6" s="10" t="inlineStr">
        <is>
          <t>2025-26 current</t>
        </is>
      </c>
      <c r="C6" s="10" t="inlineStr">
        <is>
          <t>2020-22</t>
        </is>
      </c>
      <c r="D6" s="10" t="inlineStr">
        <is>
          <t>1998-2002 dot-com</t>
        </is>
      </c>
      <c r="E6" s="10" t="inlineStr">
        <is>
          <t>2023-25</t>
        </is>
      </c>
      <c r="F6" s="10" t="inlineStr">
        <is>
          <t>1964-66</t>
        </is>
      </c>
      <c r="G6" s="10" t="inlineStr">
        <is>
          <t>1997-98</t>
        </is>
      </c>
    </row>
    <row r="7">
      <c r="A7" s="14" t="n">
        <v>0</v>
      </c>
      <c r="B7" s="17" t="n">
        <v>0</v>
      </c>
      <c r="C7" s="17" t="n">
        <v>0</v>
      </c>
      <c r="D7" s="17" t="n">
        <v>0</v>
      </c>
      <c r="E7" s="17" t="n">
        <v>0</v>
      </c>
      <c r="F7" s="17" t="n">
        <v>0</v>
      </c>
      <c r="G7" s="17" t="n">
        <v>0</v>
      </c>
    </row>
    <row r="8">
      <c r="A8" s="14" t="n">
        <v>1</v>
      </c>
      <c r="B8" s="17" t="n">
        <v>0.03</v>
      </c>
      <c r="C8" s="17" t="n">
        <v>0.03</v>
      </c>
      <c r="D8" s="17" t="n">
        <v>-0.07000000000000001</v>
      </c>
      <c r="E8" s="17" t="n">
        <v>0.05</v>
      </c>
      <c r="F8" s="17" t="n">
        <v>0.01</v>
      </c>
      <c r="G8" s="17" t="n">
        <v>0.18</v>
      </c>
    </row>
    <row r="9">
      <c r="A9" s="14" t="n">
        <v>2</v>
      </c>
      <c r="B9" s="17" t="n">
        <v>-0.02</v>
      </c>
      <c r="C9" s="17" t="n">
        <v>-0.09</v>
      </c>
      <c r="D9" s="17" t="n">
        <v>-0.15</v>
      </c>
      <c r="E9" s="17" t="n">
        <v>0.14</v>
      </c>
      <c r="F9" s="17" t="n">
        <v>0.02</v>
      </c>
      <c r="G9" s="17" t="n">
        <v>0.21</v>
      </c>
    </row>
    <row r="10">
      <c r="A10" s="14" t="n">
        <v>3</v>
      </c>
      <c r="B10" s="17" t="n">
        <v>0</v>
      </c>
      <c r="C10" s="17" t="n">
        <v>-0.08</v>
      </c>
      <c r="D10" s="17" t="n">
        <v>-0.16</v>
      </c>
      <c r="E10" s="17" t="n">
        <v>0.24</v>
      </c>
      <c r="F10" s="17" t="n">
        <v>0.02</v>
      </c>
      <c r="G10" s="17" t="n">
        <v>0.21</v>
      </c>
    </row>
    <row r="11">
      <c r="A11" s="14" t="n">
        <v>4</v>
      </c>
      <c r="B11" s="17" t="n">
        <v>0.04</v>
      </c>
      <c r="C11" s="17" t="n">
        <v>-0.04</v>
      </c>
      <c r="D11" s="17" t="n">
        <v>-0.12</v>
      </c>
      <c r="E11" s="17" t="n">
        <v>0.25</v>
      </c>
      <c r="F11" s="17" t="n">
        <v>0.02</v>
      </c>
      <c r="G11" s="17" t="n">
        <v>0.19</v>
      </c>
    </row>
    <row r="12">
      <c r="A12" s="14" t="n">
        <v>5</v>
      </c>
      <c r="B12" s="17" t="n">
        <v>0.09</v>
      </c>
      <c r="C12" s="17" t="n">
        <v>0.09</v>
      </c>
      <c r="D12" s="17" t="n">
        <v>-0.05</v>
      </c>
      <c r="E12" s="17" t="n">
        <v>0.2</v>
      </c>
      <c r="F12" s="17" t="n">
        <v>0.03</v>
      </c>
      <c r="G12" s="17" t="n">
        <v>0.22</v>
      </c>
    </row>
    <row r="13">
      <c r="A13" s="14" t="n">
        <v>6</v>
      </c>
      <c r="B13" s="17" t="n">
        <v>0.14</v>
      </c>
      <c r="C13" s="17" t="n">
        <v>0.11</v>
      </c>
      <c r="D13" s="17" t="n">
        <v>-0.14</v>
      </c>
      <c r="E13" s="17" t="n">
        <v>0.18</v>
      </c>
      <c r="F13" s="17" t="n">
        <v>0.03</v>
      </c>
      <c r="G13" s="17" t="n">
        <v>0.36</v>
      </c>
    </row>
    <row r="14">
      <c r="A14" s="14" t="n">
        <v>7</v>
      </c>
      <c r="B14" s="17" t="n">
        <v>0.16</v>
      </c>
      <c r="C14" s="17" t="n">
        <v>0.01</v>
      </c>
      <c r="D14" s="17" t="n">
        <v>-0.18</v>
      </c>
      <c r="E14" s="17" t="n">
        <v>0.05</v>
      </c>
      <c r="F14" s="17" t="n">
        <v>0.04</v>
      </c>
      <c r="G14" s="17" t="n">
        <v>0.34</v>
      </c>
    </row>
    <row r="15">
      <c r="A15" s="14" t="n">
        <v>8</v>
      </c>
      <c r="B15" s="17" t="n">
        <v>0.08</v>
      </c>
      <c r="C15" s="17" t="n">
        <v>0.02</v>
      </c>
      <c r="D15" s="17" t="n">
        <v>-0.21</v>
      </c>
      <c r="E15" s="17" t="n">
        <v>-0.05</v>
      </c>
      <c r="F15" s="17" t="n">
        <v>0.04</v>
      </c>
      <c r="G15" s="17" t="n">
        <v>0.37</v>
      </c>
    </row>
    <row r="16">
      <c r="A16" s="14" t="n">
        <v>9</v>
      </c>
      <c r="B16" s="17" t="n">
        <v>0.09</v>
      </c>
      <c r="C16" s="17" t="n">
        <v>0.04</v>
      </c>
      <c r="D16" s="17" t="n">
        <v>-0.13</v>
      </c>
      <c r="E16" s="17" t="n">
        <v>0.02</v>
      </c>
      <c r="F16" s="17" t="n">
        <v>0.05</v>
      </c>
      <c r="G16" s="17" t="n">
        <v>0.34</v>
      </c>
    </row>
    <row r="17">
      <c r="A17" s="14" t="n">
        <v>10</v>
      </c>
      <c r="B17" s="17" t="n">
        <v>0.17</v>
      </c>
      <c r="C17" s="17" t="n">
        <v>0</v>
      </c>
      <c r="D17" s="17" t="n">
        <v>-0.16</v>
      </c>
      <c r="E17" s="17" t="n">
        <v>0</v>
      </c>
      <c r="F17" s="17" t="n">
        <v>0.04</v>
      </c>
      <c r="G17" s="17" t="n">
        <v>0.25</v>
      </c>
    </row>
    <row r="18">
      <c r="A18" s="14" t="n">
        <v>11</v>
      </c>
      <c r="B18" s="17" t="n">
        <v>0.17</v>
      </c>
      <c r="C18" s="17" t="n">
        <v>0.01</v>
      </c>
      <c r="D18" s="17" t="n">
        <v>-0.12</v>
      </c>
      <c r="E18" s="17" t="n">
        <v>-0.01</v>
      </c>
      <c r="F18" s="17" t="n">
        <v>0.05</v>
      </c>
      <c r="G18" s="17" t="n">
        <v>0.25</v>
      </c>
    </row>
    <row r="19">
      <c r="A19" s="14" t="n">
        <v>12</v>
      </c>
      <c r="B19" s="17" t="n">
        <v>0.24</v>
      </c>
      <c r="C19" s="17" t="n">
        <v>-0.01</v>
      </c>
      <c r="D19" s="17" t="n">
        <v>-0.16</v>
      </c>
      <c r="E19" s="17" t="n">
        <v>-0.06</v>
      </c>
      <c r="F19" s="17" t="n">
        <v>0.06</v>
      </c>
      <c r="G19" s="17" t="n">
        <v>0.19</v>
      </c>
    </row>
    <row r="20">
      <c r="A20" s="14" t="n">
        <v>13</v>
      </c>
      <c r="B20" s="17" t="n">
        <v>0.2</v>
      </c>
      <c r="C20" s="17" t="n">
        <v>-0.04</v>
      </c>
      <c r="D20" s="17" t="n">
        <v>-0.16</v>
      </c>
      <c r="E20" s="17" t="n">
        <v>0.04</v>
      </c>
      <c r="F20" s="17" t="n">
        <v>0.07000000000000001</v>
      </c>
      <c r="G20" s="17" t="n">
        <v>0.19</v>
      </c>
    </row>
    <row r="21">
      <c r="A21" s="14" t="n">
        <v>14</v>
      </c>
      <c r="B21" s="17" t="n">
        <v>0.21</v>
      </c>
      <c r="C21" s="17" t="n">
        <v>-0.01</v>
      </c>
      <c r="D21" s="17" t="n">
        <v>-0.16</v>
      </c>
      <c r="E21" s="17" t="n">
        <v>0.03</v>
      </c>
      <c r="F21" s="17" t="n">
        <v>0.08</v>
      </c>
      <c r="G21" s="17" t="n">
        <v>0.22</v>
      </c>
    </row>
    <row r="22">
      <c r="A22" s="14" t="n">
        <v>15</v>
      </c>
      <c r="B22" s="17" t="n">
        <v>0.18</v>
      </c>
      <c r="C22" s="17" t="n">
        <v>0.01</v>
      </c>
      <c r="D22" s="17" t="n">
        <v>-0.1</v>
      </c>
      <c r="E22" s="17" t="n">
        <v>0.05</v>
      </c>
      <c r="F22" s="17" t="n">
        <v>0.08</v>
      </c>
      <c r="G22" s="17" t="n">
        <v>0.28</v>
      </c>
    </row>
    <row r="23">
      <c r="A23" s="14" t="n">
        <v>16</v>
      </c>
      <c r="B23" s="17" t="n">
        <v>0.12</v>
      </c>
      <c r="C23" s="17" t="n">
        <v>0.01</v>
      </c>
      <c r="D23" s="17" t="n">
        <v>-0.04</v>
      </c>
      <c r="E23" s="17" t="n">
        <v>0.1</v>
      </c>
      <c r="F23" s="17" t="n">
        <v>0.09</v>
      </c>
      <c r="G23" s="17" t="n">
        <v>0.36</v>
      </c>
    </row>
    <row r="24">
      <c r="A24" s="14" t="n">
        <v>17</v>
      </c>
      <c r="B24" s="17" t="n">
        <v>0.09</v>
      </c>
      <c r="C24" s="17" t="n">
        <v>-0.03</v>
      </c>
      <c r="D24" s="17" t="n">
        <v>0.07000000000000001</v>
      </c>
      <c r="E24" s="17" t="n">
        <v>0.05</v>
      </c>
      <c r="F24" s="17" t="n">
        <v>0.09</v>
      </c>
      <c r="G24" s="17" t="n">
        <v>0.37</v>
      </c>
    </row>
    <row r="25">
      <c r="A25" s="14" t="n">
        <v>18</v>
      </c>
      <c r="B25" s="17" t="n">
        <v>0.14</v>
      </c>
      <c r="C25" s="17" t="n">
        <v>-0.03</v>
      </c>
      <c r="D25" s="17" t="n">
        <v>0.12</v>
      </c>
      <c r="E25" s="17" t="n">
        <v>0.2</v>
      </c>
      <c r="F25" s="17" t="n">
        <v>0.08</v>
      </c>
      <c r="G25" s="17" t="n">
        <v>0.36</v>
      </c>
    </row>
    <row r="26">
      <c r="A26" s="14" t="n">
        <v>19</v>
      </c>
      <c r="B26" s="17" t="n">
        <v>0.17</v>
      </c>
      <c r="C26" s="17" t="n">
        <v>0.05</v>
      </c>
      <c r="D26" s="17" t="n">
        <v>0.04</v>
      </c>
      <c r="E26" s="17" t="n">
        <v>0.15</v>
      </c>
      <c r="F26" s="17" t="n">
        <v>0.08</v>
      </c>
      <c r="G26" s="17" t="n">
        <v>0.36</v>
      </c>
    </row>
    <row r="27">
      <c r="A27" s="14" t="n">
        <v>20</v>
      </c>
      <c r="B27" s="17" t="n">
        <v>0.14</v>
      </c>
      <c r="C27" s="17" t="n">
        <v>0.08</v>
      </c>
      <c r="D27" s="17" t="n">
        <v>-0.03</v>
      </c>
      <c r="E27" s="17" t="n">
        <v>0.16</v>
      </c>
      <c r="F27" s="17" t="n">
        <v>0.06</v>
      </c>
      <c r="G27" s="17" t="n">
        <v>0.28</v>
      </c>
    </row>
    <row r="28">
      <c r="A28" s="14" t="n">
        <v>21</v>
      </c>
      <c r="B28" s="17" t="n">
        <v>0.16</v>
      </c>
      <c r="C28" s="17" t="n">
        <v>0.05</v>
      </c>
      <c r="D28" s="17" t="n">
        <v>-0.09</v>
      </c>
      <c r="E28" s="17" t="n">
        <v>0.24</v>
      </c>
      <c r="F28" s="17" t="n">
        <v>0.06</v>
      </c>
      <c r="G28" s="17" t="n">
        <v>0.32</v>
      </c>
    </row>
    <row r="29">
      <c r="A29" s="14" t="n">
        <v>22</v>
      </c>
      <c r="B29" s="17" t="n">
        <v>0.08</v>
      </c>
      <c r="C29" s="17" t="n">
        <v>0.1</v>
      </c>
      <c r="D29" s="17" t="n">
        <v>-0.09</v>
      </c>
      <c r="E29" s="17" t="n">
        <v>0.27</v>
      </c>
      <c r="F29" s="17" t="n">
        <v>0.07000000000000001</v>
      </c>
      <c r="G29" s="17" t="n">
        <v>0.29</v>
      </c>
    </row>
    <row r="30">
      <c r="A30" s="14" t="n">
        <v>23</v>
      </c>
      <c r="B30" s="17" t="n">
        <v>0.12</v>
      </c>
      <c r="C30" s="17" t="n">
        <v>0.07000000000000001</v>
      </c>
      <c r="D30" s="17" t="n">
        <v>-0.05</v>
      </c>
      <c r="E30" s="17" t="n">
        <v>0.39</v>
      </c>
      <c r="F30" s="17" t="n">
        <v>0.08</v>
      </c>
      <c r="G30" s="17" t="n">
        <v>0.31</v>
      </c>
    </row>
    <row r="31">
      <c r="A31" s="14" t="n">
        <v>24</v>
      </c>
      <c r="B31" s="17" t="n">
        <v>0.11</v>
      </c>
      <c r="C31" s="17" t="n">
        <v>0.05</v>
      </c>
      <c r="D31" s="17" t="n">
        <v>0</v>
      </c>
      <c r="E31" s="17" t="n">
        <v>0.24</v>
      </c>
      <c r="F31" s="17" t="n">
        <v>0.08</v>
      </c>
      <c r="G31" s="17" t="n">
        <v>0.31</v>
      </c>
    </row>
    <row r="32">
      <c r="A32" s="14" t="n">
        <v>25</v>
      </c>
      <c r="B32" s="17" t="n">
        <v>-0.03</v>
      </c>
      <c r="C32" s="17" t="n">
        <v>0.08</v>
      </c>
      <c r="D32" s="17" t="n">
        <v>-0.01</v>
      </c>
      <c r="E32" s="17" t="n">
        <v>0.28</v>
      </c>
      <c r="F32" s="17" t="n">
        <v>0.08</v>
      </c>
      <c r="G32" s="17" t="n">
        <v>0.35</v>
      </c>
    </row>
    <row r="33">
      <c r="A33" s="14" t="n">
        <v>26</v>
      </c>
      <c r="B33" s="17" t="n">
        <v>-0.04</v>
      </c>
      <c r="C33" s="17" t="n">
        <v>0.05</v>
      </c>
      <c r="D33" s="17" t="n">
        <v>0.03</v>
      </c>
      <c r="E33" s="17" t="n">
        <v>0.21</v>
      </c>
      <c r="F33" s="17" t="n">
        <v>0.05</v>
      </c>
      <c r="G33" s="17" t="n">
        <v>0.31</v>
      </c>
    </row>
    <row r="34">
      <c r="A34" s="14" t="n">
        <v>27</v>
      </c>
      <c r="B34" s="17" t="n">
        <v>-0.04</v>
      </c>
      <c r="C34" s="17" t="n">
        <v>0.03</v>
      </c>
      <c r="D34" s="17" t="n">
        <v>0.12</v>
      </c>
      <c r="E34" s="17" t="n">
        <v>0.19</v>
      </c>
      <c r="F34" s="17" t="n">
        <v>0.05</v>
      </c>
      <c r="G34" s="17" t="n">
        <v>0.32</v>
      </c>
    </row>
    <row r="35">
      <c r="A35" s="14" t="n">
        <v>28</v>
      </c>
      <c r="B35" s="17" t="n">
        <v>-0.04</v>
      </c>
      <c r="C35" s="17" t="n">
        <v>0.03</v>
      </c>
      <c r="D35" s="17" t="n">
        <v>0.16</v>
      </c>
      <c r="E35" s="17" t="n">
        <v>0.28</v>
      </c>
      <c r="F35" s="17" t="n">
        <v>0.05</v>
      </c>
      <c r="G35" s="17" t="n">
        <v>0.35</v>
      </c>
    </row>
    <row r="36">
      <c r="A36" s="14" t="n">
        <v>29</v>
      </c>
      <c r="B36" s="17" t="n">
        <v>-0.03</v>
      </c>
      <c r="C36" s="17" t="n">
        <v>0.05</v>
      </c>
      <c r="D36" s="17" t="n">
        <v>0.08</v>
      </c>
      <c r="E36" s="17" t="n">
        <v>0.35</v>
      </c>
      <c r="F36" s="17" t="n">
        <v>0.06</v>
      </c>
      <c r="G36" s="17" t="n">
        <v>0.37</v>
      </c>
    </row>
    <row r="37">
      <c r="A37" s="14" t="n">
        <v>30</v>
      </c>
      <c r="B37" s="17" t="n">
        <v>0.01</v>
      </c>
      <c r="C37" s="17" t="n">
        <v>0.05</v>
      </c>
      <c r="D37" s="17" t="n">
        <v>0</v>
      </c>
      <c r="E37" s="17" t="n">
        <v>0.38</v>
      </c>
      <c r="F37" s="17" t="n">
        <v>0.07000000000000001</v>
      </c>
      <c r="G37" s="17" t="n">
        <v>0.27</v>
      </c>
    </row>
    <row r="38">
      <c r="A38" s="14" t="n">
        <v>31</v>
      </c>
      <c r="B38" s="17" t="n">
        <v>0.01</v>
      </c>
      <c r="C38" s="17" t="n">
        <v>0.07000000000000001</v>
      </c>
      <c r="D38" s="17" t="n">
        <v>-0.11</v>
      </c>
      <c r="E38" s="17" t="n">
        <v>0.4</v>
      </c>
      <c r="F38" s="17" t="n">
        <v>0.06</v>
      </c>
      <c r="G38" s="17" t="n">
        <v>0.26</v>
      </c>
    </row>
    <row r="39">
      <c r="A39" s="14" t="n">
        <v>32</v>
      </c>
      <c r="B39" s="17" t="n">
        <v>0.03</v>
      </c>
      <c r="C39" s="17" t="n">
        <v>0.08</v>
      </c>
      <c r="D39" s="17" t="n">
        <v>-0.08</v>
      </c>
      <c r="E39" s="17" t="n">
        <v>0.47</v>
      </c>
      <c r="F39" s="17" t="n">
        <v>0.06</v>
      </c>
      <c r="G39" s="17" t="n">
        <v>0.09</v>
      </c>
    </row>
    <row r="40">
      <c r="A40" s="14" t="n">
        <v>33</v>
      </c>
      <c r="B40" s="17" t="n">
        <v>-0.02</v>
      </c>
      <c r="C40" s="17" t="n">
        <v>0.08</v>
      </c>
      <c r="D40" s="17" t="n">
        <v>-0.03</v>
      </c>
      <c r="E40" s="17" t="n">
        <v>0.49</v>
      </c>
      <c r="F40" s="17" t="n">
        <v>0.07000000000000001</v>
      </c>
      <c r="G40" s="17" t="n">
        <v>0.08</v>
      </c>
    </row>
    <row r="41">
      <c r="A41" s="14" t="n">
        <v>34</v>
      </c>
      <c r="B41" s="17" t="n">
        <v>0.03</v>
      </c>
      <c r="C41" s="17" t="n">
        <v>0.06</v>
      </c>
      <c r="D41" s="17" t="n">
        <v>0.02</v>
      </c>
      <c r="E41" s="17" t="n">
        <v>0.45</v>
      </c>
      <c r="F41" s="17" t="n">
        <v>0.07000000000000001</v>
      </c>
      <c r="G41" s="17" t="n">
        <v>0.09</v>
      </c>
    </row>
    <row r="42">
      <c r="A42" s="14" t="n">
        <v>35</v>
      </c>
      <c r="B42" s="17" t="n">
        <v>0.07000000000000001</v>
      </c>
      <c r="C42" s="17" t="n">
        <v>0.09</v>
      </c>
      <c r="D42" s="17" t="n">
        <v>-0.04</v>
      </c>
      <c r="E42" s="17" t="n">
        <v>0.53</v>
      </c>
      <c r="F42" s="17" t="n">
        <v>0.06</v>
      </c>
      <c r="G42" s="17" t="n">
        <v>0.07000000000000001</v>
      </c>
    </row>
    <row r="43">
      <c r="A43" s="14" t="n">
        <v>36</v>
      </c>
      <c r="B43" s="17" t="n">
        <v>0.08</v>
      </c>
      <c r="C43" s="17" t="n">
        <v>0.07000000000000001</v>
      </c>
      <c r="D43" s="17" t="n">
        <v>-0.1</v>
      </c>
      <c r="E43" s="17" t="n">
        <v>0.53</v>
      </c>
      <c r="F43" s="17" t="n">
        <v>0.06</v>
      </c>
      <c r="G43" s="17" t="n">
        <v>0.04</v>
      </c>
    </row>
    <row r="44">
      <c r="A44" s="14" t="n">
        <v>37</v>
      </c>
      <c r="B44" s="17" t="n">
        <v>0.04</v>
      </c>
      <c r="C44" s="17" t="n">
        <v>0.07000000000000001</v>
      </c>
      <c r="D44" s="17" t="n">
        <v>-0.07000000000000001</v>
      </c>
      <c r="E44" s="17" t="n">
        <v>0.38</v>
      </c>
      <c r="F44" s="17" t="n">
        <v>0.06</v>
      </c>
      <c r="G44" s="17" t="n">
        <v>0.08</v>
      </c>
    </row>
    <row r="45">
      <c r="A45" s="14" t="n">
        <v>38</v>
      </c>
      <c r="B45" s="17" t="n">
        <v>0.03</v>
      </c>
      <c r="C45" s="17" t="n">
        <v>0.07000000000000001</v>
      </c>
      <c r="D45" s="17" t="n">
        <v>-0.05</v>
      </c>
      <c r="E45" s="17" t="n">
        <v>0.42</v>
      </c>
      <c r="F45" s="17" t="n">
        <v>0.06</v>
      </c>
      <c r="G45" s="17" t="n">
        <v>0.02</v>
      </c>
    </row>
    <row r="46">
      <c r="A46" s="14" t="n">
        <v>39</v>
      </c>
      <c r="B46" s="17" t="n">
        <v>0.07000000000000001</v>
      </c>
      <c r="C46" s="17" t="n">
        <v>0.06</v>
      </c>
      <c r="D46" s="17" t="n">
        <v>-0.06</v>
      </c>
      <c r="E46" s="17" t="n">
        <v>0.44</v>
      </c>
      <c r="F46" s="17" t="n">
        <v>0.06</v>
      </c>
      <c r="G46" s="17" t="n">
        <v>0.11</v>
      </c>
    </row>
    <row r="47">
      <c r="A47" s="14" t="n">
        <v>40</v>
      </c>
      <c r="B47" s="17" t="n">
        <v>0</v>
      </c>
      <c r="C47" s="17" t="n">
        <v>0.06</v>
      </c>
      <c r="D47" s="17" t="n">
        <v>-0.07000000000000001</v>
      </c>
      <c r="E47" s="17" t="n">
        <v>0.39</v>
      </c>
      <c r="F47" s="17" t="n">
        <v>0.06</v>
      </c>
      <c r="G47" s="17" t="n">
        <v>0.06</v>
      </c>
    </row>
    <row r="48">
      <c r="A48" s="14" t="n">
        <v>41</v>
      </c>
      <c r="B48" s="17" t="n">
        <v>0.02</v>
      </c>
      <c r="C48" s="17" t="n">
        <v>0.06</v>
      </c>
      <c r="D48" s="17" t="n">
        <v>-0.08</v>
      </c>
      <c r="E48" s="17" t="n">
        <v>0.31</v>
      </c>
      <c r="F48" s="17" t="n">
        <v>0.05</v>
      </c>
      <c r="G48" s="17" t="n">
        <v>0.08</v>
      </c>
    </row>
    <row r="49">
      <c r="A49" s="14" t="n">
        <v>42</v>
      </c>
      <c r="B49" s="17" t="n">
        <v>0</v>
      </c>
      <c r="C49" s="17" t="n">
        <v>0.09</v>
      </c>
      <c r="D49" s="17" t="n">
        <v>0.01</v>
      </c>
      <c r="E49" s="17" t="n">
        <v>0.31</v>
      </c>
      <c r="F49" s="17" t="n">
        <v>0.05</v>
      </c>
      <c r="G49" s="17" t="n">
        <v>0.1</v>
      </c>
    </row>
    <row r="50">
      <c r="A50" s="14" t="n">
        <v>43</v>
      </c>
      <c r="B50" s="17" t="n">
        <v>-0.02</v>
      </c>
      <c r="C50" s="17" t="n">
        <v>0.17</v>
      </c>
      <c r="D50" s="17" t="n">
        <v>0.05</v>
      </c>
      <c r="E50" s="17" t="n">
        <v>0.28</v>
      </c>
      <c r="F50" s="17" t="n">
        <v>0.05</v>
      </c>
      <c r="G50" s="17" t="n">
        <v>0.02</v>
      </c>
    </row>
    <row r="51">
      <c r="A51" s="14" t="n">
        <v>44</v>
      </c>
      <c r="B51" s="17" t="n">
        <v>-0.04</v>
      </c>
      <c r="C51" s="17" t="n">
        <v>0.21</v>
      </c>
      <c r="D51" s="17" t="n">
        <v>0.09</v>
      </c>
      <c r="E51" s="17" t="n">
        <v>0.37</v>
      </c>
      <c r="F51" s="17" t="n">
        <v>0.05</v>
      </c>
      <c r="G51" s="17" t="n">
        <v>-0.01</v>
      </c>
    </row>
    <row r="52">
      <c r="A52" s="14" t="n">
        <v>45</v>
      </c>
      <c r="B52" s="17" t="n">
        <v>-0.03</v>
      </c>
      <c r="C52" s="17" t="n">
        <v>0.26</v>
      </c>
      <c r="D52" s="17" t="n">
        <v>0.15</v>
      </c>
      <c r="E52" s="17" t="n">
        <v>0.46</v>
      </c>
      <c r="F52" s="17" t="n">
        <v>0.05</v>
      </c>
      <c r="G52" s="17" t="n">
        <v>-0.01</v>
      </c>
    </row>
    <row r="53">
      <c r="A53" s="14" t="n">
        <v>46</v>
      </c>
      <c r="B53" s="17" t="n">
        <v>0.02</v>
      </c>
      <c r="C53" s="17" t="n">
        <v>0.28</v>
      </c>
      <c r="D53" s="17" t="n">
        <v>0.2</v>
      </c>
      <c r="E53" s="17" t="n">
        <v>0.49</v>
      </c>
      <c r="F53" s="17" t="n">
        <v>0.05</v>
      </c>
      <c r="G53" s="17" t="n">
        <v>-0.06</v>
      </c>
    </row>
    <row r="54">
      <c r="A54" s="14" t="n">
        <v>47</v>
      </c>
      <c r="B54" s="17" t="n">
        <v>-0.04</v>
      </c>
      <c r="C54" s="17" t="n">
        <v>0.28</v>
      </c>
      <c r="D54" s="17" t="n">
        <v>0.2</v>
      </c>
      <c r="E54" s="17" t="n">
        <v>0.46</v>
      </c>
      <c r="F54" s="17" t="n">
        <v>0.05</v>
      </c>
      <c r="G54" s="17" t="n">
        <v>-0.08</v>
      </c>
    </row>
    <row r="55">
      <c r="A55" s="14" t="n">
        <v>48</v>
      </c>
      <c r="B55" s="17" t="n">
        <v>-0.09</v>
      </c>
      <c r="C55" s="17" t="n">
        <v>0.23</v>
      </c>
      <c r="D55" s="17" t="n">
        <v>0.17</v>
      </c>
      <c r="E55" s="17" t="n">
        <v>0.45</v>
      </c>
      <c r="F55" s="17" t="n">
        <v>0.03</v>
      </c>
      <c r="G55" s="17" t="n">
        <v>0.06</v>
      </c>
    </row>
    <row r="56">
      <c r="A56" s="14" t="n">
        <v>49</v>
      </c>
      <c r="B56" s="17" t="n">
        <v>-0.16</v>
      </c>
      <c r="C56" s="17" t="n">
        <v>0.28</v>
      </c>
      <c r="D56" s="17" t="n">
        <v>0.16</v>
      </c>
      <c r="E56" s="17" t="n">
        <v>0.48</v>
      </c>
      <c r="F56" s="17" t="n">
        <v>0.02</v>
      </c>
      <c r="G56" s="17" t="n">
        <v>0.07000000000000001</v>
      </c>
    </row>
    <row r="57">
      <c r="A57" s="14" t="n">
        <v>50</v>
      </c>
      <c r="B57" s="17" t="n">
        <v>-0.21</v>
      </c>
      <c r="C57" s="17" t="n">
        <v>0.24</v>
      </c>
      <c r="D57" s="17" t="n">
        <v>0.19</v>
      </c>
      <c r="E57" s="17" t="n">
        <v>0.46</v>
      </c>
      <c r="F57" s="17" t="n">
        <v>0.02</v>
      </c>
      <c r="G57" s="17" t="n">
        <v>0.13</v>
      </c>
    </row>
    <row r="58">
      <c r="A58" s="14" t="n">
        <v>51</v>
      </c>
      <c r="B58" s="17" t="n">
        <v>-0.18</v>
      </c>
      <c r="C58" s="17" t="n">
        <v>0.23</v>
      </c>
      <c r="D58" s="17" t="n">
        <v>0.32</v>
      </c>
      <c r="E58" s="17" t="n">
        <v>0.44</v>
      </c>
      <c r="F58" s="17" t="n">
        <v>0.02</v>
      </c>
      <c r="G58" s="17" t="n">
        <v>0.05</v>
      </c>
    </row>
    <row r="59">
      <c r="A59" s="14" t="n">
        <v>52</v>
      </c>
      <c r="B59" s="17" t="n">
        <v>-0.22</v>
      </c>
      <c r="C59" s="17" t="n">
        <v>0.23</v>
      </c>
      <c r="D59" s="17" t="n">
        <v>0.29</v>
      </c>
      <c r="E59" s="17" t="n">
        <v>0.48</v>
      </c>
      <c r="F59" s="17" t="n">
        <v>0.02</v>
      </c>
      <c r="G59" s="17" t="n">
        <v>0.08</v>
      </c>
    </row>
    <row r="60">
      <c r="A60" s="14" t="n">
        <v>53</v>
      </c>
      <c r="B60" s="17" t="n">
        <v>-0.25</v>
      </c>
      <c r="C60" s="17" t="n">
        <v>0.25</v>
      </c>
      <c r="D60" s="17" t="n">
        <v>0.24</v>
      </c>
      <c r="E60" s="17" t="n">
        <v>0.52</v>
      </c>
      <c r="F60" s="17" t="n">
        <v>0.02</v>
      </c>
      <c r="G60" s="17" t="n">
        <v>0.07000000000000001</v>
      </c>
    </row>
    <row r="61">
      <c r="A61" s="14" t="n">
        <v>54</v>
      </c>
      <c r="B61" s="17" t="n">
        <v>-0.2</v>
      </c>
      <c r="C61" s="17" t="n">
        <v>0.23</v>
      </c>
      <c r="D61" s="17" t="n">
        <v>0.3</v>
      </c>
      <c r="E61" s="17" t="n">
        <v>0.51</v>
      </c>
      <c r="F61" s="17" t="n">
        <v>0.02</v>
      </c>
      <c r="G61" s="17" t="n">
        <v>0.15</v>
      </c>
    </row>
    <row r="62">
      <c r="A62" s="14" t="n">
        <v>55</v>
      </c>
      <c r="B62" s="17" t="n">
        <v>-0.21</v>
      </c>
      <c r="C62" s="17" t="n">
        <v>0.18</v>
      </c>
      <c r="D62" s="17" t="n">
        <v>0.33</v>
      </c>
      <c r="E62" s="17" t="n">
        <v>0.5600000000000001</v>
      </c>
      <c r="F62" s="17" t="n">
        <v>0.02</v>
      </c>
      <c r="G62" s="17" t="n">
        <v>0.13</v>
      </c>
    </row>
    <row r="63">
      <c r="A63" s="14" t="n">
        <v>56</v>
      </c>
      <c r="B63" s="17" t="n">
        <v>-0.22</v>
      </c>
      <c r="C63" s="17" t="n">
        <v>0.18</v>
      </c>
      <c r="D63" s="17" t="n">
        <v>0.29</v>
      </c>
      <c r="E63" s="17" t="n">
        <v>0.54</v>
      </c>
      <c r="F63" s="17" t="n">
        <v>0.03</v>
      </c>
      <c r="G63" s="17" t="n">
        <v>0.12</v>
      </c>
    </row>
    <row r="64">
      <c r="A64" s="14" t="n">
        <v>57</v>
      </c>
      <c r="B64" s="17" t="n">
        <v>-0.2</v>
      </c>
      <c r="C64" s="17" t="n">
        <v>0.17</v>
      </c>
      <c r="D64" s="17" t="n">
        <v>0.36</v>
      </c>
      <c r="E64" s="17" t="n">
        <v>0.68</v>
      </c>
      <c r="F64" s="17" t="n">
        <v>0.03</v>
      </c>
      <c r="G64" s="17" t="n">
        <v>0.1</v>
      </c>
    </row>
    <row r="65">
      <c r="A65" s="14" t="n">
        <v>58</v>
      </c>
      <c r="B65" s="17" t="n">
        <v>-0.15</v>
      </c>
      <c r="C65" s="17" t="n">
        <v>0.2</v>
      </c>
      <c r="D65" s="17" t="n">
        <v>0.44</v>
      </c>
      <c r="E65" s="17" t="n">
        <v>0.63</v>
      </c>
      <c r="F65" s="17" t="n">
        <v>0.03</v>
      </c>
      <c r="G65" s="17" t="n">
        <v>0.02</v>
      </c>
    </row>
    <row r="66">
      <c r="A66" s="14" t="n">
        <v>59</v>
      </c>
      <c r="B66" s="17" t="n">
        <v>-0.12</v>
      </c>
      <c r="C66" s="17" t="n">
        <v>0.24</v>
      </c>
      <c r="D66" s="17" t="n">
        <v>0.58</v>
      </c>
      <c r="E66" s="17" t="n">
        <v>0.74</v>
      </c>
      <c r="F66" s="17" t="n">
        <v>0.02</v>
      </c>
      <c r="G66" s="17" t="n">
        <v>-0.01</v>
      </c>
    </row>
    <row r="67">
      <c r="A67" s="14" t="n">
        <v>60</v>
      </c>
      <c r="B67" s="17" t="n">
        <v>-0.11</v>
      </c>
      <c r="C67" s="17" t="n">
        <v>0.22</v>
      </c>
      <c r="D67" s="17" t="n">
        <v>0.55</v>
      </c>
      <c r="E67" s="17" t="n">
        <v>0.75</v>
      </c>
      <c r="F67" s="17" t="n">
        <v>0.02</v>
      </c>
      <c r="G67" s="17" t="n">
        <v>-0.11</v>
      </c>
    </row>
    <row r="68">
      <c r="A68" s="14" t="n">
        <v>61</v>
      </c>
      <c r="B68" s="17" t="n">
        <v>-0.14</v>
      </c>
      <c r="C68" s="17" t="n">
        <v>0.25</v>
      </c>
      <c r="D68" s="17" t="n">
        <v>0.66</v>
      </c>
      <c r="E68" s="17" t="n">
        <v>0.8</v>
      </c>
      <c r="F68" s="17" t="n">
        <v>0.03</v>
      </c>
      <c r="G68" s="17" t="n">
        <v>-0.04</v>
      </c>
    </row>
    <row r="69">
      <c r="A69" s="14" t="n">
        <v>62</v>
      </c>
      <c r="B69" s="17" t="n">
        <v>-0.1</v>
      </c>
      <c r="C69" s="17" t="n">
        <v>0.28</v>
      </c>
      <c r="D69" s="17" t="n">
        <v>0.61</v>
      </c>
      <c r="E69" s="17" t="n">
        <v>0.78</v>
      </c>
      <c r="F69" s="17" t="n">
        <v>0.02</v>
      </c>
      <c r="G69" s="17" t="n">
        <v>-0.11</v>
      </c>
    </row>
    <row r="70">
      <c r="A70" s="14" t="n">
        <v>63</v>
      </c>
      <c r="B70" s="17" t="n">
        <v>-0.08</v>
      </c>
      <c r="C70" s="17" t="n">
        <v>0.28</v>
      </c>
      <c r="D70" s="17" t="n">
        <v>0.65</v>
      </c>
      <c r="E70" s="17" t="n">
        <v>0.78</v>
      </c>
      <c r="F70" s="17" t="n">
        <v>0.02</v>
      </c>
      <c r="G70" s="17" t="n">
        <v>-0.18</v>
      </c>
    </row>
    <row r="71">
      <c r="A71" s="14" t="n">
        <v>64</v>
      </c>
      <c r="B71" s="17" t="n">
        <v>-0.06</v>
      </c>
      <c r="C71" s="17" t="n">
        <v>0.32</v>
      </c>
      <c r="D71" s="17" t="n">
        <v>0.67</v>
      </c>
      <c r="E71" s="17" t="n">
        <v>0.88</v>
      </c>
      <c r="F71" s="17" t="n">
        <v>0.02</v>
      </c>
      <c r="G71" s="17" t="n">
        <v>-0.18</v>
      </c>
    </row>
    <row r="72">
      <c r="A72" s="14" t="n">
        <v>65</v>
      </c>
      <c r="B72" s="17" t="n">
        <v>-0.11</v>
      </c>
      <c r="C72" s="17" t="n">
        <v>0.32</v>
      </c>
      <c r="D72" s="17" t="n">
        <v>0.6</v>
      </c>
      <c r="E72" s="17" t="n">
        <v>1</v>
      </c>
      <c r="F72" s="17" t="n">
        <v>0.02</v>
      </c>
      <c r="G72" s="17" t="n">
        <v>-0.11</v>
      </c>
    </row>
    <row r="73">
      <c r="A73" s="14" t="n">
        <v>66</v>
      </c>
      <c r="B73" s="17" t="n">
        <v>-0.1</v>
      </c>
      <c r="C73" s="17" t="n">
        <v>0.31</v>
      </c>
      <c r="D73" s="17" t="n">
        <v>0.55</v>
      </c>
      <c r="E73" s="17" t="n">
        <v>0.92</v>
      </c>
      <c r="F73" s="17" t="n">
        <v>0.02</v>
      </c>
      <c r="G73" s="17" t="n">
        <v>-0.07000000000000001</v>
      </c>
    </row>
    <row r="74">
      <c r="A74" s="14" t="n">
        <v>67</v>
      </c>
      <c r="B74" s="17" t="n">
        <v>-0.14</v>
      </c>
      <c r="C74" s="17" t="n">
        <v>0.28</v>
      </c>
      <c r="D74" s="17" t="n">
        <v>0.44</v>
      </c>
      <c r="E74" s="17" t="n">
        <v>0.91</v>
      </c>
      <c r="F74" s="17" t="n">
        <v>0.01</v>
      </c>
      <c r="G74" s="17" t="n">
        <v>-0.07000000000000001</v>
      </c>
    </row>
    <row r="75">
      <c r="A75" s="14" t="n">
        <v>68</v>
      </c>
      <c r="B75" s="17" t="n">
        <v>-0.16</v>
      </c>
      <c r="C75" s="17" t="n">
        <v>0.29</v>
      </c>
      <c r="D75" s="17" t="n">
        <v>0.46</v>
      </c>
      <c r="E75" s="17" t="n">
        <v>0.97</v>
      </c>
      <c r="F75" s="17" t="n">
        <v>0.01</v>
      </c>
      <c r="G75" s="17" t="n">
        <v>-0.12</v>
      </c>
    </row>
    <row r="76">
      <c r="A76" s="14" t="n">
        <v>69</v>
      </c>
      <c r="B76" s="17" t="n">
        <v>-0.13</v>
      </c>
      <c r="C76" s="17" t="n">
        <v>0.33</v>
      </c>
      <c r="D76" s="17" t="n">
        <v>0.47</v>
      </c>
      <c r="E76" s="17" t="n">
        <v>0.85</v>
      </c>
      <c r="F76" s="17" t="n">
        <v>0</v>
      </c>
      <c r="G76" s="17" t="n">
        <v>-0.12</v>
      </c>
    </row>
    <row r="77">
      <c r="A77" s="14" t="n">
        <v>70</v>
      </c>
      <c r="B77" s="17" t="n">
        <v>-0.08</v>
      </c>
      <c r="C77" s="17" t="n">
        <v>0.43</v>
      </c>
      <c r="D77" s="17" t="n">
        <v>0.42</v>
      </c>
      <c r="E77" s="17" t="n">
        <v>0.77</v>
      </c>
      <c r="F77" s="17" t="n">
        <v>0</v>
      </c>
      <c r="G77" s="17" t="n">
        <v>-0.11</v>
      </c>
    </row>
    <row r="78">
      <c r="A78" s="14" t="n">
        <v>71</v>
      </c>
      <c r="B78" s="17" t="n">
        <v>-0.12</v>
      </c>
      <c r="C78" s="17" t="n">
        <v>0.42</v>
      </c>
      <c r="D78" s="17" t="n">
        <v>0.41</v>
      </c>
      <c r="E78" s="17" t="n">
        <v>0.89</v>
      </c>
      <c r="F78" s="17" t="n">
        <v>0.01</v>
      </c>
      <c r="G78" s="17" t="n">
        <v>-0.13</v>
      </c>
    </row>
    <row r="79">
      <c r="A79" s="14" t="n">
        <v>72</v>
      </c>
      <c r="B79" s="17" t="n">
        <v>-0.13</v>
      </c>
      <c r="C79" s="17" t="n">
        <v>0.42</v>
      </c>
      <c r="D79" s="17" t="n">
        <v>0.37</v>
      </c>
      <c r="E79" s="17" t="n">
        <v>0.82</v>
      </c>
      <c r="F79" s="17" t="n">
        <v>0.01</v>
      </c>
      <c r="G79" s="17" t="n">
        <v>-0.15</v>
      </c>
    </row>
    <row r="80">
      <c r="A80" s="14" t="n">
        <v>73</v>
      </c>
      <c r="B80" s="17" t="n">
        <v>-0.12</v>
      </c>
      <c r="C80" s="17" t="n">
        <v>0.47</v>
      </c>
      <c r="D80" s="17" t="n">
        <v>0.4</v>
      </c>
      <c r="E80" s="17" t="n">
        <v>0.9</v>
      </c>
      <c r="F80" s="17" t="n">
        <v>0.01</v>
      </c>
      <c r="G80" s="17" t="n">
        <v>-0.16</v>
      </c>
    </row>
    <row r="81">
      <c r="A81" s="14" t="n">
        <v>74</v>
      </c>
      <c r="B81" s="17" t="n">
        <v>-0.21</v>
      </c>
      <c r="C81" s="17" t="n">
        <v>0.5</v>
      </c>
      <c r="D81" s="17" t="n">
        <v>0.37</v>
      </c>
      <c r="E81" s="17" t="n">
        <v>1.02</v>
      </c>
      <c r="F81" s="17" t="n">
        <v>0.01</v>
      </c>
      <c r="G81" s="17" t="n">
        <v>-0.17</v>
      </c>
    </row>
    <row r="82">
      <c r="A82" s="14" t="n">
        <v>75</v>
      </c>
      <c r="B82" s="17" t="n">
        <v>-0.23</v>
      </c>
      <c r="C82" s="17" t="n">
        <v>0.5</v>
      </c>
      <c r="D82" s="17" t="n">
        <v>0.43</v>
      </c>
      <c r="E82" s="17" t="n">
        <v>1.1</v>
      </c>
      <c r="F82" s="17" t="n">
        <v>0.01</v>
      </c>
      <c r="G82" s="17" t="n">
        <v>-0.17</v>
      </c>
    </row>
    <row r="83">
      <c r="A83" s="14" t="n">
        <v>76</v>
      </c>
      <c r="B83" s="17" t="n">
        <v>-0.21</v>
      </c>
      <c r="C83" s="17" t="n">
        <v>0.51</v>
      </c>
      <c r="D83" s="17" t="n">
        <v>0.47</v>
      </c>
      <c r="E83" s="17" t="n">
        <v>1.17</v>
      </c>
      <c r="F83" s="17" t="n">
        <v>0</v>
      </c>
      <c r="G83" s="17" t="n">
        <v>-0.2</v>
      </c>
    </row>
    <row r="84">
      <c r="A84" s="14" t="n">
        <v>77</v>
      </c>
      <c r="B84" s="17" t="n">
        <v>-0.27</v>
      </c>
      <c r="C84" s="17" t="n">
        <v>0.67</v>
      </c>
      <c r="D84" s="17" t="n">
        <v>0.46</v>
      </c>
      <c r="E84" s="17" t="n">
        <v>1.12</v>
      </c>
      <c r="F84" s="17" t="n">
        <v>-0.01</v>
      </c>
      <c r="G84" s="17" t="n">
        <v>-0.18</v>
      </c>
    </row>
    <row r="85">
      <c r="A85" s="14" t="n">
        <v>78</v>
      </c>
      <c r="B85" s="17" t="n">
        <v>-0.24</v>
      </c>
      <c r="C85" s="17" t="n">
        <v>0.57</v>
      </c>
      <c r="D85" s="17" t="n">
        <v>0.43</v>
      </c>
      <c r="E85" s="17" t="n">
        <v>1.05</v>
      </c>
      <c r="F85" s="17" t="n">
        <v>-0.02</v>
      </c>
      <c r="G85" s="17" t="n">
        <v>-0.2</v>
      </c>
    </row>
    <row r="86">
      <c r="A86" s="14" t="n">
        <v>79</v>
      </c>
      <c r="B86" s="17" t="n">
        <v>-0.26</v>
      </c>
      <c r="C86" s="17" t="n">
        <v>0.58</v>
      </c>
      <c r="D86" s="17" t="n">
        <v>0.47</v>
      </c>
      <c r="E86" s="17" t="n">
        <v>1.02</v>
      </c>
      <c r="F86" s="17" t="n">
        <v>-0.02</v>
      </c>
      <c r="G86" s="17" t="n">
        <v>-0.16</v>
      </c>
    </row>
    <row r="87">
      <c r="A87" s="14" t="n">
        <v>80</v>
      </c>
      <c r="B87" s="17" t="n">
        <v>-0.28</v>
      </c>
      <c r="C87" s="17" t="n">
        <v>0.55</v>
      </c>
      <c r="D87" s="17" t="n">
        <v>0.47</v>
      </c>
      <c r="E87" s="17" t="n">
        <v>1.14</v>
      </c>
      <c r="F87" s="17" t="n">
        <v>-0.02</v>
      </c>
      <c r="G87" s="17" t="n">
        <v>-0.17</v>
      </c>
    </row>
    <row r="88">
      <c r="A88" s="14" t="n">
        <v>81</v>
      </c>
      <c r="B88" s="17" t="n">
        <v>-0.29</v>
      </c>
      <c r="C88" s="17" t="n">
        <v>0.6</v>
      </c>
      <c r="D88" s="17" t="n">
        <v>0.54</v>
      </c>
      <c r="E88" s="17" t="n">
        <v>1.05</v>
      </c>
      <c r="F88" s="17" t="n">
        <v>-0.02</v>
      </c>
      <c r="G88" s="17" t="n">
        <v>-0.16</v>
      </c>
    </row>
    <row r="89">
      <c r="A89" s="14" t="n">
        <v>82</v>
      </c>
      <c r="B89" s="17" t="n">
        <v>-0.25</v>
      </c>
      <c r="C89" s="17" t="n">
        <v>0.67</v>
      </c>
      <c r="D89" s="17" t="n">
        <v>0.47</v>
      </c>
      <c r="E89" s="17" t="n">
        <v>1.03</v>
      </c>
      <c r="F89" s="17" t="n">
        <v>-0.02</v>
      </c>
      <c r="G89" s="17" t="n">
        <v>-0.16</v>
      </c>
    </row>
    <row r="90">
      <c r="A90" s="14" t="n">
        <v>83</v>
      </c>
      <c r="B90" s="17" t="n">
        <v>-0.24</v>
      </c>
      <c r="C90" s="17" t="n">
        <v>0.6899999999999999</v>
      </c>
      <c r="D90" s="17" t="n">
        <v>0.51</v>
      </c>
      <c r="E90" s="17" t="n">
        <v>1.07</v>
      </c>
      <c r="F90" s="17" t="n">
        <v>-0.02</v>
      </c>
      <c r="G90" s="17" t="n">
        <v>-0.16</v>
      </c>
    </row>
    <row r="91">
      <c r="A91" s="14" t="n">
        <v>84</v>
      </c>
      <c r="B91" s="17" t="n">
        <v>-0.25</v>
      </c>
      <c r="C91" s="17" t="n">
        <v>0.72</v>
      </c>
      <c r="D91" s="17" t="n">
        <v>0.53</v>
      </c>
      <c r="E91" s="17" t="n">
        <v>1.07</v>
      </c>
      <c r="F91" s="17" t="n">
        <v>-0.02</v>
      </c>
      <c r="G91" s="17" t="n">
        <v>-0.16</v>
      </c>
    </row>
    <row r="92">
      <c r="A92" s="14" t="n">
        <v>85</v>
      </c>
      <c r="B92" s="17" t="n">
        <v>-0.27</v>
      </c>
      <c r="C92" s="17" t="n">
        <v>0.68</v>
      </c>
      <c r="D92" s="17" t="n">
        <v>0.46</v>
      </c>
      <c r="E92" s="17" t="n">
        <v>0.96</v>
      </c>
      <c r="F92" s="17" t="n">
        <v>-0.02</v>
      </c>
      <c r="G92" s="17" t="n">
        <v>-0.19</v>
      </c>
    </row>
    <row r="93">
      <c r="A93" s="14" t="n">
        <v>86</v>
      </c>
      <c r="B93" s="17" t="n">
        <v>-0.18</v>
      </c>
      <c r="C93" s="17" t="n">
        <v>0.66</v>
      </c>
      <c r="D93" s="17" t="n">
        <v>0.46</v>
      </c>
      <c r="E93" s="17" t="n">
        <v>0.86</v>
      </c>
      <c r="F93" s="17" t="n">
        <v>-0.02</v>
      </c>
      <c r="G93" s="17" t="n">
        <v>-0.18</v>
      </c>
    </row>
    <row r="94">
      <c r="A94" s="14" t="n">
        <v>87</v>
      </c>
      <c r="B94" s="17" t="n">
        <v>-0.15</v>
      </c>
      <c r="C94" s="17" t="n">
        <v>0.67</v>
      </c>
      <c r="D94" s="17" t="n">
        <v>0.39</v>
      </c>
      <c r="E94" s="17" t="n">
        <v>0.76</v>
      </c>
      <c r="F94" s="17" t="n">
        <v>-0.01</v>
      </c>
      <c r="G94" s="17" t="n">
        <v>-0.1</v>
      </c>
    </row>
    <row r="95">
      <c r="A95" s="14" t="n">
        <v>88</v>
      </c>
      <c r="B95" s="17" t="n">
        <v>-0.15</v>
      </c>
      <c r="C95" s="17" t="n">
        <v>0.77</v>
      </c>
      <c r="D95" s="17" t="n">
        <v>0.4</v>
      </c>
      <c r="E95" s="17" t="n">
        <v>0.86</v>
      </c>
      <c r="F95" s="17" t="n">
        <v>-0.02</v>
      </c>
      <c r="G95" s="17" t="n">
        <v>-0.06</v>
      </c>
    </row>
    <row r="96">
      <c r="A96" s="14" t="n">
        <v>89</v>
      </c>
      <c r="B96" s="17" t="n">
        <v>-0.13</v>
      </c>
      <c r="C96" s="17" t="n">
        <v>0.75</v>
      </c>
      <c r="D96" s="17" t="n">
        <v>0.29</v>
      </c>
      <c r="E96" s="17" t="n">
        <v>0.77</v>
      </c>
      <c r="F96" s="17" t="n">
        <v>-0.02</v>
      </c>
      <c r="G96" s="17" t="n">
        <v>-0.07000000000000001</v>
      </c>
    </row>
    <row r="97">
      <c r="A97" s="14" t="n">
        <v>90</v>
      </c>
      <c r="B97" s="17" t="n">
        <v>-0.16</v>
      </c>
      <c r="C97" s="17" t="n">
        <v>0.75</v>
      </c>
      <c r="D97" s="17" t="n">
        <v>0.31</v>
      </c>
      <c r="E97" s="17" t="n">
        <v>0.68</v>
      </c>
      <c r="F97" s="17" t="n">
        <v>0.01</v>
      </c>
      <c r="G97" s="17" t="n">
        <v>-0.12</v>
      </c>
    </row>
    <row r="98">
      <c r="A98" s="14" t="n">
        <v>91</v>
      </c>
      <c r="B98" s="17" t="n">
        <v>-0.09</v>
      </c>
      <c r="C98" s="17" t="n">
        <v>0.76</v>
      </c>
      <c r="D98" s="17" t="n">
        <v>0.32</v>
      </c>
      <c r="E98" s="17" t="n">
        <v>0.8100000000000001</v>
      </c>
      <c r="F98" s="17" t="n">
        <v>0.02</v>
      </c>
      <c r="G98" s="17" t="n">
        <v>-0.2</v>
      </c>
    </row>
    <row r="99">
      <c r="A99" s="14" t="n">
        <v>92</v>
      </c>
      <c r="B99" s="17" t="n">
        <v>-0.15</v>
      </c>
      <c r="C99" s="17" t="n">
        <v>0.84</v>
      </c>
      <c r="D99" s="17" t="n">
        <v>0.38</v>
      </c>
      <c r="E99" s="17" t="n">
        <v>0.8</v>
      </c>
      <c r="F99" s="17" t="n">
        <v>0.02</v>
      </c>
      <c r="G99" s="17" t="n">
        <v>-0.28</v>
      </c>
    </row>
    <row r="100">
      <c r="A100" s="14" t="n">
        <v>93</v>
      </c>
      <c r="B100" s="17" t="n">
        <v>-0.15</v>
      </c>
      <c r="C100" s="17" t="n">
        <v>0.87</v>
      </c>
      <c r="D100" s="17" t="n">
        <v>0.39</v>
      </c>
      <c r="E100" s="17" t="n">
        <v>0.82</v>
      </c>
      <c r="F100" s="17" t="n">
        <v>0.02</v>
      </c>
      <c r="G100" s="17" t="n">
        <v>-0.24</v>
      </c>
    </row>
    <row r="101">
      <c r="A101" s="14" t="n">
        <v>94</v>
      </c>
      <c r="B101" s="17" t="n">
        <v>-0.13</v>
      </c>
      <c r="C101" s="17" t="n">
        <v>0.82</v>
      </c>
      <c r="D101" s="17" t="n">
        <v>0.44</v>
      </c>
      <c r="E101" s="17" t="n">
        <v>0.63</v>
      </c>
      <c r="F101" s="17" t="n">
        <v>0.02</v>
      </c>
      <c r="G101" s="17" t="n">
        <v>-0.25</v>
      </c>
    </row>
    <row r="102">
      <c r="A102" s="14" t="n">
        <v>95</v>
      </c>
      <c r="B102" s="17" t="n">
        <v>-0.18</v>
      </c>
      <c r="C102" s="17" t="n">
        <v>0.76</v>
      </c>
      <c r="D102" s="17" t="n">
        <v>0.49</v>
      </c>
      <c r="E102" s="17" t="n">
        <v>0.72</v>
      </c>
      <c r="F102" s="17" t="n">
        <v>0.02</v>
      </c>
      <c r="G102" s="17" t="n">
        <v>-0.21</v>
      </c>
    </row>
    <row r="103">
      <c r="A103" s="14" t="n">
        <v>96</v>
      </c>
      <c r="B103" s="17" t="n">
        <v>-0.15</v>
      </c>
      <c r="C103" s="17" t="n">
        <v>0.75</v>
      </c>
      <c r="D103" s="17" t="n">
        <v>0.44</v>
      </c>
      <c r="E103" s="17" t="n">
        <v>0.64</v>
      </c>
      <c r="F103" s="17" t="n">
        <v>0.03</v>
      </c>
      <c r="G103" s="17" t="n">
        <v>-0.26</v>
      </c>
    </row>
    <row r="104">
      <c r="A104" s="14" t="n">
        <v>97</v>
      </c>
      <c r="B104" s="17" t="n">
        <v>-0.12</v>
      </c>
      <c r="C104" s="17" t="n">
        <v>0.76</v>
      </c>
      <c r="D104" s="17" t="n">
        <v>0.42</v>
      </c>
      <c r="E104" s="17" t="n">
        <v>0.63</v>
      </c>
      <c r="F104" s="17" t="n">
        <v>0.04</v>
      </c>
      <c r="G104" s="17" t="n">
        <v>-0.3</v>
      </c>
    </row>
    <row r="105">
      <c r="A105" s="14" t="n">
        <v>98</v>
      </c>
      <c r="B105" s="17" t="n">
        <v>-0.13</v>
      </c>
      <c r="C105" s="17" t="n">
        <v>0.8</v>
      </c>
      <c r="D105" s="17" t="n">
        <v>0.43</v>
      </c>
      <c r="E105" s="17" t="n">
        <v>0.61</v>
      </c>
      <c r="F105" s="17" t="n">
        <v>0.03</v>
      </c>
      <c r="G105" s="17" t="n">
        <v>-0.3</v>
      </c>
    </row>
    <row r="106">
      <c r="A106" s="14" t="n">
        <v>99</v>
      </c>
      <c r="B106" s="17" t="n">
        <v>-0.14</v>
      </c>
      <c r="C106" s="17" t="n">
        <v>0.86</v>
      </c>
      <c r="D106" s="17" t="n">
        <v>0.51</v>
      </c>
      <c r="E106" s="17" t="n">
        <v>0.6</v>
      </c>
      <c r="F106" s="17" t="n">
        <v>0.04</v>
      </c>
      <c r="G106" s="17" t="n">
        <v>-0.29</v>
      </c>
    </row>
    <row r="107">
      <c r="A107" s="14" t="n">
        <v>100</v>
      </c>
      <c r="B107" s="17" t="n">
        <v>-0.13</v>
      </c>
      <c r="C107" s="17" t="n">
        <v>0.86</v>
      </c>
      <c r="D107" s="17" t="n">
        <v>0.52</v>
      </c>
      <c r="E107" s="17" t="n">
        <v>0.61</v>
      </c>
      <c r="F107" s="17" t="n">
        <v>0.03</v>
      </c>
      <c r="G107" s="17" t="n">
        <v>-0.26</v>
      </c>
    </row>
    <row r="108">
      <c r="A108" s="14" t="n">
        <v>101</v>
      </c>
      <c r="B108" s="17" t="n">
        <v>-0.16</v>
      </c>
      <c r="C108" s="17" t="n">
        <v>0.87</v>
      </c>
      <c r="D108" s="17" t="n">
        <v>0.49</v>
      </c>
      <c r="E108" s="17" t="n">
        <v>0.66</v>
      </c>
      <c r="F108" s="17" t="n">
        <v>0.03</v>
      </c>
      <c r="G108" s="17" t="n">
        <v>-0.27</v>
      </c>
    </row>
    <row r="109">
      <c r="A109" s="14" t="n">
        <v>102</v>
      </c>
      <c r="B109" s="17" t="n">
        <v>-0.2</v>
      </c>
      <c r="C109" s="17" t="n">
        <v>0.82</v>
      </c>
      <c r="D109" s="17" t="n">
        <v>0.48</v>
      </c>
      <c r="E109" s="17" t="n">
        <v>0.58</v>
      </c>
      <c r="F109" s="17" t="n">
        <v>0.03</v>
      </c>
      <c r="G109" s="17" t="n">
        <v>-0.26</v>
      </c>
    </row>
    <row r="110">
      <c r="A110" s="14" t="n">
        <v>103</v>
      </c>
      <c r="B110" s="17" t="n">
        <v>-0.22</v>
      </c>
      <c r="C110" s="17" t="n">
        <v>0.85</v>
      </c>
      <c r="D110" s="17" t="n">
        <v>0.53</v>
      </c>
      <c r="E110" s="17" t="n">
        <v>0.53</v>
      </c>
      <c r="F110" s="17" t="n">
        <v>0.03</v>
      </c>
      <c r="G110" s="17" t="n">
        <v>-0.22</v>
      </c>
    </row>
    <row r="111">
      <c r="A111" s="14" t="n">
        <v>104</v>
      </c>
      <c r="B111" s="17" t="n">
        <v>-0.25</v>
      </c>
      <c r="C111" s="17" t="n">
        <v>0.86</v>
      </c>
      <c r="D111" s="17" t="n">
        <v>0.48</v>
      </c>
      <c r="E111" s="17" t="n">
        <v>0.46</v>
      </c>
      <c r="F111" s="17" t="n">
        <v>0.03</v>
      </c>
      <c r="G111" s="17" t="n">
        <v>-0.27</v>
      </c>
    </row>
    <row r="112">
      <c r="A112" s="14" t="n">
        <v>105</v>
      </c>
      <c r="B112" s="17" t="n">
        <v>-0.26</v>
      </c>
      <c r="C112" s="17" t="n">
        <v>0.8</v>
      </c>
      <c r="D112" s="17" t="n">
        <v>0.62</v>
      </c>
      <c r="E112" s="17" t="n">
        <v>0.5600000000000001</v>
      </c>
      <c r="F112" s="17" t="n">
        <v>0.02</v>
      </c>
      <c r="G112" s="17" t="n">
        <v>-0.35</v>
      </c>
    </row>
    <row r="113">
      <c r="A113" s="14" t="n">
        <v>106</v>
      </c>
      <c r="B113" s="17" t="n">
        <v>-0.24</v>
      </c>
      <c r="C113" s="17" t="n">
        <v>0.8100000000000001</v>
      </c>
      <c r="D113" s="17" t="n">
        <v>0.64</v>
      </c>
      <c r="E113" s="17" t="n">
        <v>0.41</v>
      </c>
      <c r="F113" s="17" t="n">
        <v>0.02</v>
      </c>
      <c r="G113" s="17" t="n">
        <v>-0.5</v>
      </c>
    </row>
    <row r="114">
      <c r="A114" s="14" t="n">
        <v>107</v>
      </c>
      <c r="B114" s="17" t="n">
        <v>-0.17</v>
      </c>
      <c r="C114" s="17" t="n">
        <v>0.77</v>
      </c>
      <c r="D114" s="17" t="n">
        <v>0.68</v>
      </c>
      <c r="E114" s="17" t="n">
        <v>0.47</v>
      </c>
      <c r="F114" s="17" t="n">
        <v>0.02</v>
      </c>
      <c r="G114" s="17" t="n">
        <v>-0.53</v>
      </c>
    </row>
    <row r="115">
      <c r="A115" s="14" t="n">
        <v>108</v>
      </c>
      <c r="B115" s="17" t="n">
        <v>-0.17</v>
      </c>
      <c r="C115" s="17" t="n">
        <v>0.8</v>
      </c>
      <c r="D115" s="17" t="n">
        <v>0.66</v>
      </c>
      <c r="E115" s="17" t="n">
        <v>0.37</v>
      </c>
      <c r="F115" s="17" t="n">
        <v>0.02</v>
      </c>
      <c r="G115" s="17" t="n">
        <v>-0.47</v>
      </c>
    </row>
    <row r="116">
      <c r="A116" s="14" t="n">
        <v>109</v>
      </c>
      <c r="B116" s="17" t="n">
        <v>-0.2</v>
      </c>
      <c r="C116" s="17" t="n">
        <v>0.82</v>
      </c>
      <c r="D116" s="17" t="n">
        <v>0.78</v>
      </c>
      <c r="E116" s="17" t="n">
        <v>0.31</v>
      </c>
      <c r="F116" s="17" t="n">
        <v>0.02</v>
      </c>
      <c r="G116" s="17" t="n">
        <v>-0.53</v>
      </c>
    </row>
    <row r="117">
      <c r="A117" s="14" t="n">
        <v>110</v>
      </c>
      <c r="B117" s="17" t="n">
        <v>-0.15</v>
      </c>
      <c r="C117" s="17" t="n">
        <v>0.77</v>
      </c>
      <c r="D117" s="17" t="n">
        <v>0.8</v>
      </c>
      <c r="E117" s="17" t="n">
        <v>0.33</v>
      </c>
      <c r="F117" s="17" t="n">
        <v>0.01</v>
      </c>
      <c r="G117" s="17" t="n">
        <v>-0.62</v>
      </c>
    </row>
    <row r="118">
      <c r="A118" s="14" t="n">
        <v>111</v>
      </c>
      <c r="B118" s="17" t="n">
        <v>-0.12</v>
      </c>
      <c r="C118" s="17" t="n">
        <v>0.77</v>
      </c>
      <c r="D118" s="17" t="n">
        <v>0.8</v>
      </c>
      <c r="E118" s="17" t="n">
        <v>0.42</v>
      </c>
      <c r="F118" s="17" t="n">
        <v>0.02</v>
      </c>
      <c r="G118" s="17" t="n">
        <v>-0.63</v>
      </c>
    </row>
    <row r="119">
      <c r="A119" s="14" t="n">
        <v>112</v>
      </c>
      <c r="B119" s="17" t="n">
        <v>-0.09</v>
      </c>
      <c r="C119" s="17" t="n">
        <v>0.6899999999999999</v>
      </c>
      <c r="D119" s="17" t="n">
        <v>0.85</v>
      </c>
      <c r="E119" s="17" t="n">
        <v>0.42</v>
      </c>
      <c r="F119" s="17" t="n">
        <v>0.02</v>
      </c>
      <c r="G119" s="17" t="n">
        <v>-0.61</v>
      </c>
    </row>
    <row r="120">
      <c r="A120" s="14" t="n">
        <v>113</v>
      </c>
      <c r="B120" s="17" t="n">
        <v>-0.08</v>
      </c>
      <c r="C120" s="17" t="n">
        <v>0.72</v>
      </c>
      <c r="D120" s="17" t="n">
        <v>0.77</v>
      </c>
      <c r="E120" s="17" t="n">
        <v>0.39</v>
      </c>
      <c r="F120" s="17" t="n">
        <v>0.03</v>
      </c>
      <c r="G120" s="17" t="n">
        <v>-0.57</v>
      </c>
    </row>
    <row r="121">
      <c r="A121" s="14" t="n">
        <v>114</v>
      </c>
      <c r="B121" s="17" t="n">
        <v>-0.13</v>
      </c>
      <c r="C121" s="17" t="n">
        <v>0.74</v>
      </c>
      <c r="D121" s="17" t="n">
        <v>0.67</v>
      </c>
      <c r="E121" s="17" t="n">
        <v>0.23</v>
      </c>
      <c r="F121" s="17" t="n">
        <v>0.03</v>
      </c>
      <c r="G121" s="17" t="n">
        <v>-0.54</v>
      </c>
    </row>
    <row r="122">
      <c r="A122" s="14" t="n">
        <v>115</v>
      </c>
      <c r="B122" s="17" t="n">
        <v>-0.12</v>
      </c>
      <c r="C122" s="17" t="n">
        <v>0.71</v>
      </c>
      <c r="D122" s="17" t="n">
        <v>0.88</v>
      </c>
      <c r="E122" s="17" t="n">
        <v>0.11</v>
      </c>
      <c r="F122" s="17" t="n">
        <v>0.02</v>
      </c>
      <c r="G122" s="17" t="n">
        <v>-0.48</v>
      </c>
    </row>
    <row r="123">
      <c r="A123" s="14" t="n">
        <v>116</v>
      </c>
      <c r="B123" s="17" t="n">
        <v>-0.07000000000000001</v>
      </c>
      <c r="C123" s="17" t="n">
        <v>0.7</v>
      </c>
      <c r="D123" s="17" t="n">
        <v>0.92</v>
      </c>
      <c r="E123" s="17" t="n">
        <v>0.1</v>
      </c>
      <c r="F123" s="17" t="n">
        <v>0.02</v>
      </c>
      <c r="G123" s="17" t="n">
        <v>-0.45</v>
      </c>
    </row>
    <row r="124">
      <c r="A124" s="14" t="n">
        <v>117</v>
      </c>
      <c r="B124" s="17" t="n">
        <v>-0.08</v>
      </c>
      <c r="C124" s="17" t="n">
        <v>0.7</v>
      </c>
      <c r="D124" s="17" t="n">
        <v>0.9399999999999999</v>
      </c>
      <c r="E124" s="17" t="n">
        <v>0.14</v>
      </c>
      <c r="F124" s="17" t="n">
        <v>0.02</v>
      </c>
      <c r="G124" s="17" t="n">
        <v>-0.48</v>
      </c>
    </row>
    <row r="125">
      <c r="A125" s="14" t="n">
        <v>118</v>
      </c>
      <c r="B125" s="17" t="n">
        <v>-0.11</v>
      </c>
      <c r="C125" s="17" t="n">
        <v>0.71</v>
      </c>
      <c r="D125" s="17" t="n">
        <v>0.86</v>
      </c>
      <c r="E125" s="17" t="n">
        <v>0.12</v>
      </c>
      <c r="F125" s="17" t="n">
        <v>0.02</v>
      </c>
      <c r="G125" s="17" t="n">
        <v>-0.46</v>
      </c>
    </row>
    <row r="126">
      <c r="A126" s="14" t="n">
        <v>119</v>
      </c>
      <c r="B126" s="17" t="n">
        <v>-0.1</v>
      </c>
      <c r="C126" s="17" t="n">
        <v>0.71</v>
      </c>
      <c r="D126" s="17" t="n">
        <v>0.86</v>
      </c>
      <c r="E126" s="17" t="n">
        <v>0.05</v>
      </c>
      <c r="F126" s="17" t="n">
        <v>0.02</v>
      </c>
      <c r="G126" s="17" t="n">
        <v>-0.32</v>
      </c>
    </row>
    <row r="127">
      <c r="A127" s="14" t="n">
        <v>120</v>
      </c>
      <c r="B127" s="17" t="n">
        <v>-0.14</v>
      </c>
      <c r="C127" s="17" t="n">
        <v>0.76</v>
      </c>
      <c r="D127" s="17" t="n">
        <v>0.78</v>
      </c>
      <c r="E127" s="17" t="n">
        <v>0.08</v>
      </c>
      <c r="F127" s="17" t="n">
        <v>0.02</v>
      </c>
      <c r="G127" s="17" t="n">
        <v>-0.39</v>
      </c>
    </row>
    <row r="128">
      <c r="A128" s="14" t="n">
        <v>121</v>
      </c>
      <c r="B128" s="17" t="n">
        <v>-0.1</v>
      </c>
      <c r="C128" s="17" t="n">
        <v>0.76</v>
      </c>
      <c r="D128" s="17" t="n">
        <v>0.76</v>
      </c>
      <c r="E128" s="17" t="n">
        <v>0.09</v>
      </c>
      <c r="F128" s="17" t="n">
        <v>0.02</v>
      </c>
      <c r="G128" s="17" t="n">
        <v>-0.32</v>
      </c>
    </row>
    <row r="129">
      <c r="A129" s="14" t="n">
        <v>122</v>
      </c>
      <c r="B129" s="17" t="n">
        <v>-0.09</v>
      </c>
      <c r="C129" s="17" t="n">
        <v>0.78</v>
      </c>
      <c r="D129" s="17" t="n">
        <v>0.75</v>
      </c>
      <c r="E129" s="17" t="n">
        <v>0.08</v>
      </c>
      <c r="F129" s="17" t="n">
        <v>0.02</v>
      </c>
      <c r="G129" s="17" t="n">
        <v>-0.33</v>
      </c>
    </row>
    <row r="130">
      <c r="A130" s="14" t="n">
        <v>123</v>
      </c>
      <c r="B130" s="17" t="n">
        <v>-0.08</v>
      </c>
      <c r="C130" s="17" t="n">
        <v>0.78</v>
      </c>
      <c r="D130" s="17" t="n">
        <v>0.8100000000000001</v>
      </c>
      <c r="E130" s="17" t="n">
        <v>-0.02</v>
      </c>
      <c r="F130" s="17" t="n">
        <v>0.03</v>
      </c>
      <c r="G130" s="17" t="n">
        <v>-0.44</v>
      </c>
    </row>
    <row r="131">
      <c r="A131" s="14" t="n">
        <v>124</v>
      </c>
      <c r="B131" s="17" t="n">
        <v>-0.11</v>
      </c>
      <c r="C131" s="17" t="n">
        <v>0.76</v>
      </c>
      <c r="D131" s="17" t="n">
        <v>0.88</v>
      </c>
      <c r="E131" s="17" t="n">
        <v>0.03</v>
      </c>
      <c r="F131" s="17" t="n">
        <v>0.03</v>
      </c>
      <c r="G131" s="17" t="n">
        <v>-0.49</v>
      </c>
    </row>
    <row r="132">
      <c r="A132" s="14" t="n">
        <v>125</v>
      </c>
      <c r="B132" s="17" t="n">
        <v>-0.12</v>
      </c>
      <c r="C132" s="17" t="n">
        <v>0.74</v>
      </c>
      <c r="D132" s="17" t="n">
        <v>0.9</v>
      </c>
      <c r="E132" s="17" t="n">
        <v>0.07000000000000001</v>
      </c>
      <c r="F132" s="17" t="n">
        <v>0.03</v>
      </c>
      <c r="G132" s="17" t="n">
        <v>-0.45</v>
      </c>
    </row>
    <row r="133">
      <c r="A133" s="14" t="n">
        <v>126</v>
      </c>
      <c r="B133" s="17" t="n">
        <v>-0.14</v>
      </c>
      <c r="C133" s="17" t="n">
        <v>0.72</v>
      </c>
      <c r="D133" s="17" t="n">
        <v>1.04</v>
      </c>
      <c r="E133" s="17" t="n">
        <v>0.14</v>
      </c>
      <c r="F133" s="17" t="n">
        <v>0.04</v>
      </c>
      <c r="G133" s="17" t="n">
        <v>-0.46</v>
      </c>
    </row>
    <row r="134">
      <c r="A134" s="14" t="n">
        <v>127</v>
      </c>
      <c r="B134" s="17" t="n">
        <v>-0.12</v>
      </c>
      <c r="C134" s="17" t="n">
        <v>0.71</v>
      </c>
      <c r="D134" s="17" t="n">
        <v>1.06</v>
      </c>
      <c r="E134" s="17" t="n">
        <v>0.1</v>
      </c>
      <c r="F134" s="17" t="n">
        <v>0.04</v>
      </c>
      <c r="G134" s="17" t="n">
        <v>-0.45</v>
      </c>
    </row>
    <row r="135">
      <c r="A135" s="14" t="n">
        <v>128</v>
      </c>
      <c r="B135" s="17" t="n">
        <v>-0.08</v>
      </c>
      <c r="C135" s="17" t="n">
        <v>0.73</v>
      </c>
      <c r="D135" s="17" t="n">
        <v>1.06</v>
      </c>
      <c r="E135" s="17" t="n">
        <v>0.18</v>
      </c>
      <c r="F135" s="17" t="n">
        <v>0.04</v>
      </c>
      <c r="G135" s="17" t="n">
        <v>-0.4</v>
      </c>
    </row>
    <row r="136">
      <c r="A136" s="14" t="n">
        <v>129</v>
      </c>
      <c r="B136" s="17" t="n">
        <v>-0.07000000000000001</v>
      </c>
      <c r="C136" s="17" t="n">
        <v>0.76</v>
      </c>
      <c r="D136" s="17" t="n">
        <v>1.08</v>
      </c>
      <c r="E136" s="17" t="n">
        <v>0.24</v>
      </c>
      <c r="F136" s="17" t="n">
        <v>0.05</v>
      </c>
      <c r="G136" s="17" t="n">
        <v>-0.4</v>
      </c>
    </row>
    <row r="137">
      <c r="A137" s="14" t="n">
        <v>130</v>
      </c>
      <c r="B137" s="17" t="n">
        <v>-0.09</v>
      </c>
      <c r="C137" s="17" t="n">
        <v>0.77</v>
      </c>
      <c r="D137" s="17" t="n">
        <v>1.07</v>
      </c>
      <c r="E137" s="17" t="n">
        <v>0.2</v>
      </c>
      <c r="F137" s="17" t="n">
        <v>0.05</v>
      </c>
      <c r="G137" s="17" t="n">
        <v>-0.37</v>
      </c>
    </row>
    <row r="138">
      <c r="A138" s="14" t="n">
        <v>131</v>
      </c>
      <c r="B138" s="17" t="n">
        <v>-0.08</v>
      </c>
      <c r="C138" s="17" t="n">
        <v>0.82</v>
      </c>
      <c r="D138" s="17" t="n">
        <v>1.09</v>
      </c>
      <c r="E138" s="17" t="n">
        <v>0.21</v>
      </c>
      <c r="F138" s="17" t="n">
        <v>0.05</v>
      </c>
      <c r="G138" s="17" t="n">
        <v>-0.38</v>
      </c>
    </row>
    <row r="139">
      <c r="A139" s="14" t="n">
        <v>132</v>
      </c>
      <c r="B139" s="17" t="n">
        <v>-0.11</v>
      </c>
      <c r="C139" s="17" t="n">
        <v>0.79</v>
      </c>
      <c r="D139" s="17" t="n">
        <v>1.13</v>
      </c>
      <c r="E139" s="17" t="n">
        <v>0.23</v>
      </c>
      <c r="F139" s="17" t="n">
        <v>0.05</v>
      </c>
      <c r="G139" s="17" t="n">
        <v>-0.49</v>
      </c>
    </row>
    <row r="140">
      <c r="A140" s="14" t="n">
        <v>133</v>
      </c>
      <c r="B140" s="17" t="n">
        <v>-0.07000000000000001</v>
      </c>
      <c r="C140" s="17" t="n">
        <v>0.76</v>
      </c>
      <c r="D140" s="17" t="n">
        <v>1.18</v>
      </c>
      <c r="E140" s="17" t="n">
        <v>0.17</v>
      </c>
      <c r="F140" s="17" t="n">
        <v>0.05</v>
      </c>
      <c r="G140" s="17" t="n">
        <v>-0.5</v>
      </c>
    </row>
    <row r="141">
      <c r="A141" s="14" t="n">
        <v>134</v>
      </c>
      <c r="B141" s="17" t="n">
        <v>-0.08</v>
      </c>
      <c r="C141" s="17" t="n">
        <v>0.77</v>
      </c>
      <c r="D141" s="17" t="n">
        <v>1.28</v>
      </c>
      <c r="E141" s="17" t="n">
        <v>0.15</v>
      </c>
      <c r="F141" s="17" t="n">
        <v>0.05</v>
      </c>
      <c r="G141" s="17" t="n">
        <v>-0.53</v>
      </c>
    </row>
    <row r="142">
      <c r="A142" s="14" t="n">
        <v>135</v>
      </c>
      <c r="B142" s="17" t="n">
        <v>-0.07000000000000001</v>
      </c>
      <c r="C142" s="17" t="n">
        <v>0.77</v>
      </c>
      <c r="D142" s="17" t="n">
        <v>1.24</v>
      </c>
      <c r="E142" s="17" t="n">
        <v>0.26</v>
      </c>
      <c r="F142" s="17" t="n">
        <v>0.05</v>
      </c>
      <c r="G142" s="17" t="n">
        <v>-0.58</v>
      </c>
    </row>
    <row r="143">
      <c r="A143" s="14" t="n">
        <v>136</v>
      </c>
      <c r="B143" s="17" t="n">
        <v>-0.08</v>
      </c>
      <c r="C143" s="17" t="n">
        <v>0.8100000000000001</v>
      </c>
      <c r="D143" s="17" t="n">
        <v>1.24</v>
      </c>
      <c r="E143" s="17" t="n">
        <v>0.29</v>
      </c>
      <c r="F143" s="17" t="n">
        <v>0.05</v>
      </c>
      <c r="G143" s="17" t="n">
        <v>-0.53</v>
      </c>
    </row>
    <row r="144">
      <c r="A144" s="14" t="n">
        <v>137</v>
      </c>
      <c r="B144" s="17" t="n">
        <v>-0.11</v>
      </c>
      <c r="C144" s="17" t="n">
        <v>0.76</v>
      </c>
      <c r="D144" s="17" t="n">
        <v>1.2</v>
      </c>
      <c r="E144" s="17" t="n">
        <v>0.33</v>
      </c>
      <c r="F144" s="17" t="n">
        <v>0.05</v>
      </c>
      <c r="G144" s="17" t="n">
        <v>-0.51</v>
      </c>
    </row>
    <row r="145">
      <c r="A145" s="14" t="n">
        <v>138</v>
      </c>
      <c r="B145" s="17" t="n">
        <v>-0.09</v>
      </c>
      <c r="C145" s="17" t="n">
        <v>0.76</v>
      </c>
      <c r="D145" s="17" t="n">
        <v>1.05</v>
      </c>
      <c r="E145" s="17" t="n">
        <v>0.34</v>
      </c>
      <c r="F145" s="17" t="n">
        <v>0.04</v>
      </c>
      <c r="G145" s="17" t="n">
        <v>-0.48</v>
      </c>
    </row>
    <row r="146">
      <c r="A146" s="14" t="n">
        <v>139</v>
      </c>
      <c r="B146" s="17" t="n">
        <v>-0.02</v>
      </c>
      <c r="C146" s="17" t="n">
        <v>0.74</v>
      </c>
      <c r="D146" s="17" t="n">
        <v>1.1</v>
      </c>
      <c r="E146" s="17" t="n">
        <v>0.3</v>
      </c>
      <c r="F146" s="17" t="n">
        <v>0.03</v>
      </c>
      <c r="G146" s="17" t="n">
        <v>-0.44</v>
      </c>
    </row>
    <row r="147">
      <c r="A147" s="14" t="n">
        <v>140</v>
      </c>
      <c r="B147" s="17" t="n">
        <v>0.04</v>
      </c>
      <c r="C147" s="17" t="n">
        <v>0.6899999999999999</v>
      </c>
      <c r="D147" s="17" t="n">
        <v>1.16</v>
      </c>
      <c r="E147" s="17" t="n">
        <v>0.33</v>
      </c>
      <c r="F147" s="17" t="n">
        <v>0.03</v>
      </c>
      <c r="G147" s="17" t="n">
        <v>-0.33</v>
      </c>
    </row>
    <row r="148">
      <c r="A148" s="14" t="n">
        <v>141</v>
      </c>
      <c r="B148" s="17" t="n">
        <v>0</v>
      </c>
      <c r="C148" s="17" t="n">
        <v>0.71</v>
      </c>
      <c r="D148" s="17" t="n">
        <v>1.2</v>
      </c>
      <c r="E148" s="17" t="n">
        <v>0.37</v>
      </c>
      <c r="F148" s="17" t="n">
        <v>0.02</v>
      </c>
      <c r="G148" s="17" t="n">
        <v>-0.39</v>
      </c>
    </row>
    <row r="149">
      <c r="A149" s="14" t="n">
        <v>142</v>
      </c>
      <c r="B149" s="17" t="n">
        <v>0</v>
      </c>
      <c r="C149" s="17" t="n">
        <v>0.74</v>
      </c>
      <c r="D149" s="17" t="n">
        <v>1.26</v>
      </c>
      <c r="E149" s="17" t="n">
        <v>0.33</v>
      </c>
      <c r="F149" s="17" t="n">
        <v>0.02</v>
      </c>
      <c r="G149" s="17" t="n">
        <v>-0.37</v>
      </c>
    </row>
    <row r="150">
      <c r="A150" s="14" t="n">
        <v>143</v>
      </c>
      <c r="B150" s="17" t="n">
        <v>-0.02</v>
      </c>
      <c r="C150" s="17" t="n">
        <v>0.71</v>
      </c>
      <c r="D150" s="17" t="n">
        <v>1.31</v>
      </c>
      <c r="E150" s="17" t="n">
        <v>0.34</v>
      </c>
      <c r="F150" s="17" t="n">
        <v>0.02</v>
      </c>
      <c r="G150" s="17" t="n">
        <v>-0.4</v>
      </c>
    </row>
    <row r="151">
      <c r="A151" s="14" t="n">
        <v>144</v>
      </c>
      <c r="B151" s="17" t="n">
        <v>-0.04</v>
      </c>
      <c r="C151" s="17" t="n">
        <v>0.75</v>
      </c>
      <c r="D151" s="17" t="n">
        <v>1.28</v>
      </c>
      <c r="E151" s="17" t="n">
        <v>0.27</v>
      </c>
      <c r="F151" s="17" t="n">
        <v>0.02</v>
      </c>
      <c r="G151" s="17" t="n">
        <v>-0.3</v>
      </c>
    </row>
    <row r="152">
      <c r="A152" s="14" t="n">
        <v>145</v>
      </c>
      <c r="B152" s="17" t="n">
        <v>-0.02</v>
      </c>
      <c r="C152" s="17" t="n">
        <v>0.72</v>
      </c>
      <c r="D152" s="17" t="n">
        <v>1.22</v>
      </c>
      <c r="E152" s="17" t="n">
        <v>0.25</v>
      </c>
      <c r="F152" s="17" t="n">
        <v>0.02</v>
      </c>
      <c r="G152" s="17" t="n">
        <v>-0.25</v>
      </c>
    </row>
    <row r="153">
      <c r="A153" s="14" t="n">
        <v>146</v>
      </c>
      <c r="B153" s="17" t="n">
        <v>0</v>
      </c>
      <c r="C153" s="17" t="n">
        <v>0.76</v>
      </c>
      <c r="D153" s="17" t="n">
        <v>1.19</v>
      </c>
      <c r="E153" s="17" t="n">
        <v>0.18</v>
      </c>
      <c r="F153" s="17" t="n">
        <v>0</v>
      </c>
      <c r="G153" s="17" t="n">
        <v>-0.26</v>
      </c>
    </row>
    <row r="154">
      <c r="A154" s="14" t="n">
        <v>147</v>
      </c>
      <c r="B154" s="17" t="n">
        <v>-0.02</v>
      </c>
      <c r="C154" s="17" t="n">
        <v>0.6899999999999999</v>
      </c>
      <c r="D154" s="17" t="n">
        <v>1.07</v>
      </c>
      <c r="E154" s="17" t="n">
        <v>0.06</v>
      </c>
      <c r="F154" s="17" t="n">
        <v>0.01</v>
      </c>
      <c r="G154" s="17" t="n">
        <v>-0.24</v>
      </c>
    </row>
    <row r="155">
      <c r="A155" s="14" t="n">
        <v>148</v>
      </c>
      <c r="B155" s="17" t="n">
        <v>0</v>
      </c>
      <c r="C155" s="17" t="n">
        <v>0.7</v>
      </c>
      <c r="D155" s="17" t="n">
        <v>1.11</v>
      </c>
      <c r="E155" s="17" t="n">
        <v>0.22</v>
      </c>
      <c r="F155" s="17" t="n">
        <v>0.01</v>
      </c>
      <c r="G155" s="17" t="n">
        <v>-0.29</v>
      </c>
    </row>
    <row r="156">
      <c r="A156" s="14" t="n">
        <v>149</v>
      </c>
      <c r="B156" s="17" t="n">
        <v>0.03</v>
      </c>
      <c r="C156" s="17" t="n">
        <v>0.66</v>
      </c>
      <c r="D156" s="17" t="n">
        <v>1.08</v>
      </c>
      <c r="E156" s="17" t="n">
        <v>0.36</v>
      </c>
      <c r="F156" s="17" t="n">
        <v>0.01</v>
      </c>
      <c r="G156" s="17" t="n">
        <v>-0.35</v>
      </c>
    </row>
    <row r="157">
      <c r="A157" s="14" t="n">
        <v>150</v>
      </c>
      <c r="B157" s="17" t="n">
        <v>0.02</v>
      </c>
      <c r="C157" s="17" t="n">
        <v>0.63</v>
      </c>
      <c r="D157" s="17" t="n">
        <v>1.14</v>
      </c>
      <c r="E157" s="17" t="n">
        <v>0.28</v>
      </c>
      <c r="F157" s="17" t="n">
        <v>0.01</v>
      </c>
      <c r="G157" s="17" t="n">
        <v>-0.35</v>
      </c>
    </row>
    <row r="158">
      <c r="A158" s="14" t="n">
        <v>151</v>
      </c>
      <c r="B158" s="17" t="n">
        <v>0.03</v>
      </c>
      <c r="C158" s="17" t="n">
        <v>0.58</v>
      </c>
      <c r="D158" s="17" t="n">
        <v>1.18</v>
      </c>
      <c r="E158" s="17" t="n">
        <v>0.28</v>
      </c>
      <c r="F158" s="17" t="n">
        <v>0.03</v>
      </c>
      <c r="G158" s="17" t="n">
        <v>-0.39</v>
      </c>
    </row>
    <row r="159">
      <c r="A159" s="14" t="n">
        <v>152</v>
      </c>
      <c r="B159" s="17" t="n">
        <v>-0.05</v>
      </c>
      <c r="C159" s="17" t="n">
        <v>0.6</v>
      </c>
      <c r="D159" s="17" t="n">
        <v>1.11</v>
      </c>
      <c r="E159" s="17" t="n">
        <v>0.34</v>
      </c>
      <c r="F159" s="17" t="n">
        <v>0.02</v>
      </c>
      <c r="G159" s="17" t="n">
        <v>-0.46</v>
      </c>
    </row>
    <row r="160">
      <c r="A160" s="14" t="n">
        <v>153</v>
      </c>
      <c r="B160" s="17" t="n">
        <v>-0.04</v>
      </c>
      <c r="C160" s="17" t="n">
        <v>0.64</v>
      </c>
      <c r="D160" s="17" t="n">
        <v>1.1</v>
      </c>
      <c r="E160" s="17" t="n">
        <v>0.36</v>
      </c>
      <c r="F160" s="17" t="n">
        <v>0.02</v>
      </c>
      <c r="G160" s="17" t="n">
        <v>-0.44</v>
      </c>
    </row>
    <row r="161">
      <c r="A161" s="14" t="n">
        <v>154</v>
      </c>
      <c r="B161" s="17" t="n">
        <v>-0.04</v>
      </c>
      <c r="C161" s="17" t="n">
        <v>0.64</v>
      </c>
      <c r="D161" s="17" t="n">
        <v>1</v>
      </c>
      <c r="E161" s="17" t="n">
        <v>0.36</v>
      </c>
      <c r="F161" s="17" t="n">
        <v>0.02</v>
      </c>
      <c r="G161" s="17" t="n">
        <v>-0.48</v>
      </c>
    </row>
    <row r="162">
      <c r="A162" s="14" t="n">
        <v>155</v>
      </c>
      <c r="B162" s="17" t="n">
        <v>-0.1</v>
      </c>
      <c r="C162" s="17" t="n">
        <v>0.7</v>
      </c>
      <c r="D162" s="17" t="n">
        <v>0.97</v>
      </c>
      <c r="E162" s="17" t="n">
        <v>0.5</v>
      </c>
      <c r="F162" s="17" t="n">
        <v>0.02</v>
      </c>
      <c r="G162" s="17" t="n">
        <v>-0.46</v>
      </c>
    </row>
    <row r="163">
      <c r="A163" s="14" t="n">
        <v>156</v>
      </c>
      <c r="B163" s="17" t="n">
        <v>-0.08</v>
      </c>
      <c r="C163" s="17" t="n">
        <v>0.65</v>
      </c>
      <c r="D163" s="17" t="n">
        <v>1</v>
      </c>
      <c r="E163" s="17" t="n">
        <v>0.46</v>
      </c>
      <c r="F163" s="17" t="n">
        <v>0.02</v>
      </c>
      <c r="G163" s="17" t="n">
        <v>-0.44</v>
      </c>
    </row>
    <row r="164">
      <c r="A164" s="14" t="n">
        <v>157</v>
      </c>
      <c r="B164" s="17" t="n">
        <v>-0.17</v>
      </c>
      <c r="C164" s="17" t="n">
        <v>0.58</v>
      </c>
      <c r="D164" s="17" t="n">
        <v>0.98</v>
      </c>
      <c r="E164" s="17" t="n">
        <v>0.43</v>
      </c>
      <c r="F164" s="17" t="n">
        <v>0.02</v>
      </c>
      <c r="G164" s="17" t="n">
        <v>-0.44</v>
      </c>
    </row>
    <row r="165">
      <c r="A165" s="14" t="n">
        <v>158</v>
      </c>
      <c r="B165" s="17" t="n">
        <v>-0.22</v>
      </c>
      <c r="C165" s="17" t="n">
        <v>0.63</v>
      </c>
      <c r="D165" s="17" t="n">
        <v>0.9399999999999999</v>
      </c>
      <c r="E165" s="17" t="n">
        <v>0.49</v>
      </c>
      <c r="F165" s="17" t="n">
        <v>0.03</v>
      </c>
      <c r="G165" s="17" t="n">
        <v>-0.45</v>
      </c>
    </row>
    <row r="166">
      <c r="A166" s="14" t="n">
        <v>159</v>
      </c>
      <c r="B166" s="17" t="n">
        <v>-0.21</v>
      </c>
      <c r="C166" s="17" t="n">
        <v>0.61</v>
      </c>
      <c r="D166" s="17" t="n">
        <v>0.92</v>
      </c>
      <c r="E166" s="17" t="n">
        <v>0.46</v>
      </c>
      <c r="F166" s="17" t="n">
        <v>0.04</v>
      </c>
      <c r="G166" s="17" t="n">
        <v>-0.45</v>
      </c>
    </row>
    <row r="167">
      <c r="A167" s="14" t="n">
        <v>160</v>
      </c>
      <c r="B167" s="17" t="n">
        <v>-0.17</v>
      </c>
      <c r="C167" s="17" t="n">
        <v>0.63</v>
      </c>
      <c r="D167" s="17" t="n">
        <v>0.91</v>
      </c>
      <c r="E167" s="17" t="n">
        <v>0.51</v>
      </c>
      <c r="F167" s="17" t="n">
        <v>0.04</v>
      </c>
      <c r="G167" s="17" t="n">
        <v>-0.44</v>
      </c>
    </row>
    <row r="168">
      <c r="A168" s="14" t="n">
        <v>161</v>
      </c>
      <c r="B168" s="17" t="n">
        <v>-0.18</v>
      </c>
      <c r="C168" s="17" t="n">
        <v>0.62</v>
      </c>
      <c r="D168" s="17" t="n">
        <v>0.92</v>
      </c>
      <c r="E168" s="17" t="n">
        <v>0.52</v>
      </c>
      <c r="F168" s="17" t="n">
        <v>0.03</v>
      </c>
      <c r="G168" s="17" t="n">
        <v>-0.38</v>
      </c>
    </row>
    <row r="169">
      <c r="A169" s="14" t="n">
        <v>162</v>
      </c>
      <c r="B169" s="17" t="n">
        <v>-0.18</v>
      </c>
      <c r="C169" s="17" t="n">
        <v>0.67</v>
      </c>
      <c r="D169" s="17" t="n">
        <v>1.04</v>
      </c>
      <c r="E169" s="17" t="n">
        <v>0.45</v>
      </c>
      <c r="F169" s="17" t="n">
        <v>0.02</v>
      </c>
      <c r="G169" s="17" t="n">
        <v>-0.34</v>
      </c>
    </row>
    <row r="170">
      <c r="A170" s="14" t="n">
        <v>163</v>
      </c>
      <c r="B170" s="17" t="n">
        <v>-0.23</v>
      </c>
      <c r="C170" s="17" t="n">
        <v>0.62</v>
      </c>
      <c r="D170" s="17" t="n">
        <v>1.1</v>
      </c>
      <c r="E170" s="17" t="n">
        <v>0.47</v>
      </c>
      <c r="F170" s="17" t="n">
        <v>0.02</v>
      </c>
      <c r="G170" s="17" t="n">
        <v>-0.34</v>
      </c>
    </row>
    <row r="171">
      <c r="A171" s="14" t="n">
        <v>164</v>
      </c>
      <c r="B171" s="17" t="n">
        <v>-0.22</v>
      </c>
      <c r="C171" s="17" t="n">
        <v>0.62</v>
      </c>
      <c r="D171" s="17" t="n">
        <v>1.12</v>
      </c>
      <c r="E171" s="17" t="n">
        <v>0.5</v>
      </c>
      <c r="F171" s="17" t="n">
        <v>0.02</v>
      </c>
      <c r="G171" s="17" t="n">
        <v>-0.3</v>
      </c>
    </row>
    <row r="172">
      <c r="A172" s="14" t="n">
        <v>165</v>
      </c>
      <c r="B172" s="17" t="n">
        <v>-0.21</v>
      </c>
      <c r="C172" s="17" t="n">
        <v>0.58</v>
      </c>
      <c r="D172" s="17" t="n">
        <v>1.08</v>
      </c>
      <c r="E172" s="17" t="n">
        <v>0.46</v>
      </c>
      <c r="F172" s="17" t="n">
        <v>0.02</v>
      </c>
      <c r="G172" s="17" t="n">
        <v>-0.35</v>
      </c>
    </row>
    <row r="173">
      <c r="A173" s="14" t="n">
        <v>166</v>
      </c>
      <c r="B173" s="17" t="n">
        <v>-0.24</v>
      </c>
      <c r="C173" s="17" t="n">
        <v>0.61</v>
      </c>
      <c r="D173" s="17" t="n">
        <v>1.07</v>
      </c>
      <c r="E173" s="17" t="n">
        <v>0.44</v>
      </c>
      <c r="F173" s="17" t="n">
        <v>0.01</v>
      </c>
      <c r="G173" s="17" t="n">
        <v>-0.4</v>
      </c>
    </row>
    <row r="174">
      <c r="A174" s="14" t="n">
        <v>167</v>
      </c>
      <c r="B174" s="17" t="n">
        <v>-0.29</v>
      </c>
      <c r="C174" s="17" t="n">
        <v>0.57</v>
      </c>
      <c r="D174" s="17" t="n">
        <v>1.14</v>
      </c>
      <c r="E174" s="17" t="n">
        <v>0.38</v>
      </c>
      <c r="F174" s="17" t="n">
        <v>0</v>
      </c>
      <c r="G174" s="17" t="n">
        <v>-0.46</v>
      </c>
    </row>
    <row r="175">
      <c r="A175" s="14" t="n">
        <v>168</v>
      </c>
      <c r="B175" s="17" t="n">
        <v>-0.21</v>
      </c>
      <c r="C175" s="17" t="n">
        <v>0.5</v>
      </c>
      <c r="D175" s="17" t="n">
        <v>1.18</v>
      </c>
      <c r="E175" s="17" t="n">
        <v>0.41</v>
      </c>
      <c r="F175" s="17" t="n">
        <v>-0.01</v>
      </c>
      <c r="G175" s="17" t="n">
        <v>-0.55</v>
      </c>
    </row>
    <row r="176">
      <c r="A176" s="14" t="n">
        <v>169</v>
      </c>
      <c r="B176" s="17" t="n">
        <v>-0.2</v>
      </c>
      <c r="C176" s="17" t="n">
        <v>0.46</v>
      </c>
      <c r="D176" s="17" t="n">
        <v>1.18</v>
      </c>
      <c r="E176" s="17" t="n">
        <v>0.32</v>
      </c>
      <c r="F176" s="17" t="n">
        <v>-0.01</v>
      </c>
      <c r="G176" s="17" t="n">
        <v>-0.51</v>
      </c>
    </row>
    <row r="177">
      <c r="A177" s="14" t="n">
        <v>170</v>
      </c>
      <c r="B177" s="17" t="n">
        <v>-0.17</v>
      </c>
      <c r="C177" s="17" t="n">
        <v>0.43</v>
      </c>
      <c r="D177" s="17" t="n">
        <v>1.21</v>
      </c>
      <c r="E177" s="17" t="n">
        <v>0.3</v>
      </c>
      <c r="F177" s="17" t="n">
        <v>-0.02</v>
      </c>
      <c r="G177" s="17" t="n">
        <v>-0.49</v>
      </c>
    </row>
    <row r="178">
      <c r="A178" s="14" t="n">
        <v>171</v>
      </c>
      <c r="B178" s="17" t="n">
        <v>-0.13</v>
      </c>
      <c r="C178" s="17" t="n">
        <v>0.5</v>
      </c>
      <c r="D178" s="17" t="n">
        <v>1.22</v>
      </c>
      <c r="E178" s="17" t="n">
        <v>0.28</v>
      </c>
      <c r="F178" s="17" t="n">
        <v>-0.02</v>
      </c>
      <c r="G178" s="17" t="n">
        <v>-0.44</v>
      </c>
    </row>
    <row r="179">
      <c r="A179" s="14" t="n">
        <v>172</v>
      </c>
      <c r="B179" s="17" t="n">
        <v>-0.11</v>
      </c>
      <c r="C179" s="17" t="n">
        <v>0.51</v>
      </c>
      <c r="D179" s="17" t="n">
        <v>1.14</v>
      </c>
      <c r="E179" s="17" t="n">
        <v>0.28</v>
      </c>
      <c r="F179" s="17" t="n">
        <v>-0.02</v>
      </c>
      <c r="G179" s="17" t="n">
        <v>-0.43</v>
      </c>
    </row>
    <row r="180">
      <c r="A180" s="14" t="n">
        <v>173</v>
      </c>
      <c r="B180" s="17" t="n">
        <v>-0.14</v>
      </c>
      <c r="C180" s="17" t="n">
        <v>0.55</v>
      </c>
      <c r="D180" s="17" t="n">
        <v>1.28</v>
      </c>
      <c r="E180" s="17" t="n">
        <v>0.29</v>
      </c>
      <c r="F180" s="17" t="n">
        <v>-0.02</v>
      </c>
      <c r="G180" s="17" t="n">
        <v>-0.36</v>
      </c>
    </row>
    <row r="181">
      <c r="A181" s="14" t="n">
        <v>174</v>
      </c>
      <c r="B181" s="17" t="n">
        <v>-0.11</v>
      </c>
      <c r="C181" s="17" t="n">
        <v>0.5</v>
      </c>
      <c r="D181" s="17" t="n">
        <v>1.39</v>
      </c>
      <c r="E181" s="17" t="n">
        <v>0.35</v>
      </c>
      <c r="F181" s="17" t="n">
        <v>-0.02</v>
      </c>
      <c r="G181" s="17" t="n">
        <v>-0.39</v>
      </c>
    </row>
    <row r="182">
      <c r="A182" s="14" t="n">
        <v>175</v>
      </c>
      <c r="B182" s="17" t="n">
        <v>-0.05</v>
      </c>
      <c r="C182" s="17" t="n">
        <v>0.44</v>
      </c>
      <c r="D182" s="17" t="n">
        <v>1.42</v>
      </c>
      <c r="E182" s="17" t="n">
        <v>0.38</v>
      </c>
      <c r="F182" s="17" t="n">
        <v>-0.03</v>
      </c>
      <c r="G182" s="17" t="n">
        <v>-0.42</v>
      </c>
    </row>
    <row r="183">
      <c r="A183" s="14" t="n">
        <v>176</v>
      </c>
      <c r="B183" s="17" t="n">
        <v>0.01</v>
      </c>
      <c r="C183" s="17" t="n">
        <v>0.44</v>
      </c>
      <c r="D183" s="17" t="n">
        <v>1.31</v>
      </c>
      <c r="E183" s="17" t="n">
        <v>0.48</v>
      </c>
      <c r="F183" s="17" t="n">
        <v>-0.05</v>
      </c>
      <c r="G183" s="17" t="n">
        <v>-0.43</v>
      </c>
    </row>
    <row r="184">
      <c r="A184" s="14" t="n">
        <v>177</v>
      </c>
      <c r="B184" s="17" t="n">
        <v>0.02</v>
      </c>
      <c r="C184" s="17" t="n">
        <v>0.32</v>
      </c>
      <c r="D184" s="17" t="n">
        <v>1.34</v>
      </c>
      <c r="E184" s="17" t="n">
        <v>0.5</v>
      </c>
      <c r="F184" s="17" t="n">
        <v>-0.04</v>
      </c>
      <c r="G184" s="17" t="n">
        <v>-0.43</v>
      </c>
    </row>
    <row r="185">
      <c r="A185" s="14" t="n">
        <v>178</v>
      </c>
      <c r="B185" s="17" t="n">
        <v>-0.03</v>
      </c>
      <c r="C185" s="17" t="n">
        <v>0.36</v>
      </c>
      <c r="D185" s="17" t="n">
        <v>1.24</v>
      </c>
      <c r="E185" s="17" t="n">
        <v>0.53</v>
      </c>
      <c r="F185" s="17" t="n">
        <v>-0.04</v>
      </c>
      <c r="G185" s="17" t="n">
        <v>-0.37</v>
      </c>
    </row>
    <row r="186">
      <c r="A186" s="14" t="n">
        <v>179</v>
      </c>
      <c r="B186" s="17" t="n">
        <v>-0.06</v>
      </c>
      <c r="C186" s="17" t="n">
        <v>0.43</v>
      </c>
      <c r="D186" s="17" t="n">
        <v>1.24</v>
      </c>
      <c r="E186" s="17" t="n">
        <v>0.49</v>
      </c>
      <c r="F186" s="17" t="n">
        <v>-0.03</v>
      </c>
      <c r="G186" s="17" t="n">
        <v>-0.34</v>
      </c>
    </row>
    <row r="187">
      <c r="A187" s="14" t="n">
        <v>180</v>
      </c>
      <c r="B187" s="17" t="n">
        <v>0</v>
      </c>
      <c r="C187" s="17" t="n">
        <v>0.4</v>
      </c>
      <c r="D187" s="17" t="n">
        <v>1.15</v>
      </c>
      <c r="E187" s="17" t="n">
        <v>0.46</v>
      </c>
      <c r="F187" s="17" t="n">
        <v>-0.03</v>
      </c>
      <c r="G187" s="17" t="n">
        <v>-0.34</v>
      </c>
    </row>
    <row r="188">
      <c r="A188" s="14" t="n">
        <v>181</v>
      </c>
      <c r="B188" s="17" t="n">
        <v>-0.01</v>
      </c>
      <c r="C188" s="17" t="n">
        <v>0.43</v>
      </c>
      <c r="D188" s="17" t="n">
        <v>1.14</v>
      </c>
      <c r="E188" s="17" t="n">
        <v>0.46</v>
      </c>
      <c r="F188" s="17" t="n">
        <v>-0.04</v>
      </c>
      <c r="G188" s="17" t="n">
        <v>-0.33</v>
      </c>
    </row>
    <row r="189">
      <c r="A189" s="14" t="n">
        <v>182</v>
      </c>
      <c r="B189" s="17" t="n">
        <v>0.13</v>
      </c>
      <c r="C189" s="17" t="n">
        <v>0.42</v>
      </c>
      <c r="D189" s="17" t="n">
        <v>1.16</v>
      </c>
      <c r="E189" s="17" t="n">
        <v>0.41</v>
      </c>
      <c r="F189" s="17" t="n">
        <v>-0.04</v>
      </c>
      <c r="G189" s="17" t="n">
        <v>-0.35</v>
      </c>
    </row>
    <row r="190">
      <c r="A190" s="14" t="n">
        <v>183</v>
      </c>
      <c r="B190" s="17" t="n">
        <v>0.08</v>
      </c>
      <c r="C190" s="17" t="n">
        <v>0.38</v>
      </c>
      <c r="D190" s="17" t="n">
        <v>1.14</v>
      </c>
      <c r="E190" s="17" t="n">
        <v>0.44</v>
      </c>
      <c r="F190" s="17" t="n">
        <v>0.01</v>
      </c>
      <c r="G190" s="17" t="n">
        <v>-0.22</v>
      </c>
    </row>
    <row r="191">
      <c r="A191" s="14" t="n">
        <v>184</v>
      </c>
      <c r="B191" s="17" t="n">
        <v>0.13</v>
      </c>
      <c r="C191" s="17" t="n">
        <v>0.39</v>
      </c>
      <c r="D191" s="17" t="n">
        <v>1.15</v>
      </c>
      <c r="E191" s="17" t="n">
        <v>0.43</v>
      </c>
      <c r="F191" s="17" t="n">
        <v>0.01</v>
      </c>
      <c r="G191" s="17" t="n">
        <v>-0.22</v>
      </c>
    </row>
    <row r="192">
      <c r="A192" s="14" t="n">
        <v>185</v>
      </c>
      <c r="B192" s="17" t="n">
        <v>0.07000000000000001</v>
      </c>
      <c r="C192" s="17" t="n">
        <v>0.41</v>
      </c>
      <c r="D192" s="17" t="n">
        <v>1.11</v>
      </c>
      <c r="E192" s="17" t="n">
        <v>0.39</v>
      </c>
      <c r="F192" s="17" t="n">
        <v>0.02</v>
      </c>
      <c r="G192" s="17" t="n">
        <v>-0.21</v>
      </c>
    </row>
    <row r="193">
      <c r="A193" s="14" t="n">
        <v>186</v>
      </c>
      <c r="B193" s="17" t="n">
        <v>0.16</v>
      </c>
      <c r="C193" s="17" t="n">
        <v>0.37</v>
      </c>
      <c r="D193" s="17" t="n">
        <v>0.99</v>
      </c>
      <c r="E193" s="17" t="n">
        <v>0.39</v>
      </c>
      <c r="F193" s="17" t="n">
        <v>0.02</v>
      </c>
      <c r="G193" s="17" t="n">
        <v>-0.34</v>
      </c>
    </row>
    <row r="194">
      <c r="A194" s="14" t="n">
        <v>187</v>
      </c>
      <c r="B194" s="17" t="n">
        <v>0.18</v>
      </c>
      <c r="C194" s="17" t="n">
        <v>0.33</v>
      </c>
      <c r="D194" s="17" t="n">
        <v>1.01</v>
      </c>
      <c r="E194" s="17" t="n">
        <v>0.52</v>
      </c>
      <c r="F194" s="17" t="n">
        <v>0.03</v>
      </c>
      <c r="G194" s="17" t="n">
        <v>-0.35</v>
      </c>
    </row>
    <row r="195">
      <c r="A195" s="14" t="n">
        <v>188</v>
      </c>
      <c r="B195" s="17" t="n">
        <v>0.09</v>
      </c>
      <c r="C195" s="17" t="n">
        <v>0.32</v>
      </c>
      <c r="D195" s="17" t="n">
        <v>1.11</v>
      </c>
      <c r="E195" s="17" t="n">
        <v>0.55</v>
      </c>
      <c r="F195" s="17" t="n">
        <v>0.03</v>
      </c>
      <c r="G195" s="17" t="n">
        <v>-0.35</v>
      </c>
    </row>
    <row r="196">
      <c r="A196" s="14" t="n">
        <v>189</v>
      </c>
      <c r="B196" s="17" t="n">
        <v>0.04</v>
      </c>
      <c r="C196" s="17" t="n">
        <v>0.32</v>
      </c>
      <c r="D196" s="17" t="n">
        <v>1.21</v>
      </c>
      <c r="E196" s="17" t="n">
        <v>0.55</v>
      </c>
      <c r="F196" s="17" t="n">
        <v>0.02</v>
      </c>
      <c r="G196" s="17" t="n">
        <v>-0.32</v>
      </c>
    </row>
    <row r="197">
      <c r="A197" s="14" t="n">
        <v>190</v>
      </c>
      <c r="B197" s="17" t="n">
        <v>0.07000000000000001</v>
      </c>
      <c r="C197" s="17" t="n">
        <v>0.36</v>
      </c>
      <c r="D197" s="17" t="n">
        <v>1.24</v>
      </c>
      <c r="E197" s="17" t="n">
        <v>0.5</v>
      </c>
      <c r="F197" s="17" t="n">
        <v>0.01</v>
      </c>
      <c r="G197" s="17" t="n">
        <v>-0.35</v>
      </c>
    </row>
    <row r="198">
      <c r="A198" s="14" t="n">
        <v>191</v>
      </c>
      <c r="B198" s="17" t="n">
        <v>0.05</v>
      </c>
      <c r="C198" s="17" t="n">
        <v>0.44</v>
      </c>
      <c r="D198" s="17" t="n">
        <v>1.25</v>
      </c>
      <c r="E198" s="17" t="n">
        <v>0.58</v>
      </c>
      <c r="F198" s="17" t="n">
        <v>0.01</v>
      </c>
      <c r="G198" s="17" t="n">
        <v>-0.35</v>
      </c>
    </row>
    <row r="199">
      <c r="A199" s="14" t="n">
        <v>192</v>
      </c>
      <c r="B199" s="17" t="n">
        <v>0.09</v>
      </c>
      <c r="C199" s="17" t="n">
        <v>0.46</v>
      </c>
      <c r="D199" s="17" t="n">
        <v>1.29</v>
      </c>
      <c r="E199" s="17" t="n">
        <v>0.61</v>
      </c>
      <c r="F199" s="17" t="n">
        <v>0</v>
      </c>
      <c r="G199" s="17" t="n">
        <v>-0.31</v>
      </c>
    </row>
    <row r="200">
      <c r="A200" s="14" t="n">
        <v>193</v>
      </c>
      <c r="B200" s="17" t="n">
        <v>0.08</v>
      </c>
      <c r="C200" s="17" t="n">
        <v>0.49</v>
      </c>
      <c r="D200" s="17" t="n">
        <v>1.15</v>
      </c>
      <c r="E200" s="17" t="n">
        <v>0.55</v>
      </c>
      <c r="F200" s="17" t="n">
        <v>-0.01</v>
      </c>
      <c r="G200" s="17" t="n">
        <v>-0.23</v>
      </c>
    </row>
    <row r="201">
      <c r="A201" s="14" t="n">
        <v>194</v>
      </c>
      <c r="B201" s="17" t="n">
        <v>0.07000000000000001</v>
      </c>
      <c r="C201" s="17" t="n">
        <v>0.48</v>
      </c>
      <c r="D201" s="17" t="n">
        <v>1.21</v>
      </c>
      <c r="E201" s="17" t="n">
        <v>0.74</v>
      </c>
      <c r="F201" s="17" t="n">
        <v>-0.01</v>
      </c>
      <c r="G201" s="17" t="n">
        <v>-0.32</v>
      </c>
    </row>
    <row r="202">
      <c r="A202" s="14" t="n">
        <v>195</v>
      </c>
      <c r="B202" s="17" t="n">
        <v>0.03</v>
      </c>
      <c r="C202" s="17" t="n">
        <v>0.49</v>
      </c>
      <c r="D202" s="17" t="n">
        <v>1.19</v>
      </c>
      <c r="E202" s="17" t="n">
        <v>0.75</v>
      </c>
      <c r="F202" s="17" t="n">
        <v>-0.02</v>
      </c>
      <c r="G202" s="17" t="n">
        <v>-0.38</v>
      </c>
    </row>
    <row r="203">
      <c r="A203" s="14" t="n">
        <v>196</v>
      </c>
      <c r="B203" s="17" t="n">
        <v>0.03</v>
      </c>
      <c r="C203" s="17" t="n">
        <v>0.42</v>
      </c>
      <c r="D203" s="17" t="n">
        <v>1.23</v>
      </c>
      <c r="E203" s="17" t="n">
        <v>0.6899999999999999</v>
      </c>
      <c r="F203" s="17" t="n">
        <v>-0.02</v>
      </c>
      <c r="G203" s="17" t="n">
        <v>-0.35</v>
      </c>
    </row>
    <row r="204">
      <c r="A204" s="14" t="n">
        <v>197</v>
      </c>
      <c r="B204" s="17" t="n">
        <v>0.05</v>
      </c>
      <c r="C204" s="17" t="n">
        <v>0.39</v>
      </c>
      <c r="D204" s="17" t="n">
        <v>1.15</v>
      </c>
      <c r="E204" s="17" t="n">
        <v>0.82</v>
      </c>
      <c r="F204" s="17" t="n">
        <v>-0.01</v>
      </c>
      <c r="G204" s="17" t="n">
        <v>-0.34</v>
      </c>
    </row>
    <row r="205">
      <c r="A205" s="14" t="n">
        <v>198</v>
      </c>
      <c r="B205" s="17" t="n">
        <v>0.04</v>
      </c>
      <c r="C205" s="17" t="n">
        <v>0.39</v>
      </c>
      <c r="D205" s="17" t="n">
        <v>1.18</v>
      </c>
      <c r="E205" s="17" t="n">
        <v>0.86</v>
      </c>
      <c r="F205" s="17" t="n">
        <v>0</v>
      </c>
      <c r="G205" s="17" t="n">
        <v>-0.38</v>
      </c>
    </row>
    <row r="206">
      <c r="A206" s="14" t="n">
        <v>199</v>
      </c>
      <c r="B206" s="17" t="n">
        <v>0</v>
      </c>
      <c r="C206" s="17" t="n">
        <v>0.4</v>
      </c>
      <c r="D206" s="17" t="n">
        <v>1.22</v>
      </c>
      <c r="E206" s="17" t="n">
        <v>0.78</v>
      </c>
      <c r="F206" s="17" t="n">
        <v>0.01</v>
      </c>
      <c r="G206" s="17" t="n">
        <v>-0.37</v>
      </c>
    </row>
    <row r="207">
      <c r="A207" s="14" t="n">
        <v>200</v>
      </c>
      <c r="B207" s="17" t="n">
        <v>0.03</v>
      </c>
      <c r="C207" s="17" t="n">
        <v>0.37</v>
      </c>
      <c r="D207" s="17" t="n">
        <v>1.2</v>
      </c>
      <c r="E207" s="17" t="n">
        <v>0.83</v>
      </c>
      <c r="F207" s="17" t="n">
        <v>0.01</v>
      </c>
      <c r="G207" s="17" t="n">
        <v>-0.41</v>
      </c>
    </row>
    <row r="208">
      <c r="A208" s="14" t="n">
        <v>201</v>
      </c>
      <c r="B208" s="17" t="n">
        <v>0.06</v>
      </c>
      <c r="C208" s="17" t="n">
        <v>0.39</v>
      </c>
      <c r="D208" s="17" t="n">
        <v>1.16</v>
      </c>
      <c r="E208" s="17" t="n">
        <v>0.8100000000000001</v>
      </c>
      <c r="F208" s="17" t="n">
        <v>0.02</v>
      </c>
      <c r="G208" s="17" t="n">
        <v>-0.37</v>
      </c>
    </row>
    <row r="209">
      <c r="A209" s="14" t="n">
        <v>202</v>
      </c>
      <c r="B209" s="17" t="n">
        <v>0</v>
      </c>
      <c r="C209" s="17" t="n">
        <v>0.38</v>
      </c>
      <c r="D209" s="17" t="n">
        <v>1.13</v>
      </c>
      <c r="E209" s="17" t="n">
        <v>0.8100000000000001</v>
      </c>
      <c r="F209" s="17" t="n">
        <v>0.01</v>
      </c>
      <c r="G209" s="17" t="n">
        <v>-0.38</v>
      </c>
    </row>
    <row r="210">
      <c r="A210" s="14" t="n">
        <v>203</v>
      </c>
      <c r="B210" s="17" t="n">
        <v>0</v>
      </c>
      <c r="C210" s="17" t="n">
        <v>0.42</v>
      </c>
      <c r="D210" s="17" t="n">
        <v>1.17</v>
      </c>
      <c r="E210" s="17" t="n">
        <v>0.8</v>
      </c>
      <c r="F210" s="17" t="n">
        <v>0.01</v>
      </c>
      <c r="G210" s="17" t="n">
        <v>-0.43</v>
      </c>
    </row>
    <row r="211">
      <c r="A211" s="14" t="n">
        <v>204</v>
      </c>
      <c r="B211" s="17" t="n">
        <v>0.04</v>
      </c>
      <c r="C211" s="17" t="n">
        <v>0.48</v>
      </c>
      <c r="D211" s="17" t="n">
        <v>1.2</v>
      </c>
      <c r="E211" s="17" t="n">
        <v>0.84</v>
      </c>
      <c r="F211" s="17" t="n">
        <v>0.02</v>
      </c>
      <c r="G211" s="17" t="n">
        <v>-0.46</v>
      </c>
    </row>
    <row r="212">
      <c r="A212" s="14" t="n">
        <v>205</v>
      </c>
      <c r="B212" s="17" t="n">
        <v>0.04</v>
      </c>
      <c r="C212" s="17" t="n">
        <v>0.47</v>
      </c>
      <c r="D212" s="17" t="n">
        <v>1.18</v>
      </c>
      <c r="E212" s="17" t="n">
        <v>0.89</v>
      </c>
      <c r="F212" s="17" t="n">
        <v>0.02</v>
      </c>
      <c r="G212" s="17" t="n">
        <v>-0.44</v>
      </c>
    </row>
    <row r="213">
      <c r="A213" s="14" t="n">
        <v>206</v>
      </c>
      <c r="B213" s="17" t="n">
        <v>0.08</v>
      </c>
      <c r="C213" s="17" t="n">
        <v>0.44</v>
      </c>
      <c r="D213" s="17" t="n">
        <v>1.13</v>
      </c>
      <c r="E213" s="17" t="n">
        <v>0.86</v>
      </c>
      <c r="F213" s="17" t="n">
        <v>0.02</v>
      </c>
      <c r="G213" s="17" t="n">
        <v>-0.46</v>
      </c>
    </row>
    <row r="214">
      <c r="A214" s="14" t="n">
        <v>207</v>
      </c>
      <c r="B214" s="17" t="n">
        <v>0.05</v>
      </c>
      <c r="C214" s="17" t="n">
        <v>0.42</v>
      </c>
      <c r="D214" s="17" t="n">
        <v>1.01</v>
      </c>
      <c r="E214" s="17" t="n">
        <v>0.82</v>
      </c>
      <c r="F214" s="17" t="n">
        <v>0.02</v>
      </c>
      <c r="G214" s="17" t="n">
        <v>-0.49</v>
      </c>
    </row>
    <row r="215">
      <c r="A215" s="14" t="n">
        <v>208</v>
      </c>
      <c r="B215" s="17" t="n">
        <v>0.09</v>
      </c>
      <c r="C215" s="17" t="n">
        <v>0.43</v>
      </c>
      <c r="D215" s="17" t="n">
        <v>1.09</v>
      </c>
      <c r="E215" s="17" t="n">
        <v>0.88</v>
      </c>
      <c r="F215" s="17" t="n">
        <v>0.03</v>
      </c>
      <c r="G215" s="17" t="n">
        <v>-0.46</v>
      </c>
    </row>
    <row r="216">
      <c r="A216" s="14" t="n">
        <v>209</v>
      </c>
      <c r="B216" s="17" t="n">
        <v>0.1</v>
      </c>
      <c r="C216" s="17" t="n">
        <v>0.44</v>
      </c>
      <c r="D216" s="17" t="n">
        <v>1.15</v>
      </c>
      <c r="E216" s="17" t="n">
        <v>0.82</v>
      </c>
      <c r="F216" s="17" t="n">
        <v>0.04</v>
      </c>
      <c r="G216" s="17" t="n">
        <v>-0.45</v>
      </c>
    </row>
    <row r="217">
      <c r="A217" s="14" t="n">
        <v>210</v>
      </c>
      <c r="B217" s="17" t="n">
        <v>0.16</v>
      </c>
      <c r="C217" s="17" t="n">
        <v>0.42</v>
      </c>
      <c r="D217" s="17" t="n">
        <v>1.23</v>
      </c>
      <c r="E217" s="17" t="n">
        <v>0.77</v>
      </c>
      <c r="F217" s="17" t="n">
        <v>0.03</v>
      </c>
      <c r="G217" s="17" t="n">
        <v>-0.43</v>
      </c>
    </row>
    <row r="218">
      <c r="A218" s="14" t="n">
        <v>211</v>
      </c>
      <c r="B218" s="17" t="n">
        <v>0.14</v>
      </c>
      <c r="C218" s="17" t="n">
        <v>0.46</v>
      </c>
      <c r="D218" s="17" t="n">
        <v>1.16</v>
      </c>
      <c r="E218" s="17" t="n">
        <v>0.6899999999999999</v>
      </c>
      <c r="F218" s="17" t="n">
        <v>0.03</v>
      </c>
      <c r="G218" s="17" t="n">
        <v>-0.44</v>
      </c>
    </row>
    <row r="219">
      <c r="A219" s="14" t="n">
        <v>212</v>
      </c>
      <c r="B219" s="17" t="n">
        <v>0.13</v>
      </c>
      <c r="C219" s="17" t="n">
        <v>0.51</v>
      </c>
      <c r="D219" s="17" t="n">
        <v>1.26</v>
      </c>
      <c r="E219" s="17" t="n">
        <v>0.68</v>
      </c>
      <c r="F219" s="17" t="n">
        <v>0.03</v>
      </c>
      <c r="G219" s="17" t="n">
        <v>-0.44</v>
      </c>
    </row>
    <row r="220">
      <c r="A220" s="14" t="n">
        <v>213</v>
      </c>
      <c r="B220" s="17" t="n">
        <v>0.19</v>
      </c>
      <c r="C220" s="17" t="n">
        <v>0.48</v>
      </c>
      <c r="D220" s="17" t="n">
        <v>1.21</v>
      </c>
      <c r="E220" s="17" t="n">
        <v>0.66</v>
      </c>
      <c r="F220" s="17" t="n">
        <v>0.03</v>
      </c>
      <c r="G220" s="17" t="n">
        <v>-0.43</v>
      </c>
    </row>
    <row r="221">
      <c r="A221" s="14" t="n">
        <v>214</v>
      </c>
      <c r="B221" s="17" t="n">
        <v>0.17</v>
      </c>
      <c r="C221" s="17" t="n">
        <v>0.43</v>
      </c>
      <c r="D221" s="17" t="n">
        <v>1.28</v>
      </c>
      <c r="E221" s="17" t="n">
        <v>0.67</v>
      </c>
      <c r="F221" s="17" t="n">
        <v>0.03</v>
      </c>
      <c r="G221" s="17" t="n">
        <v>-0.51</v>
      </c>
    </row>
    <row r="222">
      <c r="A222" s="14" t="n">
        <v>215</v>
      </c>
      <c r="B222" s="17" t="n">
        <v>0.1</v>
      </c>
      <c r="C222" s="17" t="n">
        <v>0.48</v>
      </c>
      <c r="D222" s="17" t="n">
        <v>1.3</v>
      </c>
      <c r="E222" s="17" t="n">
        <v>0.64</v>
      </c>
      <c r="F222" s="17" t="n">
        <v>0.03</v>
      </c>
      <c r="G222" s="17" t="n">
        <v>-0.58</v>
      </c>
    </row>
    <row r="223">
      <c r="A223" s="14" t="n">
        <v>216</v>
      </c>
      <c r="B223" s="17" t="n">
        <v>0.15</v>
      </c>
      <c r="C223" s="17" t="n">
        <v>0.46</v>
      </c>
      <c r="D223" s="17" t="n">
        <v>1.31</v>
      </c>
      <c r="E223" s="17" t="n">
        <v>0.6899999999999999</v>
      </c>
      <c r="F223" s="17" t="n">
        <v>0.02</v>
      </c>
      <c r="G223" s="17" t="n">
        <v>-0.59</v>
      </c>
    </row>
    <row r="224">
      <c r="A224" s="14" t="n">
        <v>217</v>
      </c>
      <c r="B224" s="17" t="n">
        <v>0.12</v>
      </c>
      <c r="C224" s="17" t="n">
        <v>0.41</v>
      </c>
      <c r="D224" s="17" t="n">
        <v>1.3</v>
      </c>
      <c r="E224" s="17" t="n">
        <v>0.67</v>
      </c>
      <c r="F224" s="17" t="n">
        <v>0.02</v>
      </c>
      <c r="G224" s="17" t="n">
        <v>-0.64</v>
      </c>
    </row>
    <row r="225">
      <c r="A225" s="14" t="n">
        <v>218</v>
      </c>
      <c r="B225" s="17" t="n">
        <v>0.16</v>
      </c>
      <c r="C225" s="17" t="n">
        <v>0.44</v>
      </c>
      <c r="D225" s="17" t="n">
        <v>1.33</v>
      </c>
      <c r="E225" s="17" t="n">
        <v>0.64</v>
      </c>
      <c r="F225" s="17" t="n">
        <v>0.02</v>
      </c>
      <c r="G225" s="17" t="n">
        <v>-0.57</v>
      </c>
    </row>
    <row r="226">
      <c r="A226" s="14" t="n">
        <v>219</v>
      </c>
      <c r="B226" s="17" t="n">
        <v>0.2</v>
      </c>
      <c r="C226" s="17" t="n">
        <v>0.47</v>
      </c>
      <c r="D226" s="17" t="n">
        <v>1.38</v>
      </c>
      <c r="E226" s="17" t="n">
        <v>0.55</v>
      </c>
      <c r="F226" s="17" t="n">
        <v>0.02</v>
      </c>
      <c r="G226" s="17" t="n">
        <v>-0.48</v>
      </c>
    </row>
    <row r="227">
      <c r="A227" s="14" t="n">
        <v>220</v>
      </c>
      <c r="B227" s="17" t="n">
        <v>0.2</v>
      </c>
      <c r="C227" s="17" t="n">
        <v>0.5</v>
      </c>
      <c r="D227" s="17" t="n">
        <v>1.43</v>
      </c>
      <c r="E227" s="17" t="n">
        <v>0.57</v>
      </c>
      <c r="F227" s="17" t="n">
        <v>0.02</v>
      </c>
      <c r="G227" s="17" t="n">
        <v>-0.52</v>
      </c>
    </row>
    <row r="228">
      <c r="A228" s="14" t="n">
        <v>221</v>
      </c>
      <c r="B228" s="17" t="n">
        <v>0.21</v>
      </c>
      <c r="C228" s="17" t="n">
        <v>0.44</v>
      </c>
      <c r="D228" s="17" t="n">
        <v>1.35</v>
      </c>
      <c r="E228" s="17" t="n">
        <v>0.61</v>
      </c>
      <c r="F228" s="17" t="n">
        <v>0.01</v>
      </c>
      <c r="G228" s="17" t="n">
        <v>-0.55</v>
      </c>
    </row>
    <row r="229">
      <c r="A229" s="14" t="n">
        <v>222</v>
      </c>
      <c r="B229" s="17" t="n">
        <v>0.33</v>
      </c>
      <c r="C229" s="17" t="n">
        <v>0.46</v>
      </c>
      <c r="D229" s="17" t="n">
        <v>1.38</v>
      </c>
      <c r="E229" s="17" t="n">
        <v>0.63</v>
      </c>
      <c r="F229" s="17" t="n">
        <v>0.01</v>
      </c>
      <c r="G229" s="17" t="n">
        <v>-0.5600000000000001</v>
      </c>
    </row>
    <row r="230">
      <c r="A230" s="14" t="n">
        <v>223</v>
      </c>
      <c r="B230" s="17" t="n">
        <v>0.35</v>
      </c>
      <c r="C230" s="17" t="n">
        <v>0.45</v>
      </c>
      <c r="D230" s="17" t="n">
        <v>1.44</v>
      </c>
      <c r="E230" s="17" t="n">
        <v>0.6</v>
      </c>
      <c r="F230" s="17" t="n">
        <v>0</v>
      </c>
      <c r="G230" s="17" t="n">
        <v>-0.57</v>
      </c>
    </row>
    <row r="231">
      <c r="A231" s="14" t="n">
        <v>224</v>
      </c>
      <c r="B231" s="17" t="n">
        <v>0.41</v>
      </c>
      <c r="C231" s="17" t="n">
        <v>0.54</v>
      </c>
      <c r="D231" s="17" t="n">
        <v>1.45</v>
      </c>
      <c r="E231" s="17" t="n">
        <v>0.62</v>
      </c>
      <c r="F231" s="17" t="n">
        <v>0</v>
      </c>
      <c r="G231" s="17" t="n">
        <v>-0.5600000000000001</v>
      </c>
    </row>
    <row r="232">
      <c r="A232" s="14" t="n">
        <v>225</v>
      </c>
      <c r="B232" s="17" t="n">
        <v>0.31</v>
      </c>
      <c r="C232" s="17" t="n">
        <v>0.6</v>
      </c>
      <c r="D232" s="17" t="n">
        <v>1.46</v>
      </c>
      <c r="E232" s="17" t="n">
        <v>0.66</v>
      </c>
      <c r="F232" s="17" t="n">
        <v>0.01</v>
      </c>
      <c r="G232" s="17" t="n">
        <v>-0.5600000000000001</v>
      </c>
    </row>
    <row r="233">
      <c r="A233" s="14" t="n">
        <v>226</v>
      </c>
      <c r="B233" s="17" t="n">
        <v>0.31</v>
      </c>
      <c r="C233" s="17" t="n">
        <v>0.61</v>
      </c>
      <c r="D233" s="17" t="n">
        <v>1.47</v>
      </c>
      <c r="E233" s="17" t="n">
        <v>0.65</v>
      </c>
      <c r="F233" s="17" t="n">
        <v>0.02</v>
      </c>
      <c r="G233" s="17" t="n">
        <v>-0.5600000000000001</v>
      </c>
    </row>
    <row r="234">
      <c r="A234" s="14" t="n">
        <v>227</v>
      </c>
      <c r="B234" s="17" t="n">
        <v>0.3</v>
      </c>
      <c r="C234" s="17" t="n">
        <v>0.67</v>
      </c>
      <c r="D234" s="17" t="n">
        <v>1.48</v>
      </c>
      <c r="E234" s="17" t="n">
        <v>0.73</v>
      </c>
      <c r="F234" s="17" t="n">
        <v>0.02</v>
      </c>
      <c r="G234" s="17" t="n">
        <v>-0.55</v>
      </c>
    </row>
    <row r="235">
      <c r="A235" s="14" t="n">
        <v>228</v>
      </c>
      <c r="B235" s="17" t="n">
        <v>0.24</v>
      </c>
      <c r="C235" s="17" t="n">
        <v>0.68</v>
      </c>
      <c r="D235" s="17" t="n">
        <v>1.5</v>
      </c>
      <c r="E235" s="17" t="n">
        <v>0.8</v>
      </c>
      <c r="F235" s="17" t="n">
        <v>0.02</v>
      </c>
      <c r="G235" s="17" t="n">
        <v>-0.58</v>
      </c>
    </row>
    <row r="236">
      <c r="A236" s="14" t="n">
        <v>229</v>
      </c>
      <c r="B236" s="17" t="n">
        <v>0.22</v>
      </c>
      <c r="C236" s="17" t="n">
        <v>0.65</v>
      </c>
      <c r="D236" s="17" t="n">
        <v>1.45</v>
      </c>
      <c r="E236" s="17" t="n">
        <v>0.74</v>
      </c>
      <c r="F236" s="17" t="n">
        <v>0.02</v>
      </c>
      <c r="G236" s="17" t="n"/>
    </row>
    <row r="237">
      <c r="A237" s="14" t="n">
        <v>230</v>
      </c>
      <c r="B237" s="17" t="n">
        <v>0.19</v>
      </c>
      <c r="C237" s="17" t="n">
        <v>0.61</v>
      </c>
      <c r="D237" s="17" t="n">
        <v>1.38</v>
      </c>
      <c r="E237" s="17" t="n">
        <v>0.7</v>
      </c>
      <c r="F237" s="17" t="n">
        <v>0.03</v>
      </c>
      <c r="G237" s="17" t="n"/>
    </row>
    <row r="238">
      <c r="A238" s="14" t="n">
        <v>231</v>
      </c>
      <c r="B238" s="17" t="n">
        <v>0.19</v>
      </c>
      <c r="C238" s="17" t="n">
        <v>0.62</v>
      </c>
      <c r="D238" s="17" t="n">
        <v>1.28</v>
      </c>
      <c r="E238" s="17" t="n">
        <v>0.6</v>
      </c>
      <c r="F238" s="17" t="n">
        <v>0.03</v>
      </c>
      <c r="G238" s="17" t="n"/>
    </row>
    <row r="239">
      <c r="A239" s="14" t="n">
        <v>232</v>
      </c>
      <c r="B239" s="17" t="n">
        <v>0.21</v>
      </c>
      <c r="C239" s="17" t="n">
        <v>0.67</v>
      </c>
      <c r="D239" s="17" t="n">
        <v>1.32</v>
      </c>
      <c r="E239" s="17" t="n">
        <v>0.52</v>
      </c>
      <c r="F239" s="17" t="n">
        <v>0.03</v>
      </c>
      <c r="G239" s="17" t="n"/>
    </row>
    <row r="240">
      <c r="A240" s="14" t="n">
        <v>233</v>
      </c>
      <c r="B240" s="17" t="n">
        <v>0.2</v>
      </c>
      <c r="C240" s="17" t="n">
        <v>0.66</v>
      </c>
      <c r="D240" s="17" t="n">
        <v>1.3</v>
      </c>
      <c r="E240" s="17" t="n">
        <v>0.48</v>
      </c>
      <c r="F240" s="17" t="n">
        <v>0.04</v>
      </c>
      <c r="G240" s="17" t="n"/>
    </row>
    <row r="241">
      <c r="A241" s="14" t="n">
        <v>234</v>
      </c>
      <c r="B241" s="17" t="n">
        <v>0.23</v>
      </c>
      <c r="C241" s="17" t="n">
        <v>0.71</v>
      </c>
      <c r="D241" s="17" t="n">
        <v>1.27</v>
      </c>
      <c r="E241" s="17" t="n">
        <v>0.47</v>
      </c>
      <c r="F241" s="17" t="n">
        <v>0.05</v>
      </c>
      <c r="G241" s="17" t="n"/>
    </row>
    <row r="242">
      <c r="A242" s="14" t="n">
        <v>235</v>
      </c>
      <c r="B242" s="17" t="n">
        <v>0.21</v>
      </c>
      <c r="C242" s="17" t="n">
        <v>0.74</v>
      </c>
      <c r="D242" s="17" t="n">
        <v>1.21</v>
      </c>
      <c r="E242" s="17" t="n">
        <v>0.62</v>
      </c>
      <c r="F242" s="17" t="n">
        <v>0.04</v>
      </c>
      <c r="G242" s="17" t="n"/>
    </row>
    <row r="243">
      <c r="A243" s="14" t="n">
        <v>236</v>
      </c>
      <c r="B243" s="17" t="n">
        <v>0.29</v>
      </c>
      <c r="C243" s="17" t="n">
        <v>0.72</v>
      </c>
      <c r="D243" s="17" t="n">
        <v>1.18</v>
      </c>
      <c r="E243" s="17" t="n">
        <v>0.66</v>
      </c>
      <c r="F243" s="17" t="n">
        <v>0.04</v>
      </c>
      <c r="G243" s="17" t="n"/>
    </row>
    <row r="244">
      <c r="A244" s="14" t="n">
        <v>237</v>
      </c>
      <c r="B244" s="17" t="n">
        <v>0.3</v>
      </c>
      <c r="C244" s="17" t="n">
        <v>0.6899999999999999</v>
      </c>
      <c r="D244" s="17" t="n">
        <v>1.21</v>
      </c>
      <c r="E244" s="17" t="n">
        <v>0.58</v>
      </c>
      <c r="F244" s="17" t="n">
        <v>0.04</v>
      </c>
      <c r="G244" s="17" t="n"/>
    </row>
    <row r="245">
      <c r="A245" s="14" t="n">
        <v>238</v>
      </c>
      <c r="B245" s="17" t="n">
        <v>0.27</v>
      </c>
      <c r="C245" s="17" t="n">
        <v>0.65</v>
      </c>
      <c r="D245" s="17" t="n">
        <v>1.23</v>
      </c>
      <c r="E245" s="17" t="n">
        <v>0.5</v>
      </c>
      <c r="F245" s="17" t="n">
        <v>0.04</v>
      </c>
      <c r="G245" s="17" t="n"/>
    </row>
    <row r="246">
      <c r="A246" s="14" t="n">
        <v>239</v>
      </c>
      <c r="B246" s="17" t="n">
        <v>0.29</v>
      </c>
      <c r="C246" s="17" t="n">
        <v>0.72</v>
      </c>
      <c r="D246" s="17" t="n">
        <v>1.26</v>
      </c>
      <c r="E246" s="17" t="n">
        <v>0.43</v>
      </c>
      <c r="F246" s="17" t="n">
        <v>0.05</v>
      </c>
      <c r="G246" s="17" t="n"/>
    </row>
    <row r="247">
      <c r="A247" s="14" t="n">
        <v>240</v>
      </c>
      <c r="B247" s="17" t="n">
        <v>0.19</v>
      </c>
      <c r="C247" s="17" t="n">
        <v>0.72</v>
      </c>
      <c r="D247" s="17" t="n">
        <v>1.19</v>
      </c>
      <c r="E247" s="17" t="n">
        <v>0.39</v>
      </c>
      <c r="F247" s="17" t="n">
        <v>0.04</v>
      </c>
      <c r="G247" s="17" t="n"/>
    </row>
    <row r="248">
      <c r="A248" s="14" t="n">
        <v>241</v>
      </c>
      <c r="B248" s="17" t="n">
        <v>0.22</v>
      </c>
      <c r="C248" s="17" t="n">
        <v>0.78</v>
      </c>
      <c r="D248" s="17" t="n">
        <v>1.2</v>
      </c>
      <c r="E248" s="17" t="n">
        <v>0.47</v>
      </c>
      <c r="F248" s="17" t="n">
        <v>0.04</v>
      </c>
      <c r="G248" s="17" t="n"/>
    </row>
    <row r="249">
      <c r="A249" s="14" t="n">
        <v>242</v>
      </c>
      <c r="B249" s="17" t="n">
        <v>0.21</v>
      </c>
      <c r="C249" s="17" t="n">
        <v>0.78</v>
      </c>
      <c r="D249" s="17" t="n">
        <v>1.23</v>
      </c>
      <c r="E249" s="17" t="n">
        <v>0.41</v>
      </c>
      <c r="F249" s="17" t="n">
        <v>0.04</v>
      </c>
      <c r="G249" s="17" t="n"/>
    </row>
    <row r="250">
      <c r="A250" s="14" t="n">
        <v>243</v>
      </c>
      <c r="B250" s="17" t="n">
        <v>0.17</v>
      </c>
      <c r="C250" s="17" t="n">
        <v>0.8100000000000001</v>
      </c>
      <c r="D250" s="17" t="n">
        <v>1.3</v>
      </c>
      <c r="E250" s="17" t="n">
        <v>0.44</v>
      </c>
      <c r="F250" s="17" t="n">
        <v>0.05</v>
      </c>
      <c r="G250" s="17" t="n"/>
    </row>
    <row r="251">
      <c r="A251" s="14" t="n">
        <v>244</v>
      </c>
      <c r="B251" s="17" t="n">
        <v>0.23</v>
      </c>
      <c r="C251" s="17" t="n">
        <v>0.79</v>
      </c>
      <c r="D251" s="17" t="n">
        <v>1.32</v>
      </c>
      <c r="E251" s="17" t="n">
        <v>0.44</v>
      </c>
      <c r="F251" s="17" t="n">
        <v>0.04</v>
      </c>
      <c r="G251" s="17" t="n"/>
    </row>
    <row r="252">
      <c r="A252" s="14" t="n">
        <v>245</v>
      </c>
      <c r="B252" s="17" t="n">
        <v>0.2</v>
      </c>
      <c r="C252" s="17" t="n">
        <v>0.77</v>
      </c>
      <c r="D252" s="17" t="n">
        <v>1.33</v>
      </c>
      <c r="E252" s="17" t="n">
        <v>0.44</v>
      </c>
      <c r="F252" s="17" t="n">
        <v>0.05</v>
      </c>
      <c r="G252" s="17" t="n"/>
    </row>
    <row r="253">
      <c r="A253" s="14" t="n">
        <v>246</v>
      </c>
      <c r="B253" s="17" t="n">
        <v>0.25</v>
      </c>
      <c r="C253" s="17" t="n">
        <v>0.76</v>
      </c>
      <c r="D253" s="17" t="n">
        <v>1.35</v>
      </c>
      <c r="E253" s="17" t="n">
        <v>0.42</v>
      </c>
      <c r="F253" s="17" t="n">
        <v>0.04</v>
      </c>
      <c r="G253" s="17" t="n"/>
    </row>
    <row r="254">
      <c r="A254" s="14" t="n">
        <v>247</v>
      </c>
      <c r="B254" s="17" t="n">
        <v>0.24</v>
      </c>
      <c r="C254" s="17" t="n">
        <v>0.67</v>
      </c>
      <c r="D254" s="17" t="n">
        <v>1.34</v>
      </c>
      <c r="E254" s="17" t="n">
        <v>0.51</v>
      </c>
      <c r="F254" s="17" t="n">
        <v>0.05</v>
      </c>
      <c r="G254" s="17" t="n"/>
    </row>
    <row r="255">
      <c r="A255" s="14" t="n">
        <v>248</v>
      </c>
      <c r="B255" s="17" t="n">
        <v>0.15</v>
      </c>
      <c r="C255" s="17" t="n">
        <v>0.7</v>
      </c>
      <c r="D255" s="17" t="n">
        <v>1.35</v>
      </c>
      <c r="E255" s="17" t="n">
        <v>0.48</v>
      </c>
      <c r="F255" s="17" t="n">
        <v>0.05</v>
      </c>
      <c r="G255" s="17" t="n"/>
    </row>
    <row r="256">
      <c r="A256" s="14" t="n">
        <v>249</v>
      </c>
      <c r="B256" s="17" t="n">
        <v>0.14</v>
      </c>
      <c r="C256" s="17" t="n">
        <v>0.68</v>
      </c>
      <c r="D256" s="17" t="n">
        <v>1.38</v>
      </c>
      <c r="E256" s="17" t="n">
        <v>0.55</v>
      </c>
      <c r="F256" s="17" t="n">
        <v>0.07000000000000001</v>
      </c>
      <c r="G256" s="17" t="n"/>
    </row>
    <row r="257">
      <c r="A257" s="14" t="n">
        <v>250</v>
      </c>
      <c r="B257" s="17" t="n">
        <v>0.12</v>
      </c>
      <c r="C257" s="17" t="n">
        <v>0.71</v>
      </c>
      <c r="D257" s="17" t="n">
        <v>1.47</v>
      </c>
      <c r="E257" s="17" t="n">
        <v>0.67</v>
      </c>
      <c r="F257" s="17" t="n">
        <v>0.06</v>
      </c>
      <c r="G257" s="17" t="n"/>
    </row>
    <row r="258">
      <c r="A258" s="14" t="n">
        <v>251</v>
      </c>
      <c r="B258" s="17" t="n">
        <v>0.12</v>
      </c>
      <c r="C258" s="17" t="n">
        <v>0.6899999999999999</v>
      </c>
      <c r="D258" s="17" t="n">
        <v>1.44</v>
      </c>
      <c r="E258" s="17" t="n">
        <v>0.62</v>
      </c>
      <c r="F258" s="17" t="n">
        <v>0.05</v>
      </c>
      <c r="G258" s="17" t="n"/>
    </row>
    <row r="259">
      <c r="A259" s="14" t="n">
        <v>252</v>
      </c>
      <c r="B259" s="17" t="n">
        <v>0.18</v>
      </c>
      <c r="C259" s="17" t="n">
        <v>0.73</v>
      </c>
      <c r="D259" s="17" t="n">
        <v>1.47</v>
      </c>
      <c r="E259" s="17" t="n">
        <v>0.55</v>
      </c>
      <c r="F259" s="17" t="n">
        <v>0.06</v>
      </c>
      <c r="G259" s="17" t="n"/>
    </row>
    <row r="260">
      <c r="A260" s="14" t="n">
        <v>253</v>
      </c>
      <c r="B260" s="17" t="n">
        <v>0.22</v>
      </c>
      <c r="C260" s="17" t="n">
        <v>0.66</v>
      </c>
      <c r="D260" s="17" t="n">
        <v>1.5</v>
      </c>
      <c r="E260" s="17" t="n">
        <v>0.47</v>
      </c>
      <c r="F260" s="17" t="n">
        <v>0.06</v>
      </c>
      <c r="G260" s="17" t="n"/>
    </row>
    <row r="261">
      <c r="A261" s="14" t="n">
        <v>254</v>
      </c>
      <c r="B261" s="17" t="n">
        <v>0.23</v>
      </c>
      <c r="C261" s="17" t="n">
        <v>0.58</v>
      </c>
      <c r="D261" s="17" t="n">
        <v>1.43</v>
      </c>
      <c r="E261" s="17" t="n">
        <v>0.47</v>
      </c>
      <c r="F261" s="17" t="n">
        <v>0.06</v>
      </c>
      <c r="G261" s="17" t="n"/>
    </row>
    <row r="262">
      <c r="A262" s="14" t="n">
        <v>255</v>
      </c>
      <c r="B262" s="17" t="n">
        <v>0.22</v>
      </c>
      <c r="C262" s="17" t="n">
        <v>0.64</v>
      </c>
      <c r="D262" s="17" t="n">
        <v>1.42</v>
      </c>
      <c r="E262" s="17" t="n">
        <v>0.49</v>
      </c>
      <c r="F262" s="17" t="n">
        <v>0.06</v>
      </c>
      <c r="G262" s="17" t="n"/>
    </row>
    <row r="263">
      <c r="A263" s="14" t="n">
        <v>256</v>
      </c>
      <c r="B263" s="17" t="n">
        <v>0.29</v>
      </c>
      <c r="C263" s="17" t="n">
        <v>0.59</v>
      </c>
      <c r="D263" s="17" t="n">
        <v>1.37</v>
      </c>
      <c r="E263" s="17" t="n">
        <v>0.47</v>
      </c>
      <c r="F263" s="17" t="n">
        <v>0.05</v>
      </c>
      <c r="G263" s="17" t="n"/>
    </row>
    <row r="264">
      <c r="A264" s="14" t="n">
        <v>257</v>
      </c>
      <c r="B264" s="17" t="n">
        <v>0.3</v>
      </c>
      <c r="C264" s="17" t="n">
        <v>0.6899999999999999</v>
      </c>
      <c r="D264" s="17" t="n">
        <v>1.41</v>
      </c>
      <c r="E264" s="17" t="n">
        <v>0.39</v>
      </c>
      <c r="F264" s="17" t="n">
        <v>0.05</v>
      </c>
      <c r="G264" s="17" t="n"/>
    </row>
    <row r="265">
      <c r="A265" s="14" t="n">
        <v>258</v>
      </c>
      <c r="B265" s="17" t="n">
        <v>0.28</v>
      </c>
      <c r="C265" s="17" t="n">
        <v>0.71</v>
      </c>
      <c r="D265" s="17" t="n">
        <v>1.4</v>
      </c>
      <c r="E265" s="17" t="n">
        <v>0.37</v>
      </c>
      <c r="F265" s="17" t="n">
        <v>0.04</v>
      </c>
      <c r="G265" s="17" t="n"/>
    </row>
    <row r="266">
      <c r="A266" s="14" t="n">
        <v>259</v>
      </c>
      <c r="B266" s="17" t="n">
        <v>0.3</v>
      </c>
      <c r="C266" s="17" t="n">
        <v>0.76</v>
      </c>
      <c r="D266" s="17" t="n">
        <v>1.34</v>
      </c>
      <c r="E266" s="17" t="n">
        <v>0.42</v>
      </c>
      <c r="F266" s="17" t="n">
        <v>0.04</v>
      </c>
      <c r="G266" s="17" t="n"/>
    </row>
    <row r="267">
      <c r="A267" s="14" t="n">
        <v>260</v>
      </c>
      <c r="B267" s="17" t="n">
        <v>0.36</v>
      </c>
      <c r="C267" s="17" t="n">
        <v>0.76</v>
      </c>
      <c r="D267" s="17" t="n">
        <v>1.37</v>
      </c>
      <c r="E267" s="17" t="n">
        <v>0.36</v>
      </c>
      <c r="F267" s="17" t="n">
        <v>0.03</v>
      </c>
      <c r="G267" s="17" t="n"/>
    </row>
    <row r="268">
      <c r="A268" s="14" t="n">
        <v>261</v>
      </c>
      <c r="B268" s="17" t="n">
        <v>0.32</v>
      </c>
      <c r="C268" s="17" t="n">
        <v>0.73</v>
      </c>
      <c r="D268" s="17" t="n">
        <v>1.48</v>
      </c>
      <c r="E268" s="17" t="n">
        <v>0.35</v>
      </c>
      <c r="F268" s="17" t="n">
        <v>0.03</v>
      </c>
      <c r="G268" s="17" t="n"/>
    </row>
    <row r="269">
      <c r="A269" s="14" t="n">
        <v>262</v>
      </c>
      <c r="B269" s="17" t="n">
        <v>0.29</v>
      </c>
      <c r="C269" s="17" t="n">
        <v>0.72</v>
      </c>
      <c r="D269" s="17" t="n">
        <v>1.51</v>
      </c>
      <c r="E269" s="17" t="n">
        <v>0.39</v>
      </c>
      <c r="F269" s="17" t="n">
        <v>0.03</v>
      </c>
      <c r="G269" s="17" t="n"/>
    </row>
    <row r="270">
      <c r="A270" s="14" t="n">
        <v>263</v>
      </c>
      <c r="B270" s="17" t="n">
        <v>0.31</v>
      </c>
      <c r="C270" s="17" t="n">
        <v>0.67</v>
      </c>
      <c r="D270" s="17" t="n">
        <v>1.57</v>
      </c>
      <c r="E270" s="17" t="n">
        <v>0.44</v>
      </c>
      <c r="F270" s="17" t="n">
        <v>0.02</v>
      </c>
      <c r="G270" s="17" t="n"/>
    </row>
    <row r="271">
      <c r="A271" s="14" t="n">
        <v>264</v>
      </c>
      <c r="B271" s="17" t="n">
        <v>0.29</v>
      </c>
      <c r="C271" s="17" t="n">
        <v>0.76</v>
      </c>
      <c r="D271" s="17" t="n">
        <v>1.56</v>
      </c>
      <c r="E271" s="17" t="n">
        <v>0.45</v>
      </c>
      <c r="F271" s="17" t="n">
        <v>0.02</v>
      </c>
      <c r="G271" s="17" t="n"/>
    </row>
    <row r="272">
      <c r="A272" s="14" t="n">
        <v>265</v>
      </c>
      <c r="B272" s="17" t="n">
        <v>0.34</v>
      </c>
      <c r="C272" s="17" t="n">
        <v>0.8</v>
      </c>
      <c r="D272" s="17" t="n">
        <v>1.62</v>
      </c>
      <c r="E272" s="17" t="n">
        <v>0.44</v>
      </c>
      <c r="F272" s="17" t="n">
        <v>0.01</v>
      </c>
      <c r="G272" s="17" t="n"/>
    </row>
    <row r="273">
      <c r="A273" s="14" t="n">
        <v>266</v>
      </c>
      <c r="B273" s="17" t="n">
        <v>0.37</v>
      </c>
      <c r="C273" s="17" t="n">
        <v>0.77</v>
      </c>
      <c r="D273" s="17" t="n">
        <v>1.64</v>
      </c>
      <c r="E273" s="17" t="n">
        <v>0.47</v>
      </c>
      <c r="F273" s="17" t="n">
        <v>0.02</v>
      </c>
      <c r="G273" s="17" t="n"/>
    </row>
    <row r="274">
      <c r="A274" s="14" t="n">
        <v>267</v>
      </c>
      <c r="B274" s="17" t="n">
        <v>0.41</v>
      </c>
      <c r="C274" s="17" t="n">
        <v>0.61</v>
      </c>
      <c r="D274" s="17" t="n">
        <v>1.65</v>
      </c>
      <c r="E274" s="17" t="n">
        <v>0.46</v>
      </c>
      <c r="F274" s="17" t="n">
        <v>0.03</v>
      </c>
      <c r="G274" s="17" t="n"/>
    </row>
    <row r="275">
      <c r="A275" s="14" t="n">
        <v>268</v>
      </c>
      <c r="B275" s="17" t="n">
        <v>0.45</v>
      </c>
      <c r="C275" s="17" t="n">
        <v>0.65</v>
      </c>
      <c r="D275" s="17" t="n">
        <v>1.67</v>
      </c>
      <c r="E275" s="17" t="n">
        <v>0.39</v>
      </c>
      <c r="F275" s="17" t="n">
        <v>0.03</v>
      </c>
      <c r="G275" s="17" t="n"/>
    </row>
    <row r="276">
      <c r="A276" s="14" t="n">
        <v>269</v>
      </c>
      <c r="B276" s="17" t="n"/>
      <c r="C276" s="17" t="n">
        <v>0.5600000000000001</v>
      </c>
      <c r="D276" s="17" t="n">
        <v>1.66</v>
      </c>
      <c r="E276" s="17" t="n">
        <v>0.36</v>
      </c>
      <c r="F276" s="17" t="n">
        <v>0.03</v>
      </c>
      <c r="G276" s="17" t="n"/>
    </row>
    <row r="277">
      <c r="A277" s="14" t="n">
        <v>270</v>
      </c>
      <c r="B277" s="17" t="n"/>
      <c r="C277" s="17" t="n">
        <v>0.5600000000000001</v>
      </c>
      <c r="D277" s="17" t="n">
        <v>1.69</v>
      </c>
      <c r="E277" s="17" t="n">
        <v>0.34</v>
      </c>
      <c r="F277" s="17" t="n">
        <v>0.03</v>
      </c>
      <c r="G277" s="17" t="n"/>
    </row>
    <row r="278">
      <c r="A278" s="14" t="n">
        <v>271</v>
      </c>
      <c r="B278" s="17" t="n"/>
      <c r="C278" s="17" t="n">
        <v>0.57</v>
      </c>
      <c r="D278" s="17" t="n">
        <v>1.66</v>
      </c>
      <c r="E278" s="17" t="n">
        <v>0.28</v>
      </c>
      <c r="F278" s="17" t="n">
        <v>0.03</v>
      </c>
      <c r="G278" s="17" t="n"/>
    </row>
    <row r="279">
      <c r="A279" s="14" t="n">
        <v>272</v>
      </c>
      <c r="B279" s="17" t="n"/>
      <c r="C279" s="17" t="n">
        <v>0.48</v>
      </c>
      <c r="D279" s="17" t="n">
        <v>1.65</v>
      </c>
      <c r="E279" s="17" t="n">
        <v>0.18</v>
      </c>
      <c r="F279" s="17" t="n">
        <v>0.03</v>
      </c>
      <c r="G279" s="17" t="n"/>
    </row>
    <row r="280">
      <c r="A280" s="14" t="n">
        <v>273</v>
      </c>
      <c r="B280" s="17" t="n"/>
      <c r="C280" s="17" t="n">
        <v>0.5600000000000001</v>
      </c>
      <c r="D280" s="17" t="n">
        <v>1.71</v>
      </c>
      <c r="E280" s="17" t="n">
        <v>-0.01</v>
      </c>
      <c r="F280" s="17" t="n">
        <v>0.03</v>
      </c>
      <c r="G280" s="17" t="n"/>
    </row>
    <row r="281">
      <c r="A281" s="14" t="n">
        <v>274</v>
      </c>
      <c r="B281" s="17" t="n"/>
      <c r="C281" s="17" t="n">
        <v>0.61</v>
      </c>
      <c r="D281" s="17" t="n">
        <v>1.84</v>
      </c>
      <c r="E281" s="17" t="n">
        <v>-0.03</v>
      </c>
      <c r="F281" s="17" t="n">
        <v>0.03</v>
      </c>
      <c r="G281" s="17" t="n"/>
    </row>
    <row r="282">
      <c r="A282" s="14" t="n">
        <v>275</v>
      </c>
      <c r="B282" s="17" t="n"/>
      <c r="C282" s="17" t="n">
        <v>0.65</v>
      </c>
      <c r="D282" s="17" t="n">
        <v>1.75</v>
      </c>
      <c r="E282" s="17" t="n">
        <v>0.09</v>
      </c>
      <c r="F282" s="17" t="n">
        <v>0.03</v>
      </c>
      <c r="G282" s="17" t="n"/>
    </row>
    <row r="283">
      <c r="A283" s="14" t="n">
        <v>276</v>
      </c>
      <c r="B283" s="17" t="n"/>
      <c r="C283" s="17" t="n">
        <v>0.62</v>
      </c>
      <c r="D283" s="17" t="n">
        <v>1.88</v>
      </c>
      <c r="E283" s="17" t="n">
        <v>0.15</v>
      </c>
      <c r="F283" s="17" t="n">
        <v>0.02</v>
      </c>
      <c r="G283" s="17" t="n"/>
    </row>
    <row r="284">
      <c r="A284" s="14" t="n">
        <v>277</v>
      </c>
      <c r="B284" s="17" t="n"/>
      <c r="C284" s="17" t="n">
        <v>0.61</v>
      </c>
      <c r="D284" s="17" t="n">
        <v>1.83</v>
      </c>
      <c r="E284" s="17" t="n">
        <v>0.18</v>
      </c>
      <c r="F284" s="17" t="n">
        <v>0.03</v>
      </c>
      <c r="G284" s="17" t="n"/>
    </row>
    <row r="285">
      <c r="A285" s="14" t="n">
        <v>278</v>
      </c>
      <c r="B285" s="17" t="n"/>
      <c r="C285" s="17" t="n">
        <v>0.55</v>
      </c>
      <c r="D285" s="17" t="n">
        <v>1.78</v>
      </c>
      <c r="E285" s="17" t="n">
        <v>0.13</v>
      </c>
      <c r="F285" s="17" t="n">
        <v>0.03</v>
      </c>
      <c r="G285" s="17" t="n"/>
    </row>
    <row r="286">
      <c r="A286" s="14" t="n">
        <v>279</v>
      </c>
      <c r="B286" s="17" t="n"/>
      <c r="C286" s="17" t="n">
        <v>0.57</v>
      </c>
      <c r="D286" s="17" t="n">
        <v>1.83</v>
      </c>
      <c r="E286" s="17" t="n">
        <v>0.09</v>
      </c>
      <c r="F286" s="17" t="n">
        <v>0.03</v>
      </c>
      <c r="G286" s="17" t="n"/>
    </row>
    <row r="287">
      <c r="A287" s="14" t="n">
        <v>280</v>
      </c>
      <c r="B287" s="17" t="n"/>
      <c r="C287" s="17" t="n">
        <v>0.6</v>
      </c>
      <c r="D287" s="17" t="n">
        <v>1.93</v>
      </c>
      <c r="E287" s="17" t="n">
        <v>0.04</v>
      </c>
      <c r="F287" s="17" t="n">
        <v>0.02</v>
      </c>
      <c r="G287" s="17" t="n"/>
    </row>
    <row r="288">
      <c r="A288" s="14" t="n">
        <v>281</v>
      </c>
      <c r="B288" s="17" t="n"/>
      <c r="C288" s="17" t="n">
        <v>0.57</v>
      </c>
      <c r="D288" s="17" t="n">
        <v>1.98</v>
      </c>
      <c r="E288" s="17" t="n">
        <v>0.02</v>
      </c>
      <c r="F288" s="17" t="n">
        <v>0.03</v>
      </c>
      <c r="G288" s="17" t="n"/>
    </row>
    <row r="289">
      <c r="A289" s="14" t="n">
        <v>282</v>
      </c>
      <c r="B289" s="17" t="n"/>
      <c r="C289" s="17" t="n">
        <v>0.54</v>
      </c>
      <c r="D289" s="17" t="n">
        <v>1.89</v>
      </c>
      <c r="E289" s="17" t="n">
        <v>0.11</v>
      </c>
      <c r="F289" s="17" t="n">
        <v>0.04</v>
      </c>
      <c r="G289" s="17" t="n"/>
    </row>
    <row r="290">
      <c r="A290" s="14" t="n">
        <v>283</v>
      </c>
      <c r="B290" s="17" t="n"/>
      <c r="C290" s="17" t="n">
        <v>0.5600000000000001</v>
      </c>
      <c r="D290" s="17" t="n">
        <v>1.95</v>
      </c>
      <c r="E290" s="17" t="n">
        <v>0.08</v>
      </c>
      <c r="F290" s="17" t="n">
        <v>0.04</v>
      </c>
      <c r="G290" s="17" t="n"/>
    </row>
    <row r="291">
      <c r="A291" s="14" t="n">
        <v>284</v>
      </c>
      <c r="B291" s="17" t="n"/>
      <c r="C291" s="17" t="n">
        <v>0.61</v>
      </c>
      <c r="D291" s="17" t="n">
        <v>2.01</v>
      </c>
      <c r="E291" s="17" t="n">
        <v>0.05</v>
      </c>
      <c r="F291" s="17" t="n">
        <v>0.04</v>
      </c>
      <c r="G291" s="17" t="n"/>
    </row>
    <row r="292">
      <c r="A292" s="14" t="n">
        <v>285</v>
      </c>
      <c r="B292" s="17" t="n"/>
      <c r="C292" s="17" t="n">
        <v>0.59</v>
      </c>
      <c r="D292" s="17" t="n">
        <v>1.99</v>
      </c>
      <c r="E292" s="17" t="n">
        <v>0.01</v>
      </c>
      <c r="F292" s="17" t="n">
        <v>0.04</v>
      </c>
      <c r="G292" s="17" t="n"/>
    </row>
    <row r="293">
      <c r="A293" s="14" t="n">
        <v>286</v>
      </c>
      <c r="B293" s="17" t="n"/>
      <c r="C293" s="17" t="n">
        <v>0.63</v>
      </c>
      <c r="D293" s="17" t="n">
        <v>2.05</v>
      </c>
      <c r="E293" s="17" t="n">
        <v>-0.02</v>
      </c>
      <c r="F293" s="17" t="n">
        <v>0.04</v>
      </c>
      <c r="G293" s="17" t="n"/>
    </row>
    <row r="294">
      <c r="A294" s="14" t="n">
        <v>287</v>
      </c>
      <c r="B294" s="17" t="n"/>
      <c r="C294" s="17" t="n">
        <v>0.61</v>
      </c>
      <c r="D294" s="17" t="n">
        <v>2.05</v>
      </c>
      <c r="E294" s="17" t="n">
        <v>0.05</v>
      </c>
      <c r="F294" s="17" t="n">
        <v>0.04</v>
      </c>
      <c r="G294" s="17" t="n"/>
    </row>
    <row r="295">
      <c r="A295" s="14" t="n">
        <v>288</v>
      </c>
      <c r="B295" s="17" t="n"/>
      <c r="C295" s="17" t="n">
        <v>0.62</v>
      </c>
      <c r="D295" s="17" t="n">
        <v>1.95</v>
      </c>
      <c r="E295" s="17" t="n">
        <v>0</v>
      </c>
      <c r="F295" s="17" t="n">
        <v>0.04</v>
      </c>
      <c r="G295" s="17" t="n"/>
    </row>
    <row r="296">
      <c r="A296" s="14" t="n">
        <v>289</v>
      </c>
      <c r="B296" s="17" t="n"/>
      <c r="C296" s="17" t="n">
        <v>0.68</v>
      </c>
      <c r="D296" s="17" t="n">
        <v>1.96</v>
      </c>
      <c r="E296" s="17" t="n">
        <v>0.01</v>
      </c>
      <c r="F296" s="17" t="n">
        <v>0.04</v>
      </c>
      <c r="G296" s="17" t="n"/>
    </row>
    <row r="297">
      <c r="A297" s="14" t="n">
        <v>290</v>
      </c>
      <c r="B297" s="17" t="n"/>
      <c r="C297" s="17" t="n">
        <v>0.65</v>
      </c>
      <c r="D297" s="17" t="n">
        <v>1.95</v>
      </c>
      <c r="E297" s="17" t="n">
        <v>0.02</v>
      </c>
      <c r="F297" s="17" t="n">
        <v>0.04</v>
      </c>
      <c r="G297" s="17" t="n"/>
    </row>
    <row r="298">
      <c r="A298" s="14" t="n">
        <v>291</v>
      </c>
      <c r="B298" s="17" t="n"/>
      <c r="C298" s="17" t="n">
        <v>0.65</v>
      </c>
      <c r="D298" s="17" t="n">
        <v>1.94</v>
      </c>
      <c r="E298" s="17" t="n">
        <v>0.03</v>
      </c>
      <c r="F298" s="17" t="n">
        <v>0.04</v>
      </c>
      <c r="G298" s="17" t="n"/>
    </row>
    <row r="299">
      <c r="A299" s="14" t="n">
        <v>292</v>
      </c>
      <c r="B299" s="17" t="n"/>
      <c r="C299" s="17" t="n">
        <v>0.76</v>
      </c>
      <c r="D299" s="17" t="n">
        <v>1.92</v>
      </c>
      <c r="E299" s="17" t="n">
        <v>0.06</v>
      </c>
      <c r="F299" s="17" t="n">
        <v>0.04</v>
      </c>
      <c r="G299" s="17" t="n"/>
    </row>
    <row r="300">
      <c r="A300" s="14" t="n">
        <v>293</v>
      </c>
      <c r="B300" s="17" t="n"/>
      <c r="C300" s="17" t="n">
        <v>0.79</v>
      </c>
      <c r="D300" s="17" t="n">
        <v>1.94</v>
      </c>
      <c r="E300" s="17" t="n">
        <v>0.1</v>
      </c>
      <c r="F300" s="17" t="n">
        <v>0.03</v>
      </c>
      <c r="G300" s="17" t="n"/>
    </row>
    <row r="301">
      <c r="A301" s="14" t="n">
        <v>294</v>
      </c>
      <c r="B301" s="17" t="n"/>
      <c r="C301" s="17" t="n">
        <v>0.84</v>
      </c>
      <c r="D301" s="17" t="n">
        <v>1.88</v>
      </c>
      <c r="E301" s="17" t="n">
        <v>0.03</v>
      </c>
      <c r="F301" s="17" t="n">
        <v>0.03</v>
      </c>
      <c r="G301" s="17" t="n"/>
    </row>
    <row r="302">
      <c r="A302" s="14" t="n">
        <v>295</v>
      </c>
      <c r="B302" s="17" t="n"/>
      <c r="C302" s="17" t="n">
        <v>0.86</v>
      </c>
      <c r="D302" s="17" t="n">
        <v>1.86</v>
      </c>
      <c r="E302" s="17" t="n">
        <v>-0.04</v>
      </c>
      <c r="F302" s="17" t="n">
        <v>0.03</v>
      </c>
      <c r="G302" s="17" t="n"/>
    </row>
    <row r="303">
      <c r="A303" s="14" t="n">
        <v>296</v>
      </c>
      <c r="B303" s="17" t="n"/>
      <c r="C303" s="17" t="n">
        <v>0.89</v>
      </c>
      <c r="D303" s="17" t="n">
        <v>1.75</v>
      </c>
      <c r="E303" s="17" t="n">
        <v>-0.08</v>
      </c>
      <c r="F303" s="17" t="n">
        <v>0.03</v>
      </c>
      <c r="G303" s="17" t="n"/>
    </row>
    <row r="304">
      <c r="A304" s="14" t="n">
        <v>297</v>
      </c>
      <c r="B304" s="17" t="n"/>
      <c r="C304" s="17" t="n">
        <v>0.91</v>
      </c>
      <c r="D304" s="17" t="n">
        <v>1.79</v>
      </c>
      <c r="E304" s="17" t="n">
        <v>-0.09</v>
      </c>
      <c r="F304" s="17" t="n">
        <v>0.03</v>
      </c>
      <c r="G304" s="17" t="n"/>
    </row>
    <row r="305">
      <c r="A305" s="14" t="n">
        <v>298</v>
      </c>
      <c r="B305" s="17" t="n"/>
      <c r="C305" s="17" t="n">
        <v>0.88</v>
      </c>
      <c r="D305" s="17" t="n">
        <v>1.9</v>
      </c>
      <c r="E305" s="17" t="n">
        <v>-0.11</v>
      </c>
      <c r="F305" s="17" t="n">
        <v>0.03</v>
      </c>
      <c r="G305" s="17" t="n"/>
    </row>
    <row r="306">
      <c r="A306" s="14" t="n">
        <v>299</v>
      </c>
      <c r="B306" s="17" t="n"/>
      <c r="C306" s="17" t="n">
        <v>0.87</v>
      </c>
      <c r="D306" s="17" t="n">
        <v>1.85</v>
      </c>
      <c r="E306" s="17" t="n">
        <v>-0.16</v>
      </c>
      <c r="F306" s="17" t="n">
        <v>0.03</v>
      </c>
      <c r="G306" s="17" t="n"/>
    </row>
    <row r="307">
      <c r="A307" s="14" t="n">
        <v>300</v>
      </c>
      <c r="B307" s="17" t="n"/>
      <c r="C307" s="17" t="n">
        <v>0.83</v>
      </c>
      <c r="D307" s="17" t="n">
        <v>1.82</v>
      </c>
      <c r="E307" s="17" t="n">
        <v>-0.16</v>
      </c>
      <c r="F307" s="17" t="n">
        <v>0.04</v>
      </c>
      <c r="G307" s="17" t="n"/>
    </row>
    <row r="308">
      <c r="A308" s="14" t="n">
        <v>301</v>
      </c>
      <c r="B308" s="17" t="n"/>
      <c r="C308" s="17" t="n">
        <v>0.91</v>
      </c>
      <c r="D308" s="17" t="n">
        <v>1.93</v>
      </c>
      <c r="E308" s="17" t="n">
        <v>-0.13</v>
      </c>
      <c r="F308" s="17" t="n">
        <v>0.04</v>
      </c>
      <c r="G308" s="17" t="n"/>
    </row>
    <row r="309">
      <c r="A309" s="14" t="n">
        <v>302</v>
      </c>
      <c r="B309" s="17" t="n"/>
      <c r="C309" s="17" t="n">
        <v>1</v>
      </c>
      <c r="D309" s="17" t="n">
        <v>1.89</v>
      </c>
      <c r="E309" s="17" t="n">
        <v>-0.15</v>
      </c>
      <c r="F309" s="17" t="n">
        <v>0.04</v>
      </c>
      <c r="G309" s="17" t="n"/>
    </row>
    <row r="310">
      <c r="A310" s="14" t="n">
        <v>303</v>
      </c>
      <c r="B310" s="17" t="n"/>
      <c r="C310" s="17" t="n">
        <v>0.96</v>
      </c>
      <c r="D310" s="17" t="n">
        <v>1.82</v>
      </c>
      <c r="E310" s="17" t="n">
        <v>-0.18</v>
      </c>
      <c r="F310" s="17" t="n">
        <v>0.05</v>
      </c>
      <c r="G310" s="17" t="n"/>
    </row>
    <row r="311">
      <c r="A311" s="14" t="n">
        <v>304</v>
      </c>
      <c r="B311" s="17" t="n"/>
      <c r="C311" s="17" t="n">
        <v>0.96</v>
      </c>
      <c r="D311" s="17" t="n">
        <v>1.82</v>
      </c>
      <c r="E311" s="17" t="n">
        <v>-0.16</v>
      </c>
      <c r="F311" s="17" t="n">
        <v>0.05</v>
      </c>
      <c r="G311" s="17" t="n"/>
    </row>
    <row r="312">
      <c r="A312" s="14" t="n">
        <v>305</v>
      </c>
      <c r="B312" s="17" t="n"/>
      <c r="C312" s="17" t="n">
        <v>0.88</v>
      </c>
      <c r="D312" s="17" t="n">
        <v>1.82</v>
      </c>
      <c r="E312" s="17" t="n">
        <v>-0.11</v>
      </c>
      <c r="F312" s="17" t="n">
        <v>0.05</v>
      </c>
      <c r="G312" s="17" t="n"/>
    </row>
    <row r="313">
      <c r="A313" s="14" t="n">
        <v>306</v>
      </c>
      <c r="B313" s="17" t="n"/>
      <c r="C313" s="17" t="n">
        <v>0.88</v>
      </c>
      <c r="D313" s="17" t="n">
        <v>1.84</v>
      </c>
      <c r="E313" s="17" t="n">
        <v>-0.08</v>
      </c>
      <c r="F313" s="17" t="n">
        <v>0.05</v>
      </c>
      <c r="G313" s="17" t="n"/>
    </row>
    <row r="314">
      <c r="A314" s="14" t="n">
        <v>307</v>
      </c>
      <c r="B314" s="17" t="n"/>
      <c r="C314" s="17" t="n">
        <v>0.91</v>
      </c>
      <c r="D314" s="17" t="n">
        <v>1.75</v>
      </c>
      <c r="E314" s="17" t="n">
        <v>-0.08</v>
      </c>
      <c r="F314" s="17" t="n">
        <v>0.05</v>
      </c>
      <c r="G314" s="17" t="n"/>
    </row>
    <row r="315">
      <c r="A315" s="14" t="n">
        <v>308</v>
      </c>
      <c r="B315" s="17" t="n"/>
      <c r="C315" s="17" t="n">
        <v>0.98</v>
      </c>
      <c r="D315" s="17" t="n">
        <v>1.62</v>
      </c>
      <c r="E315" s="17" t="n">
        <v>-0.06</v>
      </c>
      <c r="F315" s="17" t="n">
        <v>0.05</v>
      </c>
      <c r="G315" s="17" t="n"/>
    </row>
    <row r="316">
      <c r="A316" s="14" t="n">
        <v>309</v>
      </c>
      <c r="B316" s="17" t="n"/>
      <c r="C316" s="17" t="n">
        <v>0.9399999999999999</v>
      </c>
      <c r="D316" s="17" t="n">
        <v>1.7</v>
      </c>
      <c r="E316" s="17" t="n">
        <v>-0.07000000000000001</v>
      </c>
      <c r="F316" s="17" t="n">
        <v>0.05</v>
      </c>
      <c r="G316" s="17" t="n"/>
    </row>
    <row r="317">
      <c r="A317" s="14" t="n">
        <v>310</v>
      </c>
      <c r="B317" s="17" t="n"/>
      <c r="C317" s="17" t="n">
        <v>0.91</v>
      </c>
      <c r="D317" s="17" t="n">
        <v>1.62</v>
      </c>
      <c r="E317" s="17" t="n">
        <v>-0.02</v>
      </c>
      <c r="F317" s="17" t="n">
        <v>0.05</v>
      </c>
      <c r="G317" s="17" t="n"/>
    </row>
    <row r="318">
      <c r="A318" s="14" t="n">
        <v>311</v>
      </c>
      <c r="B318" s="17" t="n"/>
      <c r="C318" s="17" t="n">
        <v>0.92</v>
      </c>
      <c r="D318" s="17" t="n">
        <v>1.62</v>
      </c>
      <c r="E318" s="17" t="n">
        <v>-0.02</v>
      </c>
      <c r="F318" s="17" t="n">
        <v>0.06</v>
      </c>
      <c r="G318" s="17" t="n"/>
    </row>
    <row r="319">
      <c r="A319" s="14" t="n">
        <v>312</v>
      </c>
      <c r="B319" s="17" t="n"/>
      <c r="C319" s="17" t="n">
        <v>0.9399999999999999</v>
      </c>
      <c r="D319" s="17" t="n">
        <v>1.63</v>
      </c>
      <c r="E319" s="17" t="n">
        <v>-0.06</v>
      </c>
      <c r="F319" s="17" t="n">
        <v>0.06</v>
      </c>
      <c r="G319" s="17" t="n"/>
    </row>
    <row r="320">
      <c r="A320" s="14" t="n">
        <v>313</v>
      </c>
      <c r="B320" s="17" t="n"/>
      <c r="C320" s="17" t="n">
        <v>0.91</v>
      </c>
      <c r="D320" s="17" t="n">
        <v>1.68</v>
      </c>
      <c r="E320" s="17" t="n">
        <v>0</v>
      </c>
      <c r="F320" s="17" t="n">
        <v>0.06</v>
      </c>
      <c r="G320" s="17" t="n"/>
    </row>
    <row r="321">
      <c r="A321" s="14" t="n">
        <v>314</v>
      </c>
      <c r="B321" s="17" t="n"/>
      <c r="C321" s="17" t="n">
        <v>0.95</v>
      </c>
      <c r="D321" s="17" t="n">
        <v>1.65</v>
      </c>
      <c r="E321" s="17" t="n">
        <v>-0.07000000000000001</v>
      </c>
      <c r="F321" s="17" t="n">
        <v>0.06</v>
      </c>
      <c r="G321" s="17" t="n"/>
    </row>
    <row r="322">
      <c r="A322" s="14" t="n">
        <v>315</v>
      </c>
      <c r="B322" s="17" t="n"/>
      <c r="C322" s="17" t="n">
        <v>1.06</v>
      </c>
      <c r="D322" s="17" t="n">
        <v>1.66</v>
      </c>
      <c r="E322" s="17" t="n">
        <v>-0.02</v>
      </c>
      <c r="F322" s="17" t="n">
        <v>0.06</v>
      </c>
      <c r="G322" s="17" t="n"/>
    </row>
    <row r="323">
      <c r="A323" s="14" t="n">
        <v>316</v>
      </c>
      <c r="B323" s="17" t="n"/>
      <c r="C323" s="17" t="n">
        <v>1.05</v>
      </c>
      <c r="D323" s="17" t="n">
        <v>1.65</v>
      </c>
      <c r="E323" s="17" t="n">
        <v>0.04</v>
      </c>
      <c r="F323" s="17" t="n">
        <v>0.06</v>
      </c>
      <c r="G323" s="17" t="n"/>
    </row>
    <row r="324">
      <c r="A324" s="14" t="n">
        <v>317</v>
      </c>
      <c r="B324" s="17" t="n"/>
      <c r="C324" s="17" t="n">
        <v>1.09</v>
      </c>
      <c r="D324" s="17" t="n">
        <v>1.68</v>
      </c>
      <c r="E324" s="17" t="n">
        <v>0.17</v>
      </c>
      <c r="F324" s="17" t="n">
        <v>0.06</v>
      </c>
      <c r="G324" s="17" t="n"/>
    </row>
    <row r="325">
      <c r="A325" s="14" t="n">
        <v>318</v>
      </c>
      <c r="B325" s="17" t="n"/>
      <c r="C325" s="17" t="n">
        <v>1.07</v>
      </c>
      <c r="D325" s="17" t="n">
        <v>1.65</v>
      </c>
      <c r="E325" s="17" t="n">
        <v>0.22</v>
      </c>
      <c r="F325" s="17" t="n">
        <v>0.06</v>
      </c>
      <c r="G325" s="17" t="n"/>
    </row>
    <row r="326">
      <c r="A326" s="14" t="n">
        <v>319</v>
      </c>
      <c r="B326" s="17" t="n"/>
      <c r="C326" s="17" t="n">
        <v>1.16</v>
      </c>
      <c r="D326" s="17" t="n">
        <v>1.64</v>
      </c>
      <c r="E326" s="17" t="n">
        <v>0.23</v>
      </c>
      <c r="F326" s="17" t="n">
        <v>0.06</v>
      </c>
      <c r="G326" s="17" t="n"/>
    </row>
    <row r="327">
      <c r="A327" s="14" t="n">
        <v>320</v>
      </c>
      <c r="B327" s="17" t="n"/>
      <c r="C327" s="17" t="n">
        <v>1.05</v>
      </c>
      <c r="D327" s="17" t="n">
        <v>1.61</v>
      </c>
      <c r="E327" s="17" t="n">
        <v>0.25</v>
      </c>
      <c r="F327" s="17" t="n">
        <v>0.06</v>
      </c>
      <c r="G327" s="17" t="n"/>
    </row>
    <row r="328">
      <c r="A328" s="14" t="n">
        <v>321</v>
      </c>
      <c r="B328" s="17" t="n"/>
      <c r="C328" s="17" t="n">
        <v>1.11</v>
      </c>
      <c r="D328" s="17" t="n">
        <v>1.65</v>
      </c>
      <c r="E328" s="17" t="n">
        <v>0.28</v>
      </c>
      <c r="F328" s="17" t="n">
        <v>0.04</v>
      </c>
      <c r="G328" s="17" t="n"/>
    </row>
    <row r="329">
      <c r="A329" s="14" t="n">
        <v>322</v>
      </c>
      <c r="B329" s="17" t="n"/>
      <c r="C329" s="17" t="n">
        <v>1.18</v>
      </c>
      <c r="D329" s="17" t="n">
        <v>1.62</v>
      </c>
      <c r="E329" s="17" t="n">
        <v>0.27</v>
      </c>
      <c r="F329" s="17" t="n">
        <v>0.04</v>
      </c>
      <c r="G329" s="17" t="n"/>
    </row>
    <row r="330">
      <c r="A330" s="14" t="n">
        <v>323</v>
      </c>
      <c r="B330" s="17" t="n"/>
      <c r="C330" s="17" t="n">
        <v>1.16</v>
      </c>
      <c r="D330" s="17" t="n">
        <v>1.57</v>
      </c>
      <c r="E330" s="17" t="n">
        <v>0.22</v>
      </c>
      <c r="F330" s="17" t="n">
        <v>0.04</v>
      </c>
      <c r="G330" s="17" t="n"/>
    </row>
    <row r="331">
      <c r="A331" s="14" t="n">
        <v>324</v>
      </c>
      <c r="B331" s="17" t="n"/>
      <c r="C331" s="17" t="n">
        <v>1.1</v>
      </c>
      <c r="D331" s="17" t="n">
        <v>1.55</v>
      </c>
      <c r="E331" s="17" t="n">
        <v>0.21</v>
      </c>
      <c r="F331" s="17" t="n">
        <v>0.04</v>
      </c>
      <c r="G331" s="17" t="n"/>
    </row>
    <row r="332">
      <c r="A332" s="14" t="n">
        <v>325</v>
      </c>
      <c r="B332" s="17" t="n"/>
      <c r="C332" s="17" t="n">
        <v>1.05</v>
      </c>
      <c r="D332" s="17" t="n">
        <v>1.52</v>
      </c>
      <c r="E332" s="17" t="n">
        <v>0.28</v>
      </c>
      <c r="F332" s="17" t="n">
        <v>0.04</v>
      </c>
      <c r="G332" s="17" t="n"/>
    </row>
    <row r="333">
      <c r="A333" s="14" t="n">
        <v>326</v>
      </c>
      <c r="B333" s="17" t="n"/>
      <c r="C333" s="17" t="n">
        <v>1.07</v>
      </c>
      <c r="D333" s="17" t="n">
        <v>1.46</v>
      </c>
      <c r="E333" s="17" t="n">
        <v>0.27</v>
      </c>
      <c r="F333" s="17" t="n">
        <v>0.03</v>
      </c>
      <c r="G333" s="17" t="n"/>
    </row>
    <row r="334">
      <c r="A334" s="14" t="n">
        <v>327</v>
      </c>
      <c r="B334" s="17" t="n"/>
      <c r="C334" s="17" t="n">
        <v>1.12</v>
      </c>
      <c r="D334" s="17" t="n">
        <v>1.44</v>
      </c>
      <c r="E334" s="17" t="n">
        <v>0.38</v>
      </c>
      <c r="F334" s="17" t="n">
        <v>0.03</v>
      </c>
      <c r="G334" s="17" t="n"/>
    </row>
    <row r="335">
      <c r="A335" s="14" t="n">
        <v>328</v>
      </c>
      <c r="B335" s="17" t="n"/>
      <c r="C335" s="17" t="n">
        <v>1.09</v>
      </c>
      <c r="D335" s="17" t="n">
        <v>1.39</v>
      </c>
      <c r="E335" s="17" t="n">
        <v>0.39</v>
      </c>
      <c r="F335" s="17" t="n">
        <v>0.03</v>
      </c>
      <c r="G335" s="17" t="n"/>
    </row>
    <row r="336">
      <c r="A336" s="14" t="n">
        <v>329</v>
      </c>
      <c r="B336" s="17" t="n"/>
      <c r="C336" s="17" t="n">
        <v>1.1</v>
      </c>
      <c r="D336" s="17" t="n">
        <v>1.39</v>
      </c>
      <c r="E336" s="17" t="n">
        <v>0.43</v>
      </c>
      <c r="F336" s="17" t="n">
        <v>0.02</v>
      </c>
      <c r="G336" s="17" t="n"/>
    </row>
    <row r="337">
      <c r="A337" s="14" t="n">
        <v>330</v>
      </c>
      <c r="B337" s="17" t="n"/>
      <c r="C337" s="17" t="n">
        <v>0.96</v>
      </c>
      <c r="D337" s="17" t="n">
        <v>1.34</v>
      </c>
      <c r="E337" s="17" t="n">
        <v>0.4</v>
      </c>
      <c r="F337" s="17" t="n">
        <v>0.02</v>
      </c>
      <c r="G337" s="17" t="n"/>
    </row>
    <row r="338">
      <c r="A338" s="14" t="n">
        <v>331</v>
      </c>
      <c r="B338" s="17" t="n"/>
      <c r="C338" s="17" t="n">
        <v>0.85</v>
      </c>
      <c r="D338" s="17" t="n">
        <v>1.46</v>
      </c>
      <c r="E338" s="17" t="n">
        <v>0.44</v>
      </c>
      <c r="F338" s="17" t="n">
        <v>0.02</v>
      </c>
      <c r="G338" s="17" t="n"/>
    </row>
    <row r="339">
      <c r="A339" s="14" t="n">
        <v>332</v>
      </c>
      <c r="B339" s="17" t="n"/>
      <c r="C339" s="17" t="n">
        <v>0.99</v>
      </c>
      <c r="D339" s="17" t="n">
        <v>1.47</v>
      </c>
      <c r="E339" s="17" t="n">
        <v>0.47</v>
      </c>
      <c r="F339" s="17" t="n">
        <v>0.03</v>
      </c>
      <c r="G339" s="17" t="n"/>
    </row>
    <row r="340">
      <c r="A340" s="14" t="n">
        <v>333</v>
      </c>
      <c r="B340" s="17" t="n"/>
      <c r="C340" s="17" t="n">
        <v>0.99</v>
      </c>
      <c r="D340" s="17" t="n">
        <v>1.43</v>
      </c>
      <c r="E340" s="17" t="n">
        <v>0.47</v>
      </c>
      <c r="F340" s="17" t="n">
        <v>0.03</v>
      </c>
      <c r="G340" s="17" t="n"/>
    </row>
    <row r="341">
      <c r="A341" s="14" t="n">
        <v>334</v>
      </c>
      <c r="B341" s="17" t="n"/>
      <c r="C341" s="17" t="n">
        <v>0.87</v>
      </c>
      <c r="D341" s="17" t="n">
        <v>1.44</v>
      </c>
      <c r="E341" s="17" t="n">
        <v>0.48</v>
      </c>
      <c r="F341" s="17" t="n">
        <v>0.03</v>
      </c>
      <c r="G341" s="17" t="n"/>
    </row>
    <row r="342">
      <c r="A342" s="14" t="n">
        <v>335</v>
      </c>
      <c r="B342" s="17" t="n"/>
      <c r="C342" s="17" t="n">
        <v>0.91</v>
      </c>
      <c r="D342" s="17" t="n">
        <v>1.32</v>
      </c>
      <c r="E342" s="17" t="n">
        <v>0.47</v>
      </c>
      <c r="F342" s="17" t="n">
        <v>0.04</v>
      </c>
      <c r="G342" s="17" t="n"/>
    </row>
    <row r="343">
      <c r="A343" s="14" t="n">
        <v>336</v>
      </c>
      <c r="B343" s="17" t="n"/>
      <c r="C343" s="17" t="n">
        <v>0.99</v>
      </c>
      <c r="D343" s="17" t="n">
        <v>1.29</v>
      </c>
      <c r="E343" s="17" t="n">
        <v>0.5600000000000001</v>
      </c>
      <c r="F343" s="17" t="n">
        <v>0.04</v>
      </c>
      <c r="G343" s="17" t="n"/>
    </row>
    <row r="344">
      <c r="A344" s="14" t="n">
        <v>337</v>
      </c>
      <c r="B344" s="17" t="n"/>
      <c r="C344" s="17" t="n">
        <v>1.07</v>
      </c>
      <c r="D344" s="17" t="n">
        <v>1.26</v>
      </c>
      <c r="E344" s="17" t="n">
        <v>0.5</v>
      </c>
      <c r="F344" s="17" t="n">
        <v>0.04</v>
      </c>
      <c r="G344" s="17" t="n"/>
    </row>
    <row r="345">
      <c r="A345" s="14" t="n">
        <v>338</v>
      </c>
      <c r="B345" s="17" t="n"/>
      <c r="C345" s="17" t="n">
        <v>1.11</v>
      </c>
      <c r="D345" s="17" t="n">
        <v>1.16</v>
      </c>
      <c r="E345" s="17" t="n">
        <v>0.45</v>
      </c>
      <c r="F345" s="17" t="n">
        <v>0.03</v>
      </c>
      <c r="G345" s="17" t="n"/>
    </row>
    <row r="346">
      <c r="A346" s="14" t="n">
        <v>339</v>
      </c>
      <c r="B346" s="17" t="n"/>
      <c r="C346" s="17" t="n">
        <v>1.13</v>
      </c>
      <c r="D346" s="17" t="n">
        <v>1.16</v>
      </c>
      <c r="E346" s="17" t="n">
        <v>0.61</v>
      </c>
      <c r="F346" s="17" t="n">
        <v>0.04</v>
      </c>
      <c r="G346" s="17" t="n"/>
    </row>
    <row r="347">
      <c r="A347" s="14" t="n">
        <v>340</v>
      </c>
      <c r="B347" s="17" t="n"/>
      <c r="C347" s="17" t="n">
        <v>1.27</v>
      </c>
      <c r="D347" s="17" t="n">
        <v>1.19</v>
      </c>
      <c r="E347" s="17" t="n">
        <v>0.5</v>
      </c>
      <c r="F347" s="17" t="n">
        <v>0.04</v>
      </c>
      <c r="G347" s="17" t="n"/>
    </row>
    <row r="348">
      <c r="A348" s="14" t="n">
        <v>341</v>
      </c>
      <c r="B348" s="17" t="n"/>
      <c r="C348" s="17" t="n">
        <v>1.28</v>
      </c>
      <c r="D348" s="17" t="n">
        <v>1.12</v>
      </c>
      <c r="E348" s="17" t="n">
        <v>0.49</v>
      </c>
      <c r="F348" s="17" t="n">
        <v>0.04</v>
      </c>
      <c r="G348" s="17" t="n"/>
    </row>
    <row r="349">
      <c r="A349" s="14" t="n">
        <v>342</v>
      </c>
      <c r="B349" s="17" t="n"/>
      <c r="C349" s="17" t="n">
        <v>1.32</v>
      </c>
      <c r="D349" s="17" t="n">
        <v>1.06</v>
      </c>
      <c r="E349" s="17" t="n">
        <v>0.62</v>
      </c>
      <c r="F349" s="17" t="n">
        <v>0.04</v>
      </c>
      <c r="G349" s="17" t="n"/>
    </row>
    <row r="350">
      <c r="A350" s="14" t="n">
        <v>343</v>
      </c>
      <c r="B350" s="17" t="n"/>
      <c r="C350" s="17" t="n">
        <v>1.33</v>
      </c>
      <c r="D350" s="17" t="n">
        <v>1.15</v>
      </c>
      <c r="E350" s="17" t="n">
        <v>0.63</v>
      </c>
      <c r="F350" s="17" t="n">
        <v>0.03</v>
      </c>
      <c r="G350" s="17" t="n"/>
    </row>
    <row r="351">
      <c r="A351" s="14" t="n">
        <v>344</v>
      </c>
      <c r="B351" s="17" t="n"/>
      <c r="C351" s="17" t="n">
        <v>1.27</v>
      </c>
      <c r="D351" s="17" t="n">
        <v>1.23</v>
      </c>
      <c r="E351" s="17" t="n">
        <v>0.62</v>
      </c>
      <c r="F351" s="17" t="n">
        <v>0.03</v>
      </c>
      <c r="G351" s="17" t="n"/>
    </row>
    <row r="352">
      <c r="A352" s="14" t="n">
        <v>345</v>
      </c>
      <c r="B352" s="17" t="n"/>
      <c r="C352" s="17" t="n">
        <v>1.45</v>
      </c>
      <c r="D352" s="17" t="n">
        <v>1.2</v>
      </c>
      <c r="E352" s="17" t="n">
        <v>0.62</v>
      </c>
      <c r="F352" s="17" t="n">
        <v>0.03</v>
      </c>
      <c r="G352" s="17" t="n"/>
    </row>
    <row r="353">
      <c r="A353" s="14" t="n">
        <v>346</v>
      </c>
      <c r="B353" s="17" t="n"/>
      <c r="C353" s="17" t="n">
        <v>1.51</v>
      </c>
      <c r="D353" s="17" t="n">
        <v>1.11</v>
      </c>
      <c r="E353" s="17" t="n">
        <v>0.61</v>
      </c>
      <c r="F353" s="17" t="n">
        <v>0.03</v>
      </c>
      <c r="G353" s="17" t="n"/>
    </row>
    <row r="354">
      <c r="A354" s="14" t="n">
        <v>347</v>
      </c>
      <c r="B354" s="17" t="n"/>
      <c r="C354" s="17" t="n">
        <v>1.45</v>
      </c>
      <c r="D354" s="17" t="n">
        <v>1.27</v>
      </c>
      <c r="E354" s="17" t="n">
        <v>0.58</v>
      </c>
      <c r="F354" s="17" t="n">
        <v>0.03</v>
      </c>
      <c r="G354" s="17" t="n"/>
    </row>
    <row r="355">
      <c r="A355" s="14" t="n">
        <v>348</v>
      </c>
      <c r="B355" s="17" t="n"/>
      <c r="C355" s="17" t="n">
        <v>1.47</v>
      </c>
      <c r="D355" s="17" t="n">
        <v>1.31</v>
      </c>
      <c r="E355" s="17" t="n">
        <v>0.6</v>
      </c>
      <c r="F355" s="17" t="n">
        <v>0.03</v>
      </c>
      <c r="G355" s="17" t="n"/>
    </row>
    <row r="356">
      <c r="A356" s="14" t="n">
        <v>349</v>
      </c>
      <c r="B356" s="17" t="n"/>
      <c r="C356" s="17" t="n">
        <v>1.61</v>
      </c>
      <c r="D356" s="17" t="n">
        <v>1.25</v>
      </c>
      <c r="E356" s="17" t="n">
        <v>0.62</v>
      </c>
      <c r="F356" s="17" t="n">
        <v>0.03</v>
      </c>
      <c r="G356" s="17" t="n"/>
    </row>
    <row r="357">
      <c r="A357" s="14" t="n">
        <v>350</v>
      </c>
      <c r="B357" s="17" t="n"/>
      <c r="C357" s="17" t="n">
        <v>1.59</v>
      </c>
      <c r="D357" s="17" t="n">
        <v>1.25</v>
      </c>
      <c r="E357" s="17" t="n">
        <v>0.6</v>
      </c>
      <c r="F357" s="17" t="n">
        <v>0.03</v>
      </c>
      <c r="G357" s="17" t="n"/>
    </row>
    <row r="358">
      <c r="A358" s="14" t="n">
        <v>351</v>
      </c>
      <c r="B358" s="17" t="n"/>
      <c r="C358" s="17" t="n">
        <v>1.54</v>
      </c>
      <c r="D358" s="17" t="n">
        <v>1.26</v>
      </c>
      <c r="E358" s="17" t="n">
        <v>0.46</v>
      </c>
      <c r="F358" s="17" t="n">
        <v>0.03</v>
      </c>
      <c r="G358" s="17" t="n"/>
    </row>
    <row r="359">
      <c r="A359" s="14" t="n">
        <v>352</v>
      </c>
      <c r="B359" s="17" t="n"/>
      <c r="C359" s="17" t="n">
        <v>1.48</v>
      </c>
      <c r="D359" s="17" t="n">
        <v>1.4</v>
      </c>
      <c r="E359" s="17" t="n">
        <v>0.49</v>
      </c>
      <c r="F359" s="17" t="n">
        <v>0.03</v>
      </c>
      <c r="G359" s="17" t="n"/>
    </row>
    <row r="360">
      <c r="A360" s="14" t="n">
        <v>353</v>
      </c>
      <c r="B360" s="17" t="n"/>
      <c r="C360" s="17" t="n">
        <v>1.45</v>
      </c>
      <c r="D360" s="17" t="n">
        <v>1.4</v>
      </c>
      <c r="E360" s="17" t="n">
        <v>0.44</v>
      </c>
      <c r="F360" s="17" t="n">
        <v>0.04</v>
      </c>
      <c r="G360" s="17" t="n"/>
    </row>
    <row r="361">
      <c r="A361" s="14" t="n">
        <v>354</v>
      </c>
      <c r="B361" s="17" t="n"/>
      <c r="C361" s="17" t="n">
        <v>1.52</v>
      </c>
      <c r="D361" s="17" t="n">
        <v>1.49</v>
      </c>
      <c r="E361" s="17" t="n">
        <v>0.37</v>
      </c>
      <c r="F361" s="17" t="n">
        <v>0.05</v>
      </c>
      <c r="G361" s="17" t="n"/>
    </row>
    <row r="362">
      <c r="A362" s="14" t="n">
        <v>355</v>
      </c>
      <c r="B362" s="17" t="n"/>
      <c r="C362" s="17" t="n">
        <v>1.55</v>
      </c>
      <c r="D362" s="17" t="n">
        <v>1.49</v>
      </c>
      <c r="E362" s="17" t="n">
        <v>0.38</v>
      </c>
      <c r="F362" s="17" t="n">
        <v>0.05</v>
      </c>
      <c r="G362" s="17" t="n"/>
    </row>
    <row r="363">
      <c r="A363" s="14" t="n">
        <v>356</v>
      </c>
      <c r="B363" s="17" t="n"/>
      <c r="C363" s="17" t="n">
        <v>1.67</v>
      </c>
      <c r="D363" s="17" t="n">
        <v>1.55</v>
      </c>
      <c r="E363" s="17" t="n">
        <v>0.42</v>
      </c>
      <c r="F363" s="17" t="n">
        <v>0.05</v>
      </c>
      <c r="G363" s="17" t="n"/>
    </row>
    <row r="364">
      <c r="A364" s="14" t="n">
        <v>357</v>
      </c>
      <c r="B364" s="17" t="n"/>
      <c r="C364" s="17" t="n">
        <v>1.74</v>
      </c>
      <c r="D364" s="17" t="n">
        <v>1.58</v>
      </c>
      <c r="E364" s="17" t="n">
        <v>0.38</v>
      </c>
      <c r="F364" s="17" t="n">
        <v>0.06</v>
      </c>
      <c r="G364" s="17" t="n"/>
    </row>
    <row r="365">
      <c r="A365" s="14" t="n">
        <v>358</v>
      </c>
      <c r="B365" s="17" t="n"/>
      <c r="C365" s="17" t="n">
        <v>1.79</v>
      </c>
      <c r="D365" s="17" t="n">
        <v>1.66</v>
      </c>
      <c r="E365" s="17" t="n">
        <v>0.36</v>
      </c>
      <c r="F365" s="17" t="n">
        <v>0.06</v>
      </c>
      <c r="G365" s="17" t="n"/>
    </row>
    <row r="366">
      <c r="A366" s="14" t="n">
        <v>359</v>
      </c>
      <c r="B366" s="17" t="n"/>
      <c r="C366" s="17" t="n">
        <v>1.85</v>
      </c>
      <c r="D366" s="17" t="n">
        <v>1.72</v>
      </c>
      <c r="E366" s="17" t="n">
        <v>0.34</v>
      </c>
      <c r="F366" s="17" t="n">
        <v>0.07000000000000001</v>
      </c>
      <c r="G366" s="17" t="n"/>
    </row>
    <row r="367">
      <c r="A367" s="14" t="n">
        <v>360</v>
      </c>
      <c r="B367" s="17" t="n"/>
      <c r="C367" s="17" t="n">
        <v>1.92</v>
      </c>
      <c r="D367" s="17" t="n">
        <v>1.77</v>
      </c>
      <c r="E367" s="17" t="n">
        <v>0.39</v>
      </c>
      <c r="F367" s="17" t="n">
        <v>0.07000000000000001</v>
      </c>
      <c r="G367" s="17" t="n"/>
    </row>
    <row r="368">
      <c r="A368" s="14" t="n">
        <v>361</v>
      </c>
      <c r="B368" s="17" t="n"/>
      <c r="C368" s="17" t="n">
        <v>1.85</v>
      </c>
      <c r="D368" s="17" t="n">
        <v>1.83</v>
      </c>
      <c r="E368" s="17" t="n">
        <v>0.41</v>
      </c>
      <c r="F368" s="17" t="n">
        <v>0.07000000000000001</v>
      </c>
      <c r="G368" s="17" t="n"/>
    </row>
    <row r="369">
      <c r="A369" s="14" t="n">
        <v>362</v>
      </c>
      <c r="B369" s="17" t="n"/>
      <c r="C369" s="17" t="n">
        <v>1.83</v>
      </c>
      <c r="D369" s="17" t="n">
        <v>1.79</v>
      </c>
      <c r="E369" s="17" t="n">
        <v>0.45</v>
      </c>
      <c r="F369" s="17" t="n">
        <v>0.08</v>
      </c>
      <c r="G369" s="17" t="n"/>
    </row>
    <row r="370">
      <c r="A370" s="14" t="n">
        <v>363</v>
      </c>
      <c r="B370" s="17" t="n"/>
      <c r="C370" s="17" t="n">
        <v>1.96</v>
      </c>
      <c r="D370" s="17" t="n">
        <v>1.73</v>
      </c>
      <c r="E370" s="17" t="n">
        <v>0.51</v>
      </c>
      <c r="F370" s="17" t="n">
        <v>0.08</v>
      </c>
      <c r="G370" s="17" t="n"/>
    </row>
    <row r="371">
      <c r="A371" s="14" t="n">
        <v>364</v>
      </c>
      <c r="B371" s="17" t="n"/>
      <c r="C371" s="17" t="n">
        <v>1.98</v>
      </c>
      <c r="D371" s="17" t="n">
        <v>1.69</v>
      </c>
      <c r="E371" s="17" t="n">
        <v>0.59</v>
      </c>
      <c r="F371" s="17" t="n">
        <v>0.08</v>
      </c>
      <c r="G371" s="17" t="n"/>
    </row>
    <row r="372">
      <c r="A372" s="14" t="n">
        <v>365</v>
      </c>
      <c r="B372" s="17" t="n"/>
      <c r="C372" s="17" t="n">
        <v>2.06</v>
      </c>
      <c r="D372" s="17" t="n">
        <v>1.77</v>
      </c>
      <c r="E372" s="17" t="n">
        <v>0.58</v>
      </c>
      <c r="F372" s="17" t="n">
        <v>0.09</v>
      </c>
      <c r="G372" s="17" t="n"/>
    </row>
    <row r="373">
      <c r="A373" s="14" t="n">
        <v>366</v>
      </c>
      <c r="B373" s="17" t="n"/>
      <c r="C373" s="17" t="n">
        <v>1.98</v>
      </c>
      <c r="D373" s="17" t="n">
        <v>1.73</v>
      </c>
      <c r="E373" s="17" t="n">
        <v>0.59</v>
      </c>
      <c r="F373" s="17" t="n">
        <v>0.1</v>
      </c>
      <c r="G373" s="17" t="n"/>
    </row>
    <row r="374">
      <c r="A374" s="14" t="n">
        <v>367</v>
      </c>
      <c r="B374" s="17" t="n"/>
      <c r="C374" s="17" t="n">
        <v>2.03</v>
      </c>
      <c r="D374" s="17" t="n">
        <v>1.69</v>
      </c>
      <c r="E374" s="17" t="n">
        <v>0.6899999999999999</v>
      </c>
      <c r="F374" s="17" t="n">
        <v>0.09</v>
      </c>
      <c r="G374" s="17" t="n"/>
    </row>
    <row r="375">
      <c r="A375" s="14" t="n">
        <v>368</v>
      </c>
      <c r="B375" s="17" t="n"/>
      <c r="C375" s="17" t="n">
        <v>2.03</v>
      </c>
      <c r="D375" s="17" t="n">
        <v>1.74</v>
      </c>
      <c r="E375" s="17" t="n">
        <v>0.76</v>
      </c>
      <c r="F375" s="17" t="n">
        <v>0.09</v>
      </c>
      <c r="G375" s="17" t="n"/>
    </row>
    <row r="376">
      <c r="A376" s="14" t="n">
        <v>369</v>
      </c>
      <c r="B376" s="17" t="n"/>
      <c r="C376" s="17" t="n">
        <v>1.94</v>
      </c>
      <c r="D376" s="17" t="n">
        <v>1.82</v>
      </c>
      <c r="E376" s="17" t="n">
        <v>0.71</v>
      </c>
      <c r="F376" s="17" t="n">
        <v>0.09</v>
      </c>
      <c r="G376" s="17" t="n"/>
    </row>
    <row r="377">
      <c r="A377" s="14" t="n">
        <v>370</v>
      </c>
      <c r="B377" s="17" t="n"/>
      <c r="C377" s="17" t="n">
        <v>1.9</v>
      </c>
      <c r="D377" s="17" t="n">
        <v>1.77</v>
      </c>
      <c r="E377" s="17" t="n">
        <v>0.78</v>
      </c>
      <c r="F377" s="17" t="n">
        <v>0.09</v>
      </c>
      <c r="G377" s="17" t="n"/>
    </row>
    <row r="378">
      <c r="A378" s="14" t="n">
        <v>371</v>
      </c>
      <c r="B378" s="17" t="n"/>
      <c r="C378" s="17" t="n">
        <v>1.95</v>
      </c>
      <c r="D378" s="17" t="n">
        <v>1.7</v>
      </c>
      <c r="E378" s="17" t="n">
        <v>0.78</v>
      </c>
      <c r="F378" s="17" t="n">
        <v>0.1</v>
      </c>
      <c r="G378" s="17" t="n"/>
    </row>
    <row r="379">
      <c r="A379" s="14" t="n">
        <v>372</v>
      </c>
      <c r="B379" s="17" t="n"/>
      <c r="C379" s="17" t="n">
        <v>1.98</v>
      </c>
      <c r="D379" s="17" t="n">
        <v>1.71</v>
      </c>
      <c r="E379" s="17" t="n">
        <v>0.77</v>
      </c>
      <c r="F379" s="17" t="n">
        <v>0.09</v>
      </c>
      <c r="G379" s="17" t="n"/>
    </row>
    <row r="380">
      <c r="A380" s="14" t="n">
        <v>373</v>
      </c>
      <c r="B380" s="17" t="n"/>
      <c r="C380" s="17" t="n">
        <v>2.02</v>
      </c>
      <c r="D380" s="17" t="n">
        <v>1.73</v>
      </c>
      <c r="E380" s="17" t="n">
        <v>0.8100000000000001</v>
      </c>
      <c r="F380" s="17" t="n">
        <v>0.1</v>
      </c>
      <c r="G380" s="17" t="n"/>
    </row>
    <row r="381">
      <c r="A381" s="14" t="n">
        <v>374</v>
      </c>
      <c r="B381" s="17" t="n"/>
      <c r="C381" s="17" t="n">
        <v>2.12</v>
      </c>
      <c r="D381" s="17" t="n">
        <v>1.65</v>
      </c>
      <c r="E381" s="17" t="n">
        <v>0.74</v>
      </c>
      <c r="F381" s="17" t="n">
        <v>0.1</v>
      </c>
      <c r="G381" s="17" t="n"/>
    </row>
    <row r="382">
      <c r="A382" s="14" t="n">
        <v>375</v>
      </c>
      <c r="B382" s="17" t="n"/>
      <c r="C382" s="17" t="n">
        <v>2.1</v>
      </c>
      <c r="D382" s="17" t="n">
        <v>1.59</v>
      </c>
      <c r="E382" s="17" t="n">
        <v>0.77</v>
      </c>
      <c r="F382" s="17" t="n">
        <v>0.1</v>
      </c>
      <c r="G382" s="17" t="n"/>
    </row>
    <row r="383">
      <c r="A383" s="14" t="n">
        <v>376</v>
      </c>
      <c r="B383" s="17" t="n"/>
      <c r="C383" s="17" t="n">
        <v>2.06</v>
      </c>
      <c r="D383" s="17" t="n">
        <v>1.64</v>
      </c>
      <c r="E383" s="17" t="n">
        <v>0.76</v>
      </c>
      <c r="F383" s="17" t="n">
        <v>0.1</v>
      </c>
      <c r="G383" s="17" t="n"/>
    </row>
    <row r="384">
      <c r="A384" s="14" t="n">
        <v>377</v>
      </c>
      <c r="B384" s="17" t="n"/>
      <c r="C384" s="17" t="n">
        <v>2.18</v>
      </c>
      <c r="D384" s="17" t="n">
        <v>1.55</v>
      </c>
      <c r="E384" s="17" t="n">
        <v>0.79</v>
      </c>
      <c r="F384" s="17" t="n">
        <v>0.11</v>
      </c>
      <c r="G384" s="17" t="n"/>
    </row>
    <row r="385">
      <c r="A385" s="14" t="n">
        <v>378</v>
      </c>
      <c r="B385" s="17" t="n"/>
      <c r="C385" s="17" t="n">
        <v>2.25</v>
      </c>
      <c r="D385" s="17" t="n">
        <v>1.46</v>
      </c>
      <c r="E385" s="17" t="n">
        <v>0.8100000000000001</v>
      </c>
      <c r="F385" s="17" t="n">
        <v>0.11</v>
      </c>
      <c r="G385" s="17" t="n"/>
    </row>
    <row r="386">
      <c r="A386" s="14" t="n">
        <v>379</v>
      </c>
      <c r="B386" s="17" t="n"/>
      <c r="C386" s="17" t="n">
        <v>2.18</v>
      </c>
      <c r="D386" s="17" t="n">
        <v>1.41</v>
      </c>
      <c r="E386" s="17" t="n">
        <v>0.86</v>
      </c>
      <c r="F386" s="17" t="n">
        <v>0.1</v>
      </c>
      <c r="G386" s="17" t="n"/>
    </row>
    <row r="387">
      <c r="A387" s="14" t="n">
        <v>380</v>
      </c>
      <c r="B387" s="17" t="n"/>
      <c r="C387" s="17" t="n">
        <v>2.12</v>
      </c>
      <c r="D387" s="17" t="n">
        <v>1.38</v>
      </c>
      <c r="E387" s="17" t="n">
        <v>0.86</v>
      </c>
      <c r="F387" s="17" t="n">
        <v>0.1</v>
      </c>
      <c r="G387" s="17" t="n"/>
    </row>
    <row r="388">
      <c r="A388" s="14" t="n">
        <v>381</v>
      </c>
      <c r="B388" s="17" t="n"/>
      <c r="C388" s="17" t="n">
        <v>2.04</v>
      </c>
      <c r="D388" s="17" t="n">
        <v>1.4</v>
      </c>
      <c r="E388" s="17" t="n">
        <v>0.87</v>
      </c>
      <c r="F388" s="17" t="n">
        <v>0.1</v>
      </c>
      <c r="G388" s="17" t="n"/>
    </row>
    <row r="389">
      <c r="A389" s="14" t="n">
        <v>382</v>
      </c>
      <c r="B389" s="17" t="n"/>
      <c r="C389" s="17" t="n">
        <v>1.97</v>
      </c>
      <c r="D389" s="17" t="n">
        <v>1.39</v>
      </c>
      <c r="E389" s="17" t="n">
        <v>0.96</v>
      </c>
      <c r="F389" s="17" t="n">
        <v>0.1</v>
      </c>
      <c r="G389" s="17" t="n"/>
    </row>
    <row r="390">
      <c r="A390" s="14" t="n">
        <v>383</v>
      </c>
      <c r="B390" s="17" t="n"/>
      <c r="C390" s="17" t="n">
        <v>2.06</v>
      </c>
      <c r="D390" s="17" t="n">
        <v>1.39</v>
      </c>
      <c r="E390" s="17" t="n">
        <v>0.98</v>
      </c>
      <c r="F390" s="17" t="n">
        <v>0.11</v>
      </c>
      <c r="G390" s="17" t="n"/>
    </row>
    <row r="391">
      <c r="A391" s="14" t="n">
        <v>384</v>
      </c>
      <c r="B391" s="17" t="n"/>
      <c r="C391" s="17" t="n">
        <v>2.01</v>
      </c>
      <c r="D391" s="17" t="n">
        <v>1.39</v>
      </c>
      <c r="E391" s="17" t="n">
        <v>0.97</v>
      </c>
      <c r="F391" s="17" t="n">
        <v>0.11</v>
      </c>
      <c r="G391" s="17" t="n"/>
    </row>
    <row r="392">
      <c r="A392" s="14" t="n">
        <v>385</v>
      </c>
      <c r="B392" s="17" t="n"/>
      <c r="C392" s="17" t="n">
        <v>2.11</v>
      </c>
      <c r="D392" s="17" t="n">
        <v>1.35</v>
      </c>
      <c r="E392" s="17" t="n">
        <v>0.85</v>
      </c>
      <c r="F392" s="17" t="n">
        <v>0.11</v>
      </c>
      <c r="G392" s="17" t="n"/>
    </row>
    <row r="393">
      <c r="A393" s="14" t="n">
        <v>386</v>
      </c>
      <c r="B393" s="17" t="n"/>
      <c r="C393" s="17" t="n">
        <v>2.02</v>
      </c>
      <c r="D393" s="17" t="n">
        <v>1.37</v>
      </c>
      <c r="E393" s="17" t="n">
        <v>0.8</v>
      </c>
      <c r="F393" s="17" t="n">
        <v>0.11</v>
      </c>
      <c r="G393" s="17" t="n"/>
    </row>
    <row r="394">
      <c r="A394" s="14" t="n">
        <v>387</v>
      </c>
      <c r="B394" s="17" t="n"/>
      <c r="C394" s="17" t="n">
        <v>1.97</v>
      </c>
      <c r="D394" s="17" t="n">
        <v>1.32</v>
      </c>
      <c r="E394" s="17" t="n">
        <v>0.8</v>
      </c>
      <c r="F394" s="17" t="n">
        <v>0.1</v>
      </c>
      <c r="G394" s="17" t="n"/>
    </row>
    <row r="395">
      <c r="A395" s="14" t="n">
        <v>388</v>
      </c>
      <c r="B395" s="17" t="n"/>
      <c r="C395" s="17" t="n">
        <v>1.91</v>
      </c>
      <c r="D395" s="17" t="n">
        <v>1.31</v>
      </c>
      <c r="E395" s="17" t="n">
        <v>0.76</v>
      </c>
      <c r="F395" s="17" t="n">
        <v>0.1</v>
      </c>
      <c r="G395" s="17" t="n"/>
    </row>
    <row r="396">
      <c r="A396" s="14" t="n">
        <v>389</v>
      </c>
      <c r="B396" s="17" t="n"/>
      <c r="C396" s="17" t="n">
        <v>1.99</v>
      </c>
      <c r="D396" s="17" t="n">
        <v>1.25</v>
      </c>
      <c r="E396" s="17" t="n">
        <v>0.79</v>
      </c>
      <c r="F396" s="17" t="n">
        <v>0.1</v>
      </c>
      <c r="G396" s="17" t="n"/>
    </row>
    <row r="397">
      <c r="A397" s="14" t="n">
        <v>390</v>
      </c>
      <c r="B397" s="17" t="n"/>
      <c r="C397" s="17" t="n">
        <v>1.89</v>
      </c>
      <c r="D397" s="17" t="n">
        <v>1.26</v>
      </c>
      <c r="E397" s="17" t="n">
        <v>0.84</v>
      </c>
      <c r="F397" s="17" t="n">
        <v>0.11</v>
      </c>
      <c r="G397" s="17" t="n"/>
    </row>
    <row r="398">
      <c r="A398" s="14" t="n">
        <v>391</v>
      </c>
      <c r="B398" s="17" t="n"/>
      <c r="C398" s="17" t="n">
        <v>1.88</v>
      </c>
      <c r="D398" s="17" t="n">
        <v>1.29</v>
      </c>
      <c r="E398" s="17" t="n">
        <v>0.82</v>
      </c>
      <c r="F398" s="17" t="n">
        <v>0.12</v>
      </c>
      <c r="G398" s="17" t="n"/>
    </row>
    <row r="399">
      <c r="A399" s="14" t="n">
        <v>392</v>
      </c>
      <c r="B399" s="17" t="n"/>
      <c r="C399" s="17" t="n">
        <v>1.88</v>
      </c>
      <c r="D399" s="17" t="n">
        <v>1.37</v>
      </c>
      <c r="E399" s="17" t="n">
        <v>0.72</v>
      </c>
      <c r="F399" s="17" t="n">
        <v>0.13</v>
      </c>
      <c r="G399" s="17" t="n"/>
    </row>
    <row r="400">
      <c r="A400" s="14" t="n">
        <v>393</v>
      </c>
      <c r="B400" s="17" t="n"/>
      <c r="C400" s="17" t="n">
        <v>1.87</v>
      </c>
      <c r="D400" s="17" t="n">
        <v>1.38</v>
      </c>
      <c r="E400" s="17" t="n">
        <v>0.74</v>
      </c>
      <c r="F400" s="17" t="n">
        <v>0.14</v>
      </c>
      <c r="G400" s="17" t="n"/>
    </row>
    <row r="401">
      <c r="A401" s="14" t="n">
        <v>394</v>
      </c>
      <c r="B401" s="17" t="n"/>
      <c r="C401" s="17" t="n">
        <v>1.98</v>
      </c>
      <c r="D401" s="17" t="n">
        <v>1.45</v>
      </c>
      <c r="E401" s="17" t="n">
        <v>0.74</v>
      </c>
      <c r="F401" s="17" t="n">
        <v>0.14</v>
      </c>
      <c r="G401" s="17" t="n"/>
    </row>
    <row r="402">
      <c r="A402" s="14" t="n">
        <v>395</v>
      </c>
      <c r="B402" s="17" t="n"/>
      <c r="C402" s="17" t="n">
        <v>2.07</v>
      </c>
      <c r="D402" s="17" t="n">
        <v>1.37</v>
      </c>
      <c r="E402" s="17" t="n">
        <v>0.71</v>
      </c>
      <c r="F402" s="17" t="n">
        <v>0.16</v>
      </c>
      <c r="G402" s="17" t="n"/>
    </row>
    <row r="403">
      <c r="A403" s="14" t="n">
        <v>396</v>
      </c>
      <c r="B403" s="17" t="n"/>
      <c r="C403" s="17" t="n">
        <v>2.05</v>
      </c>
      <c r="D403" s="17" t="n">
        <v>1.36</v>
      </c>
      <c r="E403" s="17" t="n">
        <v>0.77</v>
      </c>
      <c r="F403" s="17" t="n">
        <v>0.19</v>
      </c>
      <c r="G403" s="17" t="n"/>
    </row>
    <row r="404">
      <c r="A404" s="14" t="n">
        <v>397</v>
      </c>
      <c r="B404" s="17" t="n"/>
      <c r="C404" s="17" t="n">
        <v>2.09</v>
      </c>
      <c r="D404" s="17" t="n">
        <v>1.37</v>
      </c>
      <c r="E404" s="17" t="n">
        <v>0.73</v>
      </c>
      <c r="F404" s="17" t="n">
        <v>0.18</v>
      </c>
      <c r="G404" s="17" t="n"/>
    </row>
    <row r="405">
      <c r="A405" s="14" t="n">
        <v>398</v>
      </c>
      <c r="B405" s="17" t="n"/>
      <c r="C405" s="17" t="n">
        <v>2.17</v>
      </c>
      <c r="D405" s="17" t="n">
        <v>1.3</v>
      </c>
      <c r="E405" s="17" t="n">
        <v>0.71</v>
      </c>
      <c r="F405" s="17" t="n">
        <v>0.19</v>
      </c>
      <c r="G405" s="17" t="n"/>
    </row>
    <row r="406">
      <c r="A406" s="14" t="n">
        <v>399</v>
      </c>
      <c r="B406" s="17" t="n"/>
      <c r="C406" s="17" t="n">
        <v>2.11</v>
      </c>
      <c r="D406" s="17" t="n">
        <v>1.29</v>
      </c>
      <c r="E406" s="17" t="n">
        <v>0.62</v>
      </c>
      <c r="F406" s="17" t="n">
        <v>0.18</v>
      </c>
      <c r="G406" s="17" t="n"/>
    </row>
    <row r="407">
      <c r="A407" s="14" t="n">
        <v>400</v>
      </c>
      <c r="B407" s="17" t="n"/>
      <c r="C407" s="17" t="n">
        <v>2.16</v>
      </c>
      <c r="D407" s="17" t="n">
        <v>1.26</v>
      </c>
      <c r="E407" s="17" t="n">
        <v>0.64</v>
      </c>
      <c r="F407" s="17" t="n">
        <v>0.16</v>
      </c>
      <c r="G407" s="17" t="n"/>
    </row>
    <row r="408">
      <c r="A408" s="14" t="n">
        <v>401</v>
      </c>
      <c r="B408" s="17" t="n"/>
      <c r="C408" s="17" t="n">
        <v>2.17</v>
      </c>
      <c r="D408" s="17" t="n">
        <v>1.25</v>
      </c>
      <c r="E408" s="17" t="n">
        <v>0.68</v>
      </c>
      <c r="F408" s="17" t="n">
        <v>0.15</v>
      </c>
      <c r="G408" s="17" t="n"/>
    </row>
    <row r="409">
      <c r="A409" s="14" t="n">
        <v>402</v>
      </c>
      <c r="B409" s="17" t="n"/>
      <c r="C409" s="17" t="n">
        <v>2.28</v>
      </c>
      <c r="D409" s="17" t="n">
        <v>1.31</v>
      </c>
      <c r="E409" s="17" t="n">
        <v>0.7</v>
      </c>
      <c r="F409" s="17" t="n">
        <v>0.14</v>
      </c>
      <c r="G409" s="17" t="n"/>
    </row>
    <row r="410">
      <c r="A410" s="14" t="n">
        <v>403</v>
      </c>
      <c r="B410" s="17" t="n"/>
      <c r="C410" s="17" t="n">
        <v>2.56</v>
      </c>
      <c r="D410" s="17" t="n">
        <v>1.27</v>
      </c>
      <c r="E410" s="17" t="n">
        <v>0.73</v>
      </c>
      <c r="F410" s="17" t="n">
        <v>0.15</v>
      </c>
      <c r="G410" s="17" t="n"/>
    </row>
    <row r="411">
      <c r="A411" s="14" t="n">
        <v>404</v>
      </c>
      <c r="B411" s="17" t="n"/>
      <c r="C411" s="17" t="n">
        <v>2.62</v>
      </c>
      <c r="D411" s="17" t="n">
        <v>1.3</v>
      </c>
      <c r="E411" s="17" t="n">
        <v>0.8100000000000001</v>
      </c>
      <c r="F411" s="17" t="n">
        <v>0.14</v>
      </c>
      <c r="G411" s="17" t="n"/>
    </row>
    <row r="412">
      <c r="A412" s="14" t="n">
        <v>405</v>
      </c>
      <c r="B412" s="17" t="n"/>
      <c r="C412" s="17" t="n">
        <v>2.46</v>
      </c>
      <c r="D412" s="17" t="n">
        <v>1.32</v>
      </c>
      <c r="E412" s="17" t="n">
        <v>0.71</v>
      </c>
      <c r="F412" s="17" t="n">
        <v>0.13</v>
      </c>
      <c r="G412" s="17" t="n"/>
    </row>
    <row r="413">
      <c r="A413" s="14" t="n">
        <v>406</v>
      </c>
      <c r="B413" s="17" t="n"/>
      <c r="C413" s="17" t="n">
        <v>2.41</v>
      </c>
      <c r="D413" s="17" t="n">
        <v>1.35</v>
      </c>
      <c r="E413" s="17" t="n">
        <v>0.66</v>
      </c>
      <c r="F413" s="17" t="n">
        <v>0.14</v>
      </c>
      <c r="G413" s="17" t="n"/>
    </row>
    <row r="414">
      <c r="A414" s="14" t="n">
        <v>407</v>
      </c>
      <c r="B414" s="17" t="n"/>
      <c r="C414" s="17" t="n">
        <v>2.38</v>
      </c>
      <c r="D414" s="17" t="n">
        <v>1.27</v>
      </c>
      <c r="E414" s="17" t="n">
        <v>0.74</v>
      </c>
      <c r="F414" s="17" t="n">
        <v>0.17</v>
      </c>
      <c r="G414" s="17" t="n"/>
    </row>
    <row r="415">
      <c r="A415" s="14" t="n">
        <v>408</v>
      </c>
      <c r="B415" s="17" t="n"/>
      <c r="C415" s="17" t="n">
        <v>2.44</v>
      </c>
      <c r="D415" s="17" t="n">
        <v>1.36</v>
      </c>
      <c r="E415" s="17" t="n">
        <v>0.72</v>
      </c>
      <c r="F415" s="17" t="n">
        <v>0.17</v>
      </c>
      <c r="G415" s="17" t="n"/>
    </row>
    <row r="416">
      <c r="A416" s="14" t="n">
        <v>409</v>
      </c>
      <c r="B416" s="17" t="n"/>
      <c r="C416" s="17" t="n">
        <v>2.29</v>
      </c>
      <c r="D416" s="17" t="n">
        <v>1.43</v>
      </c>
      <c r="E416" s="17" t="n">
        <v>0.6899999999999999</v>
      </c>
      <c r="F416" s="17" t="n">
        <v>0.18</v>
      </c>
      <c r="G416" s="17" t="n"/>
    </row>
    <row r="417">
      <c r="A417" s="14" t="n">
        <v>410</v>
      </c>
      <c r="B417" s="17" t="n"/>
      <c r="C417" s="17" t="n">
        <v>2.22</v>
      </c>
      <c r="D417" s="17" t="n">
        <v>1.42</v>
      </c>
      <c r="E417" s="17" t="n">
        <v>0.61</v>
      </c>
      <c r="F417" s="17" t="n">
        <v>0.19</v>
      </c>
      <c r="G417" s="17" t="n"/>
    </row>
    <row r="418">
      <c r="A418" s="14" t="n">
        <v>411</v>
      </c>
      <c r="B418" s="17" t="n"/>
      <c r="C418" s="17" t="n">
        <v>2.26</v>
      </c>
      <c r="D418" s="17" t="n">
        <v>1.42</v>
      </c>
      <c r="E418" s="17" t="n">
        <v>0.59</v>
      </c>
      <c r="F418" s="17" t="n">
        <v>0.2</v>
      </c>
      <c r="G418" s="17" t="n"/>
    </row>
    <row r="419">
      <c r="A419" s="14" t="n">
        <v>412</v>
      </c>
      <c r="B419" s="17" t="n"/>
      <c r="C419" s="17" t="n">
        <v>2.33</v>
      </c>
      <c r="D419" s="17" t="n">
        <v>1.27</v>
      </c>
      <c r="E419" s="17" t="n">
        <v>0.49</v>
      </c>
      <c r="F419" s="17" t="n">
        <v>0.19</v>
      </c>
      <c r="G419" s="17" t="n"/>
    </row>
    <row r="420">
      <c r="A420" s="14" t="n">
        <v>413</v>
      </c>
      <c r="B420" s="17" t="n"/>
      <c r="C420" s="17" t="n">
        <v>2.33</v>
      </c>
      <c r="D420" s="17" t="n">
        <v>1.27</v>
      </c>
      <c r="E420" s="17" t="n">
        <v>0.44</v>
      </c>
      <c r="F420" s="17" t="n">
        <v>0.21</v>
      </c>
      <c r="G420" s="17" t="n"/>
    </row>
    <row r="421">
      <c r="A421" s="14" t="n">
        <v>414</v>
      </c>
      <c r="B421" s="17" t="n"/>
      <c r="C421" s="17" t="n">
        <v>2.23</v>
      </c>
      <c r="D421" s="17" t="n">
        <v>1.3</v>
      </c>
      <c r="E421" s="17" t="n">
        <v>0.48</v>
      </c>
      <c r="F421" s="17" t="n">
        <v>0.21</v>
      </c>
      <c r="G421" s="17" t="n"/>
    </row>
    <row r="422">
      <c r="A422" s="14" t="n">
        <v>415</v>
      </c>
      <c r="B422" s="17" t="n"/>
      <c r="C422" s="17" t="n">
        <v>2.11</v>
      </c>
      <c r="D422" s="17" t="n">
        <v>1.3</v>
      </c>
      <c r="E422" s="17" t="n">
        <v>0.43</v>
      </c>
      <c r="F422" s="17" t="n">
        <v>0.22</v>
      </c>
      <c r="G422" s="17" t="n"/>
    </row>
    <row r="423">
      <c r="A423" s="14" t="n">
        <v>416</v>
      </c>
      <c r="B423" s="17" t="n"/>
      <c r="C423" s="17" t="n">
        <v>2.01</v>
      </c>
      <c r="D423" s="17" t="n">
        <v>1.3</v>
      </c>
      <c r="E423" s="17" t="n">
        <v>0.35</v>
      </c>
      <c r="F423" s="17" t="n">
        <v>0.23</v>
      </c>
      <c r="G423" s="17" t="n"/>
    </row>
    <row r="424">
      <c r="A424" s="14" t="n">
        <v>417</v>
      </c>
      <c r="B424" s="17" t="n"/>
      <c r="C424" s="17" t="n">
        <v>1.95</v>
      </c>
      <c r="D424" s="17" t="n">
        <v>1.28</v>
      </c>
      <c r="E424" s="17" t="n">
        <v>0.41</v>
      </c>
      <c r="F424" s="17" t="n">
        <v>0.24</v>
      </c>
      <c r="G424" s="17" t="n"/>
    </row>
    <row r="425">
      <c r="A425" s="14" t="n">
        <v>418</v>
      </c>
      <c r="B425" s="17" t="n"/>
      <c r="C425" s="17" t="n">
        <v>2.06</v>
      </c>
      <c r="D425" s="17" t="n">
        <v>1.3</v>
      </c>
      <c r="E425" s="17" t="n">
        <v>0.47</v>
      </c>
      <c r="F425" s="17" t="n">
        <v>0.26</v>
      </c>
      <c r="G425" s="17" t="n"/>
    </row>
    <row r="426">
      <c r="A426" s="14" t="n">
        <v>419</v>
      </c>
      <c r="B426" s="17" t="n"/>
      <c r="C426" s="17" t="n">
        <v>2.14</v>
      </c>
      <c r="D426" s="17" t="n">
        <v>1.3</v>
      </c>
      <c r="E426" s="17" t="n">
        <v>0.48</v>
      </c>
      <c r="F426" s="17" t="n">
        <v>0.26</v>
      </c>
      <c r="G426" s="17" t="n"/>
    </row>
    <row r="427">
      <c r="A427" s="14" t="n">
        <v>420</v>
      </c>
      <c r="B427" s="17" t="n"/>
      <c r="C427" s="17" t="n">
        <v>2.22</v>
      </c>
      <c r="D427" s="17" t="n">
        <v>1.26</v>
      </c>
      <c r="E427" s="17" t="n">
        <v>0.51</v>
      </c>
      <c r="F427" s="17" t="n">
        <v>0.26</v>
      </c>
      <c r="G427" s="17" t="n"/>
    </row>
    <row r="428">
      <c r="A428" s="14" t="n">
        <v>421</v>
      </c>
      <c r="B428" s="17" t="n"/>
      <c r="C428" s="17" t="n">
        <v>2.12</v>
      </c>
      <c r="D428" s="17" t="n">
        <v>1.24</v>
      </c>
      <c r="E428" s="17" t="n">
        <v>0.41</v>
      </c>
      <c r="F428" s="17" t="n">
        <v>0.26</v>
      </c>
      <c r="G428" s="17" t="n"/>
    </row>
    <row r="429">
      <c r="A429" s="14" t="n">
        <v>422</v>
      </c>
      <c r="B429" s="17" t="n"/>
      <c r="C429" s="17" t="n">
        <v>2.09</v>
      </c>
      <c r="D429" s="17" t="n">
        <v>1.21</v>
      </c>
      <c r="E429" s="17" t="n">
        <v>0.47</v>
      </c>
      <c r="F429" s="17" t="n">
        <v>0.28</v>
      </c>
      <c r="G429" s="17" t="n"/>
    </row>
    <row r="430">
      <c r="A430" s="14" t="n">
        <v>423</v>
      </c>
      <c r="B430" s="17" t="n"/>
      <c r="C430" s="17" t="n">
        <v>2.04</v>
      </c>
      <c r="D430" s="17" t="n">
        <v>1.17</v>
      </c>
      <c r="E430" s="17" t="n">
        <v>0.51</v>
      </c>
      <c r="F430" s="17" t="n">
        <v>0.3</v>
      </c>
      <c r="G430" s="17" t="n"/>
    </row>
    <row r="431">
      <c r="A431" s="14" t="n">
        <v>424</v>
      </c>
      <c r="B431" s="17" t="n"/>
      <c r="C431" s="17" t="n">
        <v>2.09</v>
      </c>
      <c r="D431" s="17" t="n">
        <v>1.23</v>
      </c>
      <c r="E431" s="17" t="n">
        <v>0.46</v>
      </c>
      <c r="F431" s="17" t="n">
        <v>0.29</v>
      </c>
      <c r="G431" s="17" t="n"/>
    </row>
    <row r="432">
      <c r="A432" s="14" t="n">
        <v>425</v>
      </c>
      <c r="B432" s="17" t="n"/>
      <c r="C432" s="17" t="n">
        <v>2.06</v>
      </c>
      <c r="D432" s="17" t="n">
        <v>1.19</v>
      </c>
      <c r="E432" s="17" t="n">
        <v>0.5</v>
      </c>
      <c r="F432" s="17" t="n">
        <v>0.27</v>
      </c>
      <c r="G432" s="17" t="n"/>
    </row>
    <row r="433">
      <c r="A433" s="14" t="n">
        <v>426</v>
      </c>
      <c r="B433" s="17" t="n"/>
      <c r="C433" s="17" t="n">
        <v>2.09</v>
      </c>
      <c r="D433" s="17" t="n">
        <v>1.07</v>
      </c>
      <c r="E433" s="17" t="n">
        <v>0.5</v>
      </c>
      <c r="F433" s="17" t="n">
        <v>0.28</v>
      </c>
      <c r="G433" s="17" t="n"/>
    </row>
    <row r="434">
      <c r="A434" s="14" t="n">
        <v>427</v>
      </c>
      <c r="B434" s="17" t="n"/>
      <c r="C434" s="17" t="n">
        <v>2.14</v>
      </c>
      <c r="D434" s="17" t="n">
        <v>1.02</v>
      </c>
      <c r="E434" s="17" t="n">
        <v>0.48</v>
      </c>
      <c r="F434" s="17" t="n">
        <v>0.27</v>
      </c>
      <c r="G434" s="17" t="n"/>
    </row>
    <row r="435">
      <c r="A435" s="14" t="n">
        <v>428</v>
      </c>
      <c r="B435" s="17" t="n"/>
      <c r="C435" s="17" t="n">
        <v>2.17</v>
      </c>
      <c r="D435" s="17" t="n">
        <v>1.05</v>
      </c>
      <c r="E435" s="17" t="n">
        <v>0.44</v>
      </c>
      <c r="F435" s="17" t="n">
        <v>0.28</v>
      </c>
      <c r="G435" s="17" t="n"/>
    </row>
    <row r="436">
      <c r="A436" s="14" t="n">
        <v>429</v>
      </c>
      <c r="B436" s="17" t="n"/>
      <c r="C436" s="17" t="n">
        <v>2.04</v>
      </c>
      <c r="D436" s="17" t="n">
        <v>1.04</v>
      </c>
      <c r="E436" s="17" t="n">
        <v>0.43</v>
      </c>
      <c r="F436" s="17" t="n">
        <v>0.28</v>
      </c>
      <c r="G436" s="17" t="n"/>
    </row>
    <row r="437">
      <c r="A437" s="14" t="n">
        <v>430</v>
      </c>
      <c r="B437" s="17" t="n"/>
      <c r="C437" s="17" t="n">
        <v>1.9</v>
      </c>
      <c r="D437" s="17" t="n">
        <v>1.07</v>
      </c>
      <c r="E437" s="17" t="n">
        <v>0.44</v>
      </c>
      <c r="F437" s="17" t="n">
        <v>0.29</v>
      </c>
      <c r="G437" s="17" t="n"/>
    </row>
    <row r="438">
      <c r="A438" s="14" t="n">
        <v>431</v>
      </c>
      <c r="B438" s="17" t="n"/>
      <c r="C438" s="17" t="n">
        <v>1.94</v>
      </c>
      <c r="D438" s="17" t="n">
        <v>1.09</v>
      </c>
      <c r="E438" s="17" t="n">
        <v>0.53</v>
      </c>
      <c r="F438" s="17" t="n">
        <v>0.28</v>
      </c>
      <c r="G438" s="17" t="n"/>
    </row>
    <row r="439">
      <c r="A439" s="14" t="n">
        <v>432</v>
      </c>
      <c r="B439" s="17" t="n"/>
      <c r="C439" s="17" t="n">
        <v>1.94</v>
      </c>
      <c r="D439" s="17" t="n">
        <v>1.07</v>
      </c>
      <c r="E439" s="17" t="n">
        <v>0.5</v>
      </c>
      <c r="F439" s="17" t="n">
        <v>0.28</v>
      </c>
      <c r="G439" s="17" t="n"/>
    </row>
    <row r="440">
      <c r="A440" s="14" t="n">
        <v>433</v>
      </c>
      <c r="B440" s="17" t="n"/>
      <c r="C440" s="17" t="n">
        <v>1.91</v>
      </c>
      <c r="D440" s="17" t="n">
        <v>1.04</v>
      </c>
      <c r="E440" s="17" t="n">
        <v>0.54</v>
      </c>
      <c r="F440" s="17" t="n">
        <v>0.28</v>
      </c>
      <c r="G440" s="17" t="n"/>
    </row>
    <row r="441">
      <c r="A441" s="14" t="n">
        <v>434</v>
      </c>
      <c r="B441" s="17" t="n"/>
      <c r="C441" s="17" t="n">
        <v>1.81</v>
      </c>
      <c r="D441" s="17" t="n">
        <v>1.05</v>
      </c>
      <c r="E441" s="17" t="n">
        <v>0.57</v>
      </c>
      <c r="F441" s="17" t="n">
        <v>0.28</v>
      </c>
      <c r="G441" s="17" t="n"/>
    </row>
    <row r="442">
      <c r="A442" s="14" t="n">
        <v>435</v>
      </c>
      <c r="B442" s="17" t="n"/>
      <c r="C442" s="17" t="n">
        <v>1.8</v>
      </c>
      <c r="D442" s="17" t="n">
        <v>1.04</v>
      </c>
      <c r="E442" s="17" t="n">
        <v>0.46</v>
      </c>
      <c r="F442" s="17" t="n">
        <v>0.29</v>
      </c>
      <c r="G442" s="17" t="n"/>
    </row>
    <row r="443">
      <c r="A443" s="14" t="n">
        <v>436</v>
      </c>
      <c r="B443" s="17" t="n"/>
      <c r="C443" s="17" t="n">
        <v>1.73</v>
      </c>
      <c r="D443" s="17" t="n">
        <v>0.99</v>
      </c>
      <c r="E443" s="17" t="n">
        <v>0.42</v>
      </c>
      <c r="F443" s="17" t="n">
        <v>0.31</v>
      </c>
      <c r="G443" s="17" t="n"/>
    </row>
    <row r="444">
      <c r="A444" s="14" t="n">
        <v>437</v>
      </c>
      <c r="B444" s="17" t="n"/>
      <c r="C444" s="17" t="n">
        <v>1.88</v>
      </c>
      <c r="D444" s="17" t="n">
        <v>0.99</v>
      </c>
      <c r="E444" s="17" t="n">
        <v>0.36</v>
      </c>
      <c r="F444" s="17" t="n">
        <v>0.35</v>
      </c>
      <c r="G444" s="17" t="n"/>
    </row>
    <row r="445">
      <c r="A445" s="14" t="n">
        <v>438</v>
      </c>
      <c r="B445" s="17" t="n"/>
      <c r="C445" s="17" t="n">
        <v>1.86</v>
      </c>
      <c r="D445" s="17" t="n">
        <v>0.99</v>
      </c>
      <c r="E445" s="17" t="n">
        <v>0.39</v>
      </c>
      <c r="F445" s="17" t="n">
        <v>0.35</v>
      </c>
      <c r="G445" s="17" t="n"/>
    </row>
    <row r="446">
      <c r="A446" s="14" t="n">
        <v>439</v>
      </c>
      <c r="B446" s="17" t="n"/>
      <c r="C446" s="17" t="n">
        <v>1.81</v>
      </c>
      <c r="D446" s="17" t="n">
        <v>1.04</v>
      </c>
      <c r="E446" s="17" t="n">
        <v>0.25</v>
      </c>
      <c r="F446" s="17" t="n">
        <v>0.35</v>
      </c>
      <c r="G446" s="17" t="n"/>
    </row>
    <row r="447">
      <c r="A447" s="14" t="n">
        <v>440</v>
      </c>
      <c r="B447" s="17" t="n"/>
      <c r="C447" s="17" t="n">
        <v>1.96</v>
      </c>
      <c r="D447" s="17" t="n">
        <v>1.07</v>
      </c>
      <c r="E447" s="17" t="n">
        <v>0.2</v>
      </c>
      <c r="F447" s="17" t="n">
        <v>0.44</v>
      </c>
      <c r="G447" s="17" t="n"/>
    </row>
    <row r="448">
      <c r="A448" s="14" t="n">
        <v>441</v>
      </c>
      <c r="B448" s="17" t="n"/>
      <c r="C448" s="17" t="n">
        <v>1.9</v>
      </c>
      <c r="D448" s="17" t="n">
        <v>1.07</v>
      </c>
      <c r="E448" s="17" t="n">
        <v>0.34</v>
      </c>
      <c r="F448" s="17" t="n">
        <v>0.42</v>
      </c>
      <c r="G448" s="17" t="n"/>
    </row>
    <row r="449">
      <c r="A449" s="14" t="n">
        <v>442</v>
      </c>
      <c r="B449" s="17" t="n"/>
      <c r="C449" s="17" t="n">
        <v>1.93</v>
      </c>
      <c r="D449" s="17" t="n">
        <v>0.99</v>
      </c>
      <c r="E449" s="17" t="n">
        <v>0.45</v>
      </c>
      <c r="F449" s="17" t="n">
        <v>0.43</v>
      </c>
      <c r="G449" s="17" t="n"/>
    </row>
    <row r="450">
      <c r="A450" s="14" t="n">
        <v>443</v>
      </c>
      <c r="B450" s="17" t="n"/>
      <c r="C450" s="17" t="n">
        <v>1.91</v>
      </c>
      <c r="D450" s="17" t="n">
        <v>0.9399999999999999</v>
      </c>
      <c r="E450" s="17" t="n"/>
      <c r="F450" s="17" t="n">
        <v>0.43</v>
      </c>
      <c r="G450" s="17" t="n"/>
    </row>
    <row r="451">
      <c r="A451" s="14" t="n">
        <v>444</v>
      </c>
      <c r="B451" s="17" t="n"/>
      <c r="C451" s="17" t="n">
        <v>2</v>
      </c>
      <c r="D451" s="17" t="n">
        <v>0.95</v>
      </c>
      <c r="E451" s="17" t="n"/>
      <c r="F451" s="17" t="n">
        <v>0.43</v>
      </c>
      <c r="G451" s="17" t="n"/>
    </row>
    <row r="452">
      <c r="A452" s="14" t="n">
        <v>445</v>
      </c>
      <c r="B452" s="17" t="n"/>
      <c r="C452" s="17" t="n">
        <v>1.97</v>
      </c>
      <c r="D452" s="17" t="n">
        <v>0.98</v>
      </c>
      <c r="E452" s="17" t="n"/>
      <c r="F452" s="17" t="n">
        <v>0.48</v>
      </c>
      <c r="G452" s="17" t="n"/>
    </row>
    <row r="453">
      <c r="A453" s="14" t="n">
        <v>446</v>
      </c>
      <c r="B453" s="17" t="n"/>
      <c r="C453" s="17" t="n">
        <v>1.92</v>
      </c>
      <c r="D453" s="17" t="n">
        <v>1.02</v>
      </c>
      <c r="E453" s="17" t="n"/>
      <c r="F453" s="17" t="n">
        <v>0.5</v>
      </c>
      <c r="G453" s="17" t="n"/>
    </row>
    <row r="454">
      <c r="A454" s="14" t="n">
        <v>447</v>
      </c>
      <c r="B454" s="17" t="n"/>
      <c r="C454" s="17" t="n">
        <v>1.95</v>
      </c>
      <c r="D454" s="17" t="n">
        <v>0.99</v>
      </c>
      <c r="E454" s="17" t="n"/>
      <c r="F454" s="17" t="n">
        <v>0.5</v>
      </c>
      <c r="G454" s="17" t="n"/>
    </row>
    <row r="455">
      <c r="A455" s="14" t="n">
        <v>448</v>
      </c>
      <c r="B455" s="17" t="n"/>
      <c r="C455" s="17" t="n">
        <v>2.02</v>
      </c>
      <c r="D455" s="17" t="n">
        <v>1.03</v>
      </c>
      <c r="E455" s="17" t="n"/>
      <c r="F455" s="17" t="n">
        <v>0.49</v>
      </c>
      <c r="G455" s="17" t="n"/>
    </row>
    <row r="456">
      <c r="A456" s="14" t="n">
        <v>449</v>
      </c>
      <c r="B456" s="17" t="n"/>
      <c r="C456" s="17" t="n">
        <v>2.01</v>
      </c>
      <c r="D456" s="17" t="n">
        <v>1.04</v>
      </c>
      <c r="E456" s="17" t="n"/>
      <c r="F456" s="17" t="n">
        <v>0.48</v>
      </c>
      <c r="G456" s="17" t="n"/>
    </row>
    <row r="457">
      <c r="A457" s="14" t="n">
        <v>450</v>
      </c>
      <c r="B457" s="17" t="n"/>
      <c r="C457" s="17" t="n">
        <v>2.11</v>
      </c>
      <c r="D457" s="17" t="n">
        <v>1</v>
      </c>
      <c r="E457" s="17" t="n"/>
      <c r="F457" s="17" t="n">
        <v>0.44</v>
      </c>
      <c r="G457" s="17" t="n"/>
    </row>
    <row r="458">
      <c r="A458" s="14" t="n">
        <v>451</v>
      </c>
      <c r="B458" s="17" t="n"/>
      <c r="C458" s="17" t="n">
        <v>2.16</v>
      </c>
      <c r="D458" s="17" t="n">
        <v>1.05</v>
      </c>
      <c r="E458" s="17" t="n"/>
      <c r="F458" s="17" t="n">
        <v>0.47</v>
      </c>
      <c r="G458" s="17" t="n"/>
    </row>
    <row r="459">
      <c r="A459" s="14" t="n">
        <v>452</v>
      </c>
      <c r="B459" s="17" t="n"/>
      <c r="C459" s="17" t="n">
        <v>2.18</v>
      </c>
      <c r="D459" s="17" t="n">
        <v>1.1</v>
      </c>
      <c r="E459" s="17" t="n"/>
      <c r="F459" s="17" t="n">
        <v>0.48</v>
      </c>
      <c r="G459" s="17" t="n"/>
    </row>
    <row r="460">
      <c r="A460" s="14" t="n">
        <v>453</v>
      </c>
      <c r="B460" s="17" t="n"/>
      <c r="C460" s="17" t="n">
        <v>2.24</v>
      </c>
      <c r="D460" s="17" t="n">
        <v>1.14</v>
      </c>
      <c r="E460" s="17" t="n"/>
      <c r="F460" s="17" t="n">
        <v>0.48</v>
      </c>
      <c r="G460" s="17" t="n"/>
    </row>
    <row r="461">
      <c r="A461" s="14" t="n">
        <v>454</v>
      </c>
      <c r="B461" s="17" t="n"/>
      <c r="C461" s="17" t="n">
        <v>2.16</v>
      </c>
      <c r="D461" s="17" t="n">
        <v>1.12</v>
      </c>
      <c r="E461" s="17" t="n"/>
      <c r="F461" s="17" t="n">
        <v>0.45</v>
      </c>
      <c r="G461" s="17" t="n"/>
    </row>
    <row r="462">
      <c r="A462" s="14" t="n">
        <v>455</v>
      </c>
      <c r="B462" s="17" t="n"/>
      <c r="C462" s="17" t="n">
        <v>2.17</v>
      </c>
      <c r="D462" s="17" t="n">
        <v>1.17</v>
      </c>
      <c r="E462" s="17" t="n"/>
      <c r="F462" s="17" t="n">
        <v>0.44</v>
      </c>
      <c r="G462" s="17" t="n"/>
    </row>
    <row r="463">
      <c r="A463" s="14" t="n">
        <v>456</v>
      </c>
      <c r="B463" s="17" t="n"/>
      <c r="C463" s="17" t="n">
        <v>2.25</v>
      </c>
      <c r="D463" s="17" t="n">
        <v>1.14</v>
      </c>
      <c r="E463" s="17" t="n"/>
      <c r="F463" s="17" t="n">
        <v>0.45</v>
      </c>
      <c r="G463" s="17" t="n"/>
    </row>
    <row r="464">
      <c r="A464" s="14" t="n">
        <v>457</v>
      </c>
      <c r="B464" s="17" t="n"/>
      <c r="C464" s="17" t="n">
        <v>2.24</v>
      </c>
      <c r="D464" s="17" t="n">
        <v>1.11</v>
      </c>
      <c r="E464" s="17" t="n"/>
      <c r="F464" s="17" t="n">
        <v>0.46</v>
      </c>
      <c r="G464" s="17" t="n"/>
    </row>
    <row r="465">
      <c r="A465" s="14" t="n">
        <v>458</v>
      </c>
      <c r="B465" s="17" t="n"/>
      <c r="C465" s="17" t="n">
        <v>2.28</v>
      </c>
      <c r="D465" s="17" t="n">
        <v>1.1</v>
      </c>
      <c r="E465" s="17" t="n"/>
      <c r="F465" s="17" t="n">
        <v>0.48</v>
      </c>
      <c r="G465" s="17" t="n"/>
    </row>
    <row r="466">
      <c r="A466" s="14" t="n">
        <v>459</v>
      </c>
      <c r="B466" s="17" t="n"/>
      <c r="C466" s="17" t="n">
        <v>2.39</v>
      </c>
      <c r="D466" s="17" t="n">
        <v>1.07</v>
      </c>
      <c r="E466" s="17" t="n"/>
      <c r="F466" s="17" t="n">
        <v>0.46</v>
      </c>
      <c r="G466" s="17" t="n"/>
    </row>
    <row r="467">
      <c r="A467" s="14" t="n">
        <v>460</v>
      </c>
      <c r="B467" s="17" t="n"/>
      <c r="C467" s="17" t="n">
        <v>2.33</v>
      </c>
      <c r="D467" s="17" t="n">
        <v>1.09</v>
      </c>
      <c r="E467" s="17" t="n"/>
      <c r="F467" s="17" t="n">
        <v>0.48</v>
      </c>
      <c r="G467" s="17" t="n"/>
    </row>
    <row r="468">
      <c r="A468" s="14" t="n">
        <v>461</v>
      </c>
      <c r="B468" s="17" t="n"/>
      <c r="C468" s="17" t="n">
        <v>2.46</v>
      </c>
      <c r="D468" s="17" t="n">
        <v>1.08</v>
      </c>
      <c r="E468" s="17" t="n"/>
      <c r="F468" s="17" t="n">
        <v>0.46</v>
      </c>
      <c r="G468" s="17" t="n"/>
    </row>
    <row r="469">
      <c r="A469" s="14" t="n">
        <v>462</v>
      </c>
      <c r="B469" s="17" t="n"/>
      <c r="C469" s="17" t="n">
        <v>2.4</v>
      </c>
      <c r="D469" s="17" t="n">
        <v>1.06</v>
      </c>
      <c r="E469" s="17" t="n"/>
      <c r="F469" s="17" t="n">
        <v>0.43</v>
      </c>
      <c r="G469" s="17" t="n"/>
    </row>
    <row r="470">
      <c r="A470" s="14" t="n">
        <v>463</v>
      </c>
      <c r="B470" s="17" t="n"/>
      <c r="C470" s="17" t="n">
        <v>2.42</v>
      </c>
      <c r="D470" s="17" t="n">
        <v>1.09</v>
      </c>
      <c r="E470" s="17" t="n"/>
      <c r="F470" s="17" t="n">
        <v>0.43</v>
      </c>
      <c r="G470" s="17" t="n"/>
    </row>
    <row r="471">
      <c r="A471" s="14" t="n">
        <v>464</v>
      </c>
      <c r="B471" s="17" t="n"/>
      <c r="C471" s="17" t="n">
        <v>2.46</v>
      </c>
      <c r="D471" s="17" t="n">
        <v>1.13</v>
      </c>
      <c r="E471" s="17" t="n"/>
      <c r="F471" s="17" t="n">
        <v>0.44</v>
      </c>
      <c r="G471" s="17" t="n"/>
    </row>
    <row r="472">
      <c r="A472" s="14" t="n">
        <v>465</v>
      </c>
      <c r="B472" s="17" t="n"/>
      <c r="C472" s="17" t="n">
        <v>2.5</v>
      </c>
      <c r="D472" s="17" t="n">
        <v>1.16</v>
      </c>
      <c r="E472" s="17" t="n"/>
      <c r="F472" s="17" t="n">
        <v>0.43</v>
      </c>
      <c r="G472" s="17" t="n"/>
    </row>
    <row r="473">
      <c r="A473" s="14" t="n">
        <v>466</v>
      </c>
      <c r="B473" s="17" t="n"/>
      <c r="C473" s="17" t="n">
        <v>2.55</v>
      </c>
      <c r="D473" s="17" t="n">
        <v>1.13</v>
      </c>
      <c r="E473" s="17" t="n"/>
      <c r="F473" s="17" t="n">
        <v>0.39</v>
      </c>
      <c r="G473" s="17" t="n"/>
    </row>
    <row r="474">
      <c r="A474" s="14" t="n">
        <v>467</v>
      </c>
      <c r="B474" s="17" t="n"/>
      <c r="C474" s="17" t="n">
        <v>2.54</v>
      </c>
      <c r="D474" s="17" t="n">
        <v>1.08</v>
      </c>
      <c r="E474" s="17" t="n"/>
      <c r="F474" s="17" t="n">
        <v>0.41</v>
      </c>
      <c r="G474" s="17" t="n"/>
    </row>
    <row r="475">
      <c r="A475" s="14" t="n">
        <v>468</v>
      </c>
      <c r="B475" s="17" t="n"/>
      <c r="C475" s="17" t="n">
        <v>2.58</v>
      </c>
      <c r="D475" s="17" t="n">
        <v>1.06</v>
      </c>
      <c r="E475" s="17" t="n"/>
      <c r="F475" s="17" t="n">
        <v>0.42</v>
      </c>
      <c r="G475" s="17" t="n"/>
    </row>
    <row r="476">
      <c r="A476" s="14" t="n">
        <v>469</v>
      </c>
      <c r="B476" s="17" t="n"/>
      <c r="C476" s="17" t="n">
        <v>2.58</v>
      </c>
      <c r="D476" s="17" t="n">
        <v>1.03</v>
      </c>
      <c r="E476" s="17" t="n"/>
      <c r="F476" s="17" t="n">
        <v>0.44</v>
      </c>
      <c r="G476" s="17" t="n"/>
    </row>
    <row r="477">
      <c r="A477" s="14" t="n">
        <v>470</v>
      </c>
      <c r="B477" s="17" t="n"/>
      <c r="C477" s="17" t="n">
        <v>2.62</v>
      </c>
      <c r="D477" s="17" t="n">
        <v>0.99</v>
      </c>
      <c r="E477" s="17" t="n"/>
      <c r="F477" s="17" t="n">
        <v>0.44</v>
      </c>
      <c r="G477" s="17" t="n"/>
    </row>
    <row r="478">
      <c r="A478" s="14" t="n">
        <v>471</v>
      </c>
      <c r="B478" s="17" t="n"/>
      <c r="C478" s="17" t="n">
        <v>2.7</v>
      </c>
      <c r="D478" s="17" t="n">
        <v>0.99</v>
      </c>
      <c r="E478" s="17" t="n"/>
      <c r="F478" s="17" t="n">
        <v>0.44</v>
      </c>
      <c r="G478" s="17" t="n"/>
    </row>
    <row r="479">
      <c r="A479" s="14" t="n">
        <v>472</v>
      </c>
      <c r="B479" s="17" t="n"/>
      <c r="C479" s="17" t="n">
        <v>2.64</v>
      </c>
      <c r="D479" s="17" t="n">
        <v>1</v>
      </c>
      <c r="E479" s="17" t="n"/>
      <c r="F479" s="17" t="n">
        <v>0.43</v>
      </c>
      <c r="G479" s="17" t="n"/>
    </row>
    <row r="480">
      <c r="A480" s="14" t="n">
        <v>473</v>
      </c>
      <c r="B480" s="17" t="n"/>
      <c r="C480" s="17" t="n">
        <v>2.83</v>
      </c>
      <c r="D480" s="17" t="n">
        <v>0.9399999999999999</v>
      </c>
      <c r="E480" s="17" t="n"/>
      <c r="F480" s="17" t="n">
        <v>0.42</v>
      </c>
      <c r="G480" s="17" t="n"/>
    </row>
    <row r="481">
      <c r="A481" s="14" t="n">
        <v>474</v>
      </c>
      <c r="B481" s="17" t="n"/>
      <c r="C481" s="17" t="n">
        <v>2.82</v>
      </c>
      <c r="D481" s="17" t="n">
        <v>0.92</v>
      </c>
      <c r="E481" s="17" t="n"/>
      <c r="F481" s="17" t="n">
        <v>0.43</v>
      </c>
      <c r="G481" s="17" t="n"/>
    </row>
    <row r="482">
      <c r="A482" s="14" t="n">
        <v>475</v>
      </c>
      <c r="B482" s="17" t="n"/>
      <c r="C482" s="17" t="n">
        <v>3.01</v>
      </c>
      <c r="D482" s="17" t="n">
        <v>0.92</v>
      </c>
      <c r="E482" s="17" t="n"/>
      <c r="F482" s="17" t="n">
        <v>0.44</v>
      </c>
      <c r="G482" s="17" t="n"/>
    </row>
    <row r="483">
      <c r="A483" s="14" t="n">
        <v>476</v>
      </c>
      <c r="B483" s="17" t="n"/>
      <c r="C483" s="17" t="n">
        <v>3.1</v>
      </c>
      <c r="D483" s="17" t="n">
        <v>0.9</v>
      </c>
      <c r="E483" s="17" t="n"/>
      <c r="F483" s="17" t="n">
        <v>0.44</v>
      </c>
      <c r="G483" s="17" t="n"/>
    </row>
    <row r="484">
      <c r="A484" s="14" t="n">
        <v>477</v>
      </c>
      <c r="B484" s="17" t="n"/>
      <c r="C484" s="17" t="n">
        <v>2.85</v>
      </c>
      <c r="D484" s="17" t="n">
        <v>0.85</v>
      </c>
      <c r="E484" s="17" t="n"/>
      <c r="F484" s="17" t="n">
        <v>0.46</v>
      </c>
      <c r="G484" s="17" t="n"/>
    </row>
    <row r="485">
      <c r="A485" s="14" t="n">
        <v>478</v>
      </c>
      <c r="B485" s="17" t="n"/>
      <c r="C485" s="17" t="n">
        <v>2.89</v>
      </c>
      <c r="D485" s="17" t="n">
        <v>0.89</v>
      </c>
      <c r="E485" s="17" t="n"/>
      <c r="F485" s="17" t="n">
        <v>0.48</v>
      </c>
      <c r="G485" s="17" t="n"/>
    </row>
    <row r="486">
      <c r="A486" s="14" t="n">
        <v>479</v>
      </c>
      <c r="B486" s="17" t="n"/>
      <c r="C486" s="17" t="n">
        <v>2.96</v>
      </c>
      <c r="D486" s="17" t="n">
        <v>0.93</v>
      </c>
      <c r="E486" s="17" t="n"/>
      <c r="F486" s="17" t="n">
        <v>0.52</v>
      </c>
      <c r="G486" s="17" t="n"/>
    </row>
    <row r="487">
      <c r="A487" s="14" t="n">
        <v>480</v>
      </c>
      <c r="B487" s="17" t="n"/>
      <c r="C487" s="17" t="n"/>
      <c r="D487" s="17" t="n">
        <v>0.95</v>
      </c>
      <c r="E487" s="17" t="n"/>
      <c r="F487" s="17" t="n">
        <v>0.52</v>
      </c>
      <c r="G487" s="17" t="n"/>
    </row>
    <row r="488">
      <c r="A488" s="14" t="n">
        <v>481</v>
      </c>
      <c r="B488" s="17" t="n"/>
      <c r="C488" s="17" t="n"/>
      <c r="D488" s="17" t="n">
        <v>0.98</v>
      </c>
      <c r="E488" s="17" t="n"/>
      <c r="F488" s="17" t="n">
        <v>0.53</v>
      </c>
      <c r="G488" s="17" t="n"/>
    </row>
    <row r="489">
      <c r="A489" s="14" t="n">
        <v>482</v>
      </c>
      <c r="B489" s="17" t="n"/>
      <c r="C489" s="17" t="n"/>
      <c r="D489" s="17" t="n">
        <v>1</v>
      </c>
      <c r="E489" s="17" t="n"/>
      <c r="F489" s="17" t="n">
        <v>0.53</v>
      </c>
      <c r="G489" s="17" t="n"/>
    </row>
    <row r="490">
      <c r="A490" s="14" t="n">
        <v>483</v>
      </c>
      <c r="B490" s="17" t="n"/>
      <c r="C490" s="17" t="n"/>
      <c r="D490" s="17" t="n">
        <v>1.03</v>
      </c>
      <c r="E490" s="17" t="n"/>
      <c r="F490" s="17" t="n">
        <v>0.54</v>
      </c>
      <c r="G490" s="17" t="n"/>
    </row>
    <row r="491">
      <c r="A491" s="14" t="n">
        <v>484</v>
      </c>
      <c r="B491" s="17" t="n"/>
      <c r="C491" s="17" t="n"/>
      <c r="D491" s="17" t="n">
        <v>1</v>
      </c>
      <c r="E491" s="17" t="n"/>
      <c r="F491" s="17" t="n">
        <v>0.5600000000000001</v>
      </c>
      <c r="G491" s="17" t="n"/>
    </row>
    <row r="492">
      <c r="A492" s="14" t="n">
        <v>485</v>
      </c>
      <c r="B492" s="17" t="n"/>
      <c r="C492" s="17" t="n"/>
      <c r="D492" s="17" t="n">
        <v>1</v>
      </c>
      <c r="E492" s="17" t="n"/>
      <c r="F492" s="17" t="n">
        <v>0.55</v>
      </c>
      <c r="G492" s="17" t="n"/>
    </row>
    <row r="493">
      <c r="A493" s="14" t="n">
        <v>486</v>
      </c>
      <c r="B493" s="17" t="n"/>
      <c r="C493" s="17" t="n"/>
      <c r="D493" s="17" t="n">
        <v>1.09</v>
      </c>
      <c r="E493" s="17" t="n"/>
      <c r="F493" s="17" t="n">
        <v>0.57</v>
      </c>
      <c r="G493" s="17" t="n"/>
    </row>
    <row r="494">
      <c r="A494" s="14" t="n">
        <v>487</v>
      </c>
      <c r="B494" s="17" t="n"/>
      <c r="C494" s="17" t="n"/>
      <c r="D494" s="17" t="n">
        <v>1.13</v>
      </c>
      <c r="E494" s="17" t="n"/>
      <c r="F494" s="17" t="n">
        <v>0.61</v>
      </c>
      <c r="G494" s="17" t="n"/>
    </row>
    <row r="495">
      <c r="A495" s="14" t="n">
        <v>488</v>
      </c>
      <c r="B495" s="17" t="n"/>
      <c r="C495" s="17" t="n"/>
      <c r="D495" s="17" t="n">
        <v>1.13</v>
      </c>
      <c r="E495" s="17" t="n"/>
      <c r="F495" s="17" t="n">
        <v>0.6899999999999999</v>
      </c>
      <c r="G495" s="17" t="n"/>
    </row>
    <row r="496">
      <c r="A496" s="14" t="n">
        <v>489</v>
      </c>
      <c r="B496" s="17" t="n"/>
      <c r="C496" s="17" t="n"/>
      <c r="D496" s="17" t="n">
        <v>1.13</v>
      </c>
      <c r="E496" s="17" t="n"/>
      <c r="F496" s="17" t="n">
        <v>0.7</v>
      </c>
      <c r="G496" s="17" t="n"/>
    </row>
    <row r="497">
      <c r="A497" s="14" t="n">
        <v>490</v>
      </c>
      <c r="B497" s="17" t="n"/>
      <c r="C497" s="17" t="n"/>
      <c r="D497" s="17" t="n">
        <v>1.08</v>
      </c>
      <c r="E497" s="17" t="n"/>
      <c r="F497" s="17" t="n">
        <v>0.71</v>
      </c>
      <c r="G497" s="17" t="n"/>
    </row>
    <row r="498">
      <c r="A498" s="14" t="n">
        <v>491</v>
      </c>
      <c r="B498" s="17" t="n"/>
      <c r="C498" s="17" t="n"/>
      <c r="D498" s="17" t="n">
        <v>1.08</v>
      </c>
      <c r="E498" s="17" t="n"/>
      <c r="F498" s="17" t="n">
        <v>0.72</v>
      </c>
      <c r="G498" s="17" t="n"/>
    </row>
    <row r="499">
      <c r="A499" s="14" t="n">
        <v>492</v>
      </c>
      <c r="B499" s="17" t="n"/>
      <c r="C499" s="17" t="n"/>
      <c r="D499" s="17" t="n">
        <v>1.03</v>
      </c>
      <c r="E499" s="17" t="n"/>
      <c r="F499" s="17" t="n">
        <v>0.71</v>
      </c>
      <c r="G499" s="17" t="n"/>
    </row>
    <row r="500">
      <c r="A500" s="14" t="n">
        <v>493</v>
      </c>
      <c r="B500" s="17" t="n"/>
      <c r="C500" s="17" t="n"/>
      <c r="D500" s="17" t="n">
        <v>1.02</v>
      </c>
      <c r="E500" s="17" t="n"/>
      <c r="F500" s="17" t="n">
        <v>0.73</v>
      </c>
      <c r="G500" s="17" t="n"/>
    </row>
    <row r="501">
      <c r="A501" s="14" t="n">
        <v>494</v>
      </c>
      <c r="B501" s="17" t="n"/>
      <c r="C501" s="17" t="n"/>
      <c r="D501" s="17" t="n">
        <v>0.98</v>
      </c>
      <c r="E501" s="17" t="n"/>
      <c r="F501" s="17" t="n">
        <v>0.75</v>
      </c>
      <c r="G501" s="17" t="n"/>
    </row>
    <row r="502">
      <c r="A502" s="14" t="n">
        <v>495</v>
      </c>
      <c r="B502" s="17" t="n"/>
      <c r="C502" s="17" t="n"/>
      <c r="D502" s="17" t="n">
        <v>0.9399999999999999</v>
      </c>
      <c r="E502" s="17" t="n"/>
      <c r="F502" s="17" t="n">
        <v>0.75</v>
      </c>
      <c r="G502" s="17" t="n"/>
    </row>
    <row r="503">
      <c r="A503" s="14" t="n">
        <v>496</v>
      </c>
      <c r="B503" s="17" t="n"/>
      <c r="C503" s="17" t="n"/>
      <c r="D503" s="17" t="n">
        <v>0.97</v>
      </c>
      <c r="E503" s="17" t="n"/>
      <c r="F503" s="17" t="n">
        <v>0.76</v>
      </c>
      <c r="G503" s="17" t="n"/>
    </row>
    <row r="504">
      <c r="A504" s="14" t="n">
        <v>497</v>
      </c>
      <c r="B504" s="17" t="n"/>
      <c r="C504" s="17" t="n"/>
      <c r="D504" s="17" t="n">
        <v>0.9399999999999999</v>
      </c>
      <c r="E504" s="17" t="n"/>
      <c r="F504" s="17" t="n">
        <v>0.8</v>
      </c>
      <c r="G504" s="17" t="n"/>
    </row>
    <row r="505">
      <c r="A505" s="14" t="n">
        <v>498</v>
      </c>
      <c r="B505" s="17" t="n"/>
      <c r="C505" s="17" t="n"/>
      <c r="D505" s="17" t="n">
        <v>0.93</v>
      </c>
      <c r="E505" s="17" t="n"/>
      <c r="F505" s="17" t="n">
        <v>0.85</v>
      </c>
      <c r="G505" s="17" t="n"/>
    </row>
    <row r="506">
      <c r="A506" s="14" t="n">
        <v>499</v>
      </c>
      <c r="B506" s="17" t="n"/>
      <c r="C506" s="17" t="n"/>
      <c r="D506" s="17" t="n">
        <v>0.88</v>
      </c>
      <c r="E506" s="17" t="n"/>
      <c r="F506" s="17" t="n">
        <v>0.84</v>
      </c>
      <c r="G506" s="17" t="n"/>
    </row>
    <row r="507">
      <c r="A507" s="14" t="n">
        <v>500</v>
      </c>
      <c r="B507" s="17" t="n"/>
      <c r="C507" s="17" t="n"/>
      <c r="D507" s="17" t="n">
        <v>0.89</v>
      </c>
      <c r="E507" s="17" t="n"/>
      <c r="F507" s="17" t="n">
        <v>0.83</v>
      </c>
      <c r="G507" s="17" t="n"/>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36"/>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12" customWidth="1" min="1" max="1"/>
    <col width="17" customWidth="1" min="2" max="2"/>
    <col width="17" customWidth="1" min="3" max="3"/>
    <col width="17" customWidth="1" min="4" max="4"/>
    <col width="17" customWidth="1" min="5" max="5"/>
    <col width="17" customWidth="1" min="6" max="6"/>
    <col width="17" customWidth="1" min="7" max="7"/>
  </cols>
  <sheetData>
    <row r="1">
      <c r="A1" s="1" t="inlineStr">
        <is>
          <t>Private non-residential construction</t>
        </is>
      </c>
    </row>
    <row r="2">
      <c r="A2" s="2" t="inlineStr">
        <is>
          <t>Change since January 2024, $bn, seasonally adjusted annual rate. Census C30. Columns E-G repeat the same series in January 2024 prices.</t>
        </is>
      </c>
    </row>
    <row r="3" ht="4" customHeight="1">
      <c r="A3" s="3" t="n"/>
      <c r="B3" s="3" t="n"/>
      <c r="C3" s="3" t="n"/>
      <c r="D3" s="3" t="n"/>
      <c r="E3" s="3" t="n"/>
      <c r="F3" s="3" t="n"/>
      <c r="G3" s="3" t="n"/>
      <c r="H3" s="3" t="n"/>
    </row>
    <row r="6" ht="30" customHeight="1">
      <c r="A6" s="9" t="inlineStr">
        <is>
          <t>Month</t>
        </is>
      </c>
      <c r="B6" s="10" t="inlineStr">
        <is>
          <t>Data centres</t>
        </is>
      </c>
      <c r="C6" s="10" t="inlineStr">
        <is>
          <t>Total non-residential</t>
        </is>
      </c>
      <c r="D6" s="10" t="inlineStr">
        <is>
          <t>Ex data centres</t>
        </is>
      </c>
      <c r="E6" s="10" t="inlineStr">
        <is>
          <t>Data centres, Jan-24 prices</t>
        </is>
      </c>
      <c r="F6" s="10" t="inlineStr">
        <is>
          <t>Total, Jan-24 prices</t>
        </is>
      </c>
      <c r="G6" s="10" t="inlineStr">
        <is>
          <t>Ex data centres, Jan-24 prices</t>
        </is>
      </c>
    </row>
    <row r="7">
      <c r="A7" s="11" t="n">
        <v>45292</v>
      </c>
      <c r="B7" s="18" t="n">
        <v>0</v>
      </c>
      <c r="C7" s="18" t="n">
        <v>0</v>
      </c>
      <c r="D7" s="18" t="n">
        <v>0</v>
      </c>
      <c r="E7" s="18" t="n">
        <v>0</v>
      </c>
      <c r="F7" s="18" t="n">
        <v>0</v>
      </c>
      <c r="G7" s="18" t="n">
        <v>0</v>
      </c>
    </row>
    <row r="8">
      <c r="A8" s="11" t="n">
        <v>45323</v>
      </c>
      <c r="B8" s="18" t="n">
        <v>1.907</v>
      </c>
      <c r="C8" s="18" t="n">
        <v>2.873</v>
      </c>
      <c r="D8" s="18" t="n">
        <v>0.966</v>
      </c>
      <c r="E8" s="18" t="n">
        <v>1.623</v>
      </c>
      <c r="F8" s="18" t="n">
        <v>-5.072</v>
      </c>
      <c r="G8" s="18" t="n">
        <v>-6.694</v>
      </c>
    </row>
    <row r="9">
      <c r="A9" s="11" t="n">
        <v>45352</v>
      </c>
      <c r="B9" s="18" t="n">
        <v>3.76</v>
      </c>
      <c r="C9" s="18" t="n">
        <v>7.444</v>
      </c>
      <c r="D9" s="18" t="n">
        <v>3.684</v>
      </c>
      <c r="E9" s="18" t="n">
        <v>4.071</v>
      </c>
      <c r="F9" s="18" t="n">
        <v>15.645</v>
      </c>
      <c r="G9" s="18" t="n">
        <v>11.574</v>
      </c>
    </row>
    <row r="10">
      <c r="A10" s="11" t="n">
        <v>45383</v>
      </c>
      <c r="B10" s="18" t="n">
        <v>1.657</v>
      </c>
      <c r="C10" s="18" t="n">
        <v>-1.982</v>
      </c>
      <c r="D10" s="18" t="n">
        <v>-3.639</v>
      </c>
      <c r="E10" s="18" t="n">
        <v>2.017</v>
      </c>
      <c r="F10" s="18" t="n">
        <v>8.114000000000001</v>
      </c>
      <c r="G10" s="18" t="n">
        <v>6.096</v>
      </c>
    </row>
    <row r="11">
      <c r="A11" s="11" t="n">
        <v>45413</v>
      </c>
      <c r="B11" s="18" t="n">
        <v>5.859</v>
      </c>
      <c r="C11" s="18" t="n">
        <v>0.794</v>
      </c>
      <c r="D11" s="18" t="n">
        <v>-5.065</v>
      </c>
      <c r="E11" s="18" t="n">
        <v>6.343</v>
      </c>
      <c r="F11" s="18" t="n">
        <v>12.624</v>
      </c>
      <c r="G11" s="18" t="n">
        <v>6.281</v>
      </c>
    </row>
    <row r="12">
      <c r="A12" s="11" t="n">
        <v>45444</v>
      </c>
      <c r="B12" s="18" t="n">
        <v>8.891999999999999</v>
      </c>
      <c r="C12" s="18" t="n">
        <v>10.776</v>
      </c>
      <c r="D12" s="18" t="n">
        <v>1.884</v>
      </c>
      <c r="E12" s="18" t="n">
        <v>9.545</v>
      </c>
      <c r="F12" s="18" t="n">
        <v>25.549</v>
      </c>
      <c r="G12" s="18" t="n">
        <v>16.004</v>
      </c>
    </row>
    <row r="13">
      <c r="A13" s="11" t="n">
        <v>45474</v>
      </c>
      <c r="B13" s="18" t="n">
        <v>9.712</v>
      </c>
      <c r="C13" s="18" t="n">
        <v>8.492000000000001</v>
      </c>
      <c r="D13" s="18" t="n">
        <v>-1.22</v>
      </c>
      <c r="E13" s="18" t="n">
        <v>10.69</v>
      </c>
      <c r="F13" s="18" t="n">
        <v>30.072</v>
      </c>
      <c r="G13" s="18" t="n">
        <v>19.382</v>
      </c>
    </row>
    <row r="14">
      <c r="A14" s="11" t="n">
        <v>45505</v>
      </c>
      <c r="B14" s="18" t="n">
        <v>10.256</v>
      </c>
      <c r="C14" s="18" t="n">
        <v>14.189</v>
      </c>
      <c r="D14" s="18" t="n">
        <v>3.933</v>
      </c>
      <c r="E14" s="18" t="n">
        <v>11.354</v>
      </c>
      <c r="F14" s="18" t="n">
        <v>38.224</v>
      </c>
      <c r="G14" s="18" t="n">
        <v>26.869</v>
      </c>
    </row>
    <row r="15">
      <c r="A15" s="11" t="n">
        <v>45536</v>
      </c>
      <c r="B15" s="18" t="n">
        <v>11.164</v>
      </c>
      <c r="C15" s="18" t="n">
        <v>14.037</v>
      </c>
      <c r="D15" s="18" t="n">
        <v>2.873</v>
      </c>
      <c r="E15" s="18" t="n">
        <v>12.355</v>
      </c>
      <c r="F15" s="18" t="n">
        <v>39.469</v>
      </c>
      <c r="G15" s="18" t="n">
        <v>27.114</v>
      </c>
    </row>
    <row r="16">
      <c r="A16" s="11" t="n">
        <v>45566</v>
      </c>
      <c r="B16" s="18" t="n">
        <v>13.636</v>
      </c>
      <c r="C16" s="18" t="n">
        <v>9.246</v>
      </c>
      <c r="D16" s="18" t="n">
        <v>-4.39</v>
      </c>
      <c r="E16" s="18" t="n">
        <v>14.737</v>
      </c>
      <c r="F16" s="18" t="n">
        <v>31.169</v>
      </c>
      <c r="G16" s="18" t="n">
        <v>16.432</v>
      </c>
    </row>
    <row r="17">
      <c r="A17" s="11" t="n">
        <v>45597</v>
      </c>
      <c r="B17" s="18" t="n">
        <v>14.539</v>
      </c>
      <c r="C17" s="18" t="n">
        <v>19.5</v>
      </c>
      <c r="D17" s="18" t="n">
        <v>4.961</v>
      </c>
      <c r="E17" s="18" t="n">
        <v>15.472</v>
      </c>
      <c r="F17" s="18" t="n">
        <v>37.894</v>
      </c>
      <c r="G17" s="18" t="n">
        <v>22.423</v>
      </c>
    </row>
    <row r="18">
      <c r="A18" s="11" t="n">
        <v>45627</v>
      </c>
      <c r="B18" s="18" t="n">
        <v>18.291</v>
      </c>
      <c r="C18" s="18" t="n">
        <v>16.46</v>
      </c>
      <c r="D18" s="18" t="n">
        <v>-1.831</v>
      </c>
      <c r="E18" s="18" t="n">
        <v>19.634</v>
      </c>
      <c r="F18" s="18" t="n">
        <v>40.637</v>
      </c>
      <c r="G18" s="18" t="n">
        <v>21.003</v>
      </c>
    </row>
    <row r="19">
      <c r="A19" s="11" t="n">
        <v>45658</v>
      </c>
      <c r="B19" s="18" t="n">
        <v>18.929</v>
      </c>
      <c r="C19" s="18" t="n">
        <v>15.048</v>
      </c>
      <c r="D19" s="18" t="n">
        <v>-3.881</v>
      </c>
      <c r="E19" s="18" t="n">
        <v>20.058</v>
      </c>
      <c r="F19" s="18" t="n">
        <v>35.053</v>
      </c>
      <c r="G19" s="18" t="n">
        <v>14.995</v>
      </c>
    </row>
    <row r="20">
      <c r="A20" s="11" t="n">
        <v>45689</v>
      </c>
      <c r="B20" s="18" t="n">
        <v>19.997</v>
      </c>
      <c r="C20" s="18" t="n">
        <v>17.483</v>
      </c>
      <c r="D20" s="18" t="n">
        <v>-2.514</v>
      </c>
      <c r="E20" s="18" t="n">
        <v>20.726</v>
      </c>
      <c r="F20" s="18" t="n">
        <v>30.139</v>
      </c>
      <c r="G20" s="18" t="n">
        <v>9.413</v>
      </c>
    </row>
    <row r="21">
      <c r="A21" s="11" t="n">
        <v>45717</v>
      </c>
      <c r="B21" s="18" t="n">
        <v>20.181</v>
      </c>
      <c r="C21" s="18" t="n">
        <v>7.091</v>
      </c>
      <c r="D21" s="18" t="n">
        <v>-13.09</v>
      </c>
      <c r="E21" s="18" t="n">
        <v>20.096</v>
      </c>
      <c r="F21" s="18" t="n">
        <v>5.645</v>
      </c>
      <c r="G21" s="18" t="n">
        <v>-14.451</v>
      </c>
    </row>
    <row r="22">
      <c r="A22" s="11" t="n">
        <v>45748</v>
      </c>
      <c r="B22" s="18" t="n">
        <v>26.406</v>
      </c>
      <c r="C22" s="18" t="n">
        <v>17.899</v>
      </c>
      <c r="D22" s="18" t="n">
        <v>-8.507</v>
      </c>
      <c r="E22" s="18" t="n">
        <v>25.966</v>
      </c>
      <c r="F22" s="18" t="n">
        <v>11.19</v>
      </c>
      <c r="G22" s="18" t="n">
        <v>-14.776</v>
      </c>
    </row>
    <row r="23">
      <c r="A23" s="11" t="n">
        <v>45778</v>
      </c>
      <c r="B23" s="18" t="n">
        <v>21.798</v>
      </c>
      <c r="C23" s="18" t="n">
        <v>2.742</v>
      </c>
      <c r="D23" s="18" t="n">
        <v>-19.056</v>
      </c>
      <c r="E23" s="18" t="n">
        <v>20.441</v>
      </c>
      <c r="F23" s="18" t="n">
        <v>-19.517</v>
      </c>
      <c r="G23" s="18" t="n">
        <v>-39.958</v>
      </c>
    </row>
    <row r="24">
      <c r="A24" s="11" t="n">
        <v>45809</v>
      </c>
      <c r="B24" s="18" t="n">
        <v>20.438</v>
      </c>
      <c r="C24" s="18" t="n">
        <v>-6.119</v>
      </c>
      <c r="D24" s="18" t="n">
        <v>-26.557</v>
      </c>
      <c r="E24" s="18" t="n">
        <v>19.846</v>
      </c>
      <c r="F24" s="18" t="n">
        <v>-15.999</v>
      </c>
      <c r="G24" s="18" t="n">
        <v>-35.845</v>
      </c>
    </row>
    <row r="25">
      <c r="A25" s="11" t="n">
        <v>45839</v>
      </c>
      <c r="B25" s="18" t="n">
        <v>21.398</v>
      </c>
      <c r="C25" s="18" t="n">
        <v>-7.127</v>
      </c>
      <c r="D25" s="18" t="n">
        <v>-28.525</v>
      </c>
      <c r="E25" s="18" t="n">
        <v>20.801</v>
      </c>
      <c r="F25" s="18" t="n">
        <v>-16.876</v>
      </c>
      <c r="G25" s="18" t="n">
        <v>-37.677</v>
      </c>
    </row>
    <row r="26">
      <c r="A26" s="11" t="n">
        <v>45870</v>
      </c>
      <c r="B26" s="18" t="n">
        <v>22.64</v>
      </c>
      <c r="C26" s="18" t="n">
        <v>-7.799</v>
      </c>
      <c r="D26" s="18" t="n">
        <v>-30.439</v>
      </c>
      <c r="E26" s="18" t="n">
        <v>21.622</v>
      </c>
      <c r="F26" s="18" t="n">
        <v>-23.99</v>
      </c>
      <c r="G26" s="18" t="n">
        <v>-45.613</v>
      </c>
    </row>
    <row r="27">
      <c r="A27" s="11" t="n">
        <v>45901</v>
      </c>
      <c r="B27" s="18" t="n">
        <v>24.288</v>
      </c>
      <c r="C27" s="18" t="n">
        <v>-15.098</v>
      </c>
      <c r="D27" s="18" t="n">
        <v>-39.386</v>
      </c>
      <c r="E27" s="18" t="n">
        <v>23.302</v>
      </c>
      <c r="F27" s="18" t="n">
        <v>-30.132</v>
      </c>
      <c r="G27" s="18" t="n">
        <v>-53.434</v>
      </c>
    </row>
    <row r="28">
      <c r="A28" s="11" t="n">
        <v>45931</v>
      </c>
      <c r="B28" s="18" t="n">
        <v>27.848</v>
      </c>
      <c r="C28" s="18" t="n">
        <v>-11.464</v>
      </c>
      <c r="D28" s="18" t="n">
        <v>-39.312</v>
      </c>
      <c r="E28" s="18" t="n">
        <v>26.903</v>
      </c>
      <c r="F28" s="18" t="n">
        <v>-24.991</v>
      </c>
      <c r="G28" s="18" t="n">
        <v>-51.894</v>
      </c>
    </row>
    <row r="29">
      <c r="A29" s="11" t="n">
        <v>45962</v>
      </c>
      <c r="B29" s="18" t="n">
        <v>26.631</v>
      </c>
      <c r="C29" s="18" t="n">
        <v>-24.182</v>
      </c>
      <c r="D29" s="18" t="n">
        <v>-50.813</v>
      </c>
      <c r="E29" s="18" t="n">
        <v>25.976</v>
      </c>
      <c r="F29" s="18" t="n">
        <v>-33.62</v>
      </c>
      <c r="G29" s="18" t="n">
        <v>-59.596</v>
      </c>
    </row>
    <row r="30">
      <c r="A30" s="11" t="n">
        <v>45992</v>
      </c>
      <c r="B30" s="18" t="n">
        <v>29.049</v>
      </c>
      <c r="C30" s="18" t="n">
        <v>-37.478</v>
      </c>
      <c r="D30" s="18" t="n">
        <v>-66.527</v>
      </c>
      <c r="E30" s="18" t="n">
        <v>27.391</v>
      </c>
      <c r="F30" s="18" t="n">
        <v>-59.924</v>
      </c>
      <c r="G30" s="18" t="n">
        <v>-87.315</v>
      </c>
    </row>
    <row r="31">
      <c r="A31" s="11" t="n">
        <v>46023</v>
      </c>
      <c r="B31" s="18" t="n">
        <v>29.799</v>
      </c>
      <c r="C31" s="18" t="n">
        <v>-39.645</v>
      </c>
      <c r="D31" s="18" t="n">
        <v>-69.444</v>
      </c>
      <c r="E31" s="18" t="n">
        <v>27.618</v>
      </c>
      <c r="F31" s="18" t="n">
        <v>-68.69199999999999</v>
      </c>
      <c r="G31" s="18" t="n">
        <v>-96.31</v>
      </c>
    </row>
    <row r="32">
      <c r="A32" s="11" t="n">
        <v>46054</v>
      </c>
      <c r="B32" s="18" t="n">
        <v>30.949</v>
      </c>
      <c r="C32" s="18" t="n">
        <v>-40.927</v>
      </c>
      <c r="D32" s="18" t="n">
        <v>-71.876</v>
      </c>
      <c r="E32" s="18" t="n">
        <v>27.958</v>
      </c>
      <c r="F32" s="18" t="n">
        <v>-79.892</v>
      </c>
      <c r="G32" s="18" t="n">
        <v>-107.85</v>
      </c>
    </row>
    <row r="33">
      <c r="A33" s="11" t="n">
        <v>46082</v>
      </c>
      <c r="B33" s="18" t="n">
        <v>31.709</v>
      </c>
      <c r="C33" s="18" t="n">
        <v>-43.121</v>
      </c>
      <c r="D33" s="18" t="n">
        <v>-74.83</v>
      </c>
      <c r="E33" s="18" t="n">
        <v>28.251</v>
      </c>
      <c r="F33" s="18" t="n">
        <v>-87.44799999999999</v>
      </c>
      <c r="G33" s="18" t="n">
        <v>-115.7</v>
      </c>
    </row>
    <row r="34">
      <c r="A34" s="11" t="n">
        <v>46113</v>
      </c>
      <c r="B34" s="18" t="n">
        <v>35.447</v>
      </c>
      <c r="C34" s="18" t="n">
        <v>-42.98</v>
      </c>
      <c r="D34" s="18" t="n">
        <v>-78.42700000000001</v>
      </c>
      <c r="E34" s="18" t="n">
        <v>31.109</v>
      </c>
      <c r="F34" s="18" t="n">
        <v>-95.241</v>
      </c>
      <c r="G34" s="18" t="n">
        <v>-126.35</v>
      </c>
    </row>
    <row r="35">
      <c r="A35" s="11" t="n">
        <v>46143</v>
      </c>
      <c r="B35" s="18" t="n">
        <v>37.431</v>
      </c>
      <c r="C35" s="18" t="n">
        <v>-43.608</v>
      </c>
      <c r="D35" s="18" t="n">
        <v>-81.039</v>
      </c>
      <c r="E35" s="18" t="n">
        <v>32.22</v>
      </c>
      <c r="F35" s="18" t="n">
        <v>-104.383</v>
      </c>
      <c r="G35" s="18" t="n">
        <v>-136.604</v>
      </c>
    </row>
    <row r="36">
      <c r="A36" s="11" t="n">
        <v>46174</v>
      </c>
      <c r="B36" s="18" t="n">
        <v>41.885</v>
      </c>
      <c r="C36" s="18" t="n">
        <v>-42.907</v>
      </c>
      <c r="D36" s="18" t="n">
        <v>-84.792</v>
      </c>
      <c r="E36" s="18" t="n">
        <v>35.433</v>
      </c>
      <c r="F36" s="18" t="n">
        <v>-113.323</v>
      </c>
      <c r="G36" s="18" t="n">
        <v>-148.756</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6"/>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14" customWidth="1" min="1" max="1"/>
    <col width="20" customWidth="1" min="2" max="2"/>
    <col width="20" customWidth="1" min="3" max="3"/>
    <col width="20" customWidth="1" min="4" max="4"/>
    <col width="20" customWidth="1" min="5" max="5"/>
  </cols>
  <sheetData>
    <row r="1">
      <c r="A1" s="1" t="inlineStr">
        <is>
          <t>10y rate sensitivity to Brent</t>
        </is>
      </c>
    </row>
    <row r="2">
      <c r="A2" s="2" t="inlineStr">
        <is>
          <t>Basis points per one per cent move in Brent, from weekly Friday-to-Friday changes since February 2026.</t>
        </is>
      </c>
    </row>
    <row r="3" ht="4" customHeight="1">
      <c r="A3" s="3" t="n"/>
      <c r="B3" s="3" t="n"/>
      <c r="C3" s="3" t="n"/>
      <c r="D3" s="3" t="n"/>
      <c r="E3" s="3" t="n"/>
      <c r="F3" s="3" t="n"/>
    </row>
    <row r="6" ht="30" customHeight="1">
      <c r="A6" s="9" t="inlineStr">
        <is>
          <t>Market</t>
        </is>
      </c>
      <c r="B6" s="10" t="inlineStr">
        <is>
          <t>Sensitivity (bps per % Brent)</t>
        </is>
      </c>
      <c r="C6" s="10" t="inlineStr">
        <is>
          <t>R squared</t>
        </is>
      </c>
      <c r="D6" s="10" t="inlineStr">
        <is>
          <t>Source</t>
        </is>
      </c>
      <c r="E6" s="10" t="inlineStr">
        <is>
          <t>Identifier</t>
        </is>
      </c>
    </row>
    <row r="7">
      <c r="A7" s="4" t="inlineStr">
        <is>
          <t>GB 10y</t>
        </is>
      </c>
      <c r="B7" s="17" t="n">
        <v>1.0581</v>
      </c>
      <c r="C7" s="17" t="n">
        <v>0.5942</v>
      </c>
      <c r="D7" s="14" t="inlineStr">
        <is>
          <t>riksbank</t>
        </is>
      </c>
      <c r="E7" s="14" t="inlineStr">
        <is>
          <t>GBGVB10Y</t>
        </is>
      </c>
    </row>
    <row r="8">
      <c r="A8" s="4" t="inlineStr">
        <is>
          <t>AU 10y</t>
        </is>
      </c>
      <c r="B8" s="17" t="n">
        <v>0.6802</v>
      </c>
      <c r="C8" s="17" t="n">
        <v>0.503</v>
      </c>
      <c r="D8" s="14" t="inlineStr">
        <is>
          <t>rba</t>
        </is>
      </c>
      <c r="E8" s="14" t="inlineStr">
        <is>
          <t>FCMYGBAG10D</t>
        </is>
      </c>
    </row>
    <row r="9">
      <c r="A9" s="4" t="inlineStr">
        <is>
          <t>SE 10y</t>
        </is>
      </c>
      <c r="B9" s="17" t="n">
        <v>0.663</v>
      </c>
      <c r="C9" s="17" t="n">
        <v>0.4589</v>
      </c>
      <c r="D9" s="14" t="inlineStr">
        <is>
          <t>riksbank</t>
        </is>
      </c>
      <c r="E9" s="14" t="inlineStr">
        <is>
          <t>SEGVB10YC</t>
        </is>
      </c>
    </row>
    <row r="10">
      <c r="A10" s="4" t="inlineStr">
        <is>
          <t>EU 10y</t>
        </is>
      </c>
      <c r="B10" s="17" t="n">
        <v>0.647</v>
      </c>
      <c r="C10" s="17" t="n">
        <v>0.4735</v>
      </c>
      <c r="D10" s="14" t="inlineStr">
        <is>
          <t>riksbank</t>
        </is>
      </c>
      <c r="E10" s="14" t="inlineStr">
        <is>
          <t>DEGVB10Y</t>
        </is>
      </c>
    </row>
    <row r="11">
      <c r="A11" s="4" t="inlineStr">
        <is>
          <t>US 10y</t>
        </is>
      </c>
      <c r="B11" s="17" t="n">
        <v>0.638</v>
      </c>
      <c r="C11" s="17" t="n">
        <v>0.395</v>
      </c>
      <c r="D11" s="14" t="inlineStr">
        <is>
          <t>fred</t>
        </is>
      </c>
      <c r="E11" s="14" t="inlineStr">
        <is>
          <t>DGS10</t>
        </is>
      </c>
    </row>
    <row r="12">
      <c r="A12" s="4" t="inlineStr">
        <is>
          <t>NO 10y</t>
        </is>
      </c>
      <c r="B12" s="17" t="n">
        <v>0.5847</v>
      </c>
      <c r="C12" s="17" t="n">
        <v>0.3512</v>
      </c>
      <c r="D12" s="14" t="inlineStr">
        <is>
          <t>riksbank</t>
        </is>
      </c>
      <c r="E12" s="14" t="inlineStr">
        <is>
          <t>NOGVB10Y</t>
        </is>
      </c>
    </row>
    <row r="13">
      <c r="A13" s="4" t="inlineStr">
        <is>
          <t>JP 10y</t>
        </is>
      </c>
      <c r="B13" s="17" t="n">
        <v>0.2036</v>
      </c>
      <c r="C13" s="17" t="n">
        <v>0.06569999999999999</v>
      </c>
      <c r="D13" s="14" t="inlineStr">
        <is>
          <t>riksbank</t>
        </is>
      </c>
      <c r="E13" s="14" t="inlineStr">
        <is>
          <t>JPGVB10Y</t>
        </is>
      </c>
    </row>
    <row r="16" ht="44" customHeight="1">
      <c r="A16" s="7" t="inlineStr">
        <is>
          <t>Canada, Switzerland and New Zealand are absent because no free daily source for their 10y was reachable: the Bank of Canada benchmark series has stopped returning observations, the SNB bond cube is monthly and ends July 2025, and the RBNZ blocks automated requests. They are left out rather than proxied.</t>
        </is>
      </c>
    </row>
  </sheetData>
  <mergeCells count="1">
    <mergeCell ref="A16:F1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9"/>
  <sheetViews>
    <sheetView showGridLines="0" workbookViewId="0">
      <selection activeCell="A1" sqref="A1"/>
    </sheetView>
  </sheetViews>
  <sheetFormatPr baseColWidth="8" defaultRowHeight="15"/>
  <cols>
    <col width="14" customWidth="1" min="1" max="1"/>
    <col width="20" customWidth="1" min="2" max="2"/>
  </cols>
  <sheetData>
    <row r="1">
      <c r="A1" s="1" t="inlineStr">
        <is>
          <t>Priced in over 12 months</t>
        </is>
      </c>
    </row>
    <row r="2">
      <c r="A2" s="2" t="inlineStr">
        <is>
          <t>Basis points of policy move priced by the market, by currency.</t>
        </is>
      </c>
    </row>
    <row r="3" ht="4" customHeight="1">
      <c r="A3" s="3" t="n"/>
      <c r="B3" s="3" t="n"/>
      <c r="C3" s="3" t="n"/>
      <c r="D3" s="3" t="n"/>
      <c r="E3" s="3" t="n"/>
      <c r="F3" s="3" t="n"/>
    </row>
    <row r="4" ht="18" customHeight="1">
      <c r="A4" s="8" t="inlineStr">
        <is>
          <t>TRANSCRIBED FROM PUBLISHED RESEARCH — NOT OUR OWN ESTIMATE — NOT FOR REDISTRIBUTION</t>
        </is>
      </c>
      <c r="B4" s="3" t="n"/>
      <c r="C4" s="3" t="n"/>
      <c r="D4" s="3" t="n"/>
      <c r="E4" s="3" t="n"/>
      <c r="F4" s="3" t="n"/>
    </row>
    <row r="6" ht="30" customHeight="1">
      <c r="A6" s="9" t="inlineStr">
        <is>
          <t>Market</t>
        </is>
      </c>
      <c r="B6" s="10" t="inlineStr">
        <is>
          <t>bps priced in 1y</t>
        </is>
      </c>
    </row>
    <row r="7">
      <c r="A7" s="4" t="inlineStr">
        <is>
          <t>NZ</t>
        </is>
      </c>
      <c r="B7" s="19" t="n">
        <v>101</v>
      </c>
    </row>
    <row r="8">
      <c r="A8" s="4" t="inlineStr">
        <is>
          <t>SE</t>
        </is>
      </c>
      <c r="B8" s="19" t="n">
        <v>76</v>
      </c>
    </row>
    <row r="9">
      <c r="A9" s="4" t="inlineStr">
        <is>
          <t>GB</t>
        </is>
      </c>
      <c r="B9" s="19" t="n">
        <v>70</v>
      </c>
    </row>
    <row r="10">
      <c r="A10" s="4" t="inlineStr">
        <is>
          <t>CA</t>
        </is>
      </c>
      <c r="B10" s="19" t="n">
        <v>68</v>
      </c>
    </row>
    <row r="11">
      <c r="A11" s="4" t="inlineStr">
        <is>
          <t>EU</t>
        </is>
      </c>
      <c r="B11" s="19" t="n">
        <v>62</v>
      </c>
    </row>
    <row r="12">
      <c r="A12" s="4" t="inlineStr">
        <is>
          <t>JP</t>
        </is>
      </c>
      <c r="B12" s="19" t="n">
        <v>60</v>
      </c>
    </row>
    <row r="13">
      <c r="A13" s="4" t="inlineStr">
        <is>
          <t>CH</t>
        </is>
      </c>
      <c r="B13" s="19" t="n">
        <v>48</v>
      </c>
    </row>
    <row r="14">
      <c r="A14" s="4" t="inlineStr">
        <is>
          <t>US</t>
        </is>
      </c>
      <c r="B14" s="19" t="n">
        <v>38</v>
      </c>
    </row>
    <row r="15">
      <c r="A15" s="4" t="inlineStr">
        <is>
          <t>NO</t>
        </is>
      </c>
      <c r="B15" s="19" t="n">
        <v>18</v>
      </c>
    </row>
    <row r="16">
      <c r="A16" s="4" t="inlineStr">
        <is>
          <t>AU</t>
        </is>
      </c>
      <c r="B16" s="19" t="n">
        <v>13</v>
      </c>
    </row>
    <row r="19" ht="100" customHeight="1">
      <c r="A19" s="7" t="inlineStr">
        <is>
          <t>There is no free source for this series. It is OIS-implied policy pricing, which is terminal data. Every figure above was read off a published bar chart and is approximate to about a bar width. Government bill yields are not a substitute: they carry credit and liquidity that OIS does not, so they would move for reasons unrelated to policy expectations. Transcribed from Citi Research, © 2026 Citigroup Inc. No redistribution without Citigroup's written permission.</t>
        </is>
      </c>
    </row>
  </sheetData>
  <mergeCells count="1">
    <mergeCell ref="A19:C19"/>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6"/>
  <sheetViews>
    <sheetView showGridLines="0" workbookViewId="0">
      <selection activeCell="A1" sqref="A1"/>
    </sheetView>
  </sheetViews>
  <sheetFormatPr baseColWidth="8" defaultRowHeight="15"/>
  <cols>
    <col width="14" customWidth="1" min="1" max="1"/>
    <col width="19" customWidth="1" min="2" max="2"/>
    <col width="19" customWidth="1" min="3" max="3"/>
    <col width="19" customWidth="1" min="4" max="4"/>
  </cols>
  <sheetData>
    <row r="1">
      <c r="A1" s="1" t="inlineStr">
        <is>
          <t>10y sensitivity to Brent — ours against the published figures</t>
        </is>
      </c>
    </row>
    <row r="2">
      <c r="A2" s="2" t="inlineStr">
        <is>
          <t>Basis points per one per cent move in Brent. Ours are computed on weekly Friday-to-Friday changes since February 2026.</t>
        </is>
      </c>
    </row>
    <row r="3" ht="4" customHeight="1">
      <c r="A3" s="3" t="n"/>
      <c r="B3" s="3" t="n"/>
      <c r="C3" s="3" t="n"/>
      <c r="D3" s="3" t="n"/>
      <c r="E3" s="3" t="n"/>
      <c r="F3" s="3" t="n"/>
      <c r="G3" s="3" t="n"/>
      <c r="H3" s="3" t="n"/>
    </row>
    <row r="4" ht="18" customHeight="1">
      <c r="A4" s="8" t="inlineStr">
        <is>
          <t>TRANSCRIBED FROM PUBLISHED RESEARCH — NOT OUR OWN ESTIMATE — NOT FOR REDISTRIBUTION</t>
        </is>
      </c>
      <c r="B4" s="3" t="n"/>
      <c r="C4" s="3" t="n"/>
      <c r="D4" s="3" t="n"/>
      <c r="E4" s="3" t="n"/>
      <c r="F4" s="3" t="n"/>
      <c r="G4" s="3" t="n"/>
      <c r="H4" s="3" t="n"/>
    </row>
    <row r="6" ht="30" customHeight="1">
      <c r="A6" s="9" t="inlineStr">
        <is>
          <t>Market</t>
        </is>
      </c>
      <c r="B6" s="10" t="inlineStr">
        <is>
          <t>Ours (computed)</t>
        </is>
      </c>
      <c r="C6" s="10" t="inlineStr">
        <is>
          <t>Published (transcribed)</t>
        </is>
      </c>
      <c r="D6" s="10" t="inlineStr">
        <is>
          <t>Difference</t>
        </is>
      </c>
    </row>
    <row r="7">
      <c r="A7" s="4" t="inlineStr">
        <is>
          <t>GB</t>
        </is>
      </c>
      <c r="B7" s="17" t="n">
        <v>1.0581</v>
      </c>
      <c r="C7" s="17" t="n">
        <v>0.84</v>
      </c>
      <c r="D7" s="20">
        <f>B7-C7</f>
        <v/>
      </c>
    </row>
    <row r="8">
      <c r="A8" s="4" t="inlineStr">
        <is>
          <t>AU</t>
        </is>
      </c>
      <c r="B8" s="17" t="n">
        <v>0.6802</v>
      </c>
      <c r="C8" s="17" t="n">
        <v>0.5600000000000001</v>
      </c>
      <c r="D8" s="20">
        <f>B8-C8</f>
        <v/>
      </c>
    </row>
    <row r="9">
      <c r="A9" s="4" t="inlineStr">
        <is>
          <t>SE</t>
        </is>
      </c>
      <c r="B9" s="17" t="n">
        <v>0.663</v>
      </c>
      <c r="C9" s="17" t="n">
        <v>0.65</v>
      </c>
      <c r="D9" s="20">
        <f>B9-C9</f>
        <v/>
      </c>
    </row>
    <row r="10">
      <c r="A10" s="4" t="inlineStr">
        <is>
          <t>EU</t>
        </is>
      </c>
      <c r="B10" s="17" t="n">
        <v>0.647</v>
      </c>
      <c r="C10" s="17" t="n">
        <v>0.66</v>
      </c>
      <c r="D10" s="20">
        <f>B10-C10</f>
        <v/>
      </c>
    </row>
    <row r="11">
      <c r="A11" s="4" t="inlineStr">
        <is>
          <t>US</t>
        </is>
      </c>
      <c r="B11" s="17" t="n">
        <v>0.638</v>
      </c>
      <c r="C11" s="17" t="n">
        <v>0.3</v>
      </c>
      <c r="D11" s="20">
        <f>B11-C11</f>
        <v/>
      </c>
    </row>
    <row r="12">
      <c r="A12" s="4" t="inlineStr">
        <is>
          <t>NO</t>
        </is>
      </c>
      <c r="B12" s="17" t="n">
        <v>0.5847</v>
      </c>
      <c r="C12" s="17" t="n">
        <v>0.46</v>
      </c>
      <c r="D12" s="20">
        <f>B12-C12</f>
        <v/>
      </c>
    </row>
    <row r="13">
      <c r="A13" s="4" t="inlineStr">
        <is>
          <t>JP</t>
        </is>
      </c>
      <c r="B13" s="17" t="n">
        <v>0.2036</v>
      </c>
      <c r="C13" s="17" t="n">
        <v>0.27</v>
      </c>
      <c r="D13" s="20">
        <f>B13-C13</f>
        <v/>
      </c>
    </row>
    <row r="16" ht="110" customHeight="1">
      <c r="A16" s="7" t="inlineStr">
        <is>
          <t>The two agree on Sweden and the euro area almost exactly, and agree that Japan is the least sensitive market. They disagree on the United States: we get roughly twice the published figure, and across three sampling weekdays and two end dates our US beta never fell below 0.48. So the claim that the US is among the least sensitive does not survive our reproduction — Japan is the outlier, the US is mid-pack. Canada, Switzerland and New Zealand have no computed figure because no free daily 10y source was reachable for them. Transcribed from Citi Research, © 2026 Citigroup Inc. No redistribution without Citigroup's written permission.</t>
        </is>
      </c>
    </row>
  </sheetData>
  <mergeCells count="1">
    <mergeCell ref="A16:E1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941"/>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12" customWidth="1" min="1" max="1"/>
    <col width="17" customWidth="1" min="2" max="2"/>
    <col width="17"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s>
  <sheetData>
    <row r="1">
      <c r="A1" s="1" t="inlineStr">
        <is>
          <t>US and Asian equity markets</t>
        </is>
      </c>
    </row>
    <row r="2">
      <c r="A2" s="2" t="inlineStr">
        <is>
          <t>Daily close, USD total return, rebased to 100 at 2 January 2023. Columns B-G are the pulled prices; H-M rebase them.</t>
        </is>
      </c>
    </row>
    <row r="3" ht="4" customHeight="1">
      <c r="A3" s="3" t="n"/>
      <c r="B3" s="3" t="n"/>
      <c r="C3" s="3" t="n"/>
      <c r="D3" s="3" t="n"/>
      <c r="E3" s="3" t="n"/>
      <c r="F3" s="3" t="n"/>
      <c r="G3" s="3" t="n"/>
      <c r="H3" s="3" t="n"/>
      <c r="I3" s="3" t="n"/>
      <c r="J3" s="3" t="n"/>
      <c r="K3" s="3" t="n"/>
      <c r="L3" s="3" t="n"/>
      <c r="M3" s="3" t="n"/>
      <c r="N3" s="3" t="n"/>
    </row>
    <row r="6" ht="30" customHeight="1">
      <c r="A6" s="9" t="inlineStr">
        <is>
          <t>Date</t>
        </is>
      </c>
      <c r="B6" s="10" t="inlineStr">
        <is>
          <t>United States (VOO)</t>
        </is>
      </c>
      <c r="C6" s="10" t="inlineStr">
        <is>
          <t>Japan (EWJ)</t>
        </is>
      </c>
      <c r="D6" s="10" t="inlineStr">
        <is>
          <t>Taiwan (EWT)</t>
        </is>
      </c>
      <c r="E6" s="10" t="inlineStr">
        <is>
          <t>Korea (EWY)</t>
        </is>
      </c>
      <c r="F6" s="10" t="inlineStr">
        <is>
          <t>Hong Kong (EWH)</t>
        </is>
      </c>
      <c r="G6" s="10" t="inlineStr">
        <is>
          <t>China (GXC)</t>
        </is>
      </c>
      <c r="H6" s="10" t="inlineStr">
        <is>
          <t>United States (VOO), rebased</t>
        </is>
      </c>
      <c r="I6" s="10" t="inlineStr">
        <is>
          <t>Japan (EWJ), rebased</t>
        </is>
      </c>
      <c r="J6" s="10" t="inlineStr">
        <is>
          <t>Taiwan (EWT), rebased</t>
        </is>
      </c>
      <c r="K6" s="10" t="inlineStr">
        <is>
          <t>Korea (EWY), rebased</t>
        </is>
      </c>
      <c r="L6" s="10" t="inlineStr">
        <is>
          <t>Hong Kong (EWH), rebased</t>
        </is>
      </c>
      <c r="M6" s="10" t="inlineStr">
        <is>
          <t>China (GXC), rebased</t>
        </is>
      </c>
    </row>
    <row r="7">
      <c r="A7" s="11" t="n">
        <v>44928</v>
      </c>
      <c r="B7" s="12" t="n">
        <v>335.106201</v>
      </c>
      <c r="C7" s="12" t="n">
        <v>49.561993</v>
      </c>
      <c r="D7" s="12" t="n">
        <v>33.039524</v>
      </c>
      <c r="E7" s="12" t="n">
        <v>52.577053</v>
      </c>
      <c r="F7" s="12" t="n">
        <v>18.050663</v>
      </c>
      <c r="G7" s="12" t="n">
        <v>71.15004</v>
      </c>
      <c r="H7" s="13">
        <f>100*B7/B$7</f>
        <v/>
      </c>
      <c r="I7" s="13">
        <f>100*C7/C$7</f>
        <v/>
      </c>
      <c r="J7" s="13">
        <f>100*D7/D$7</f>
        <v/>
      </c>
      <c r="K7" s="13">
        <f>100*E7/E$7</f>
        <v/>
      </c>
      <c r="L7" s="13">
        <f>100*F7/F$7</f>
        <v/>
      </c>
      <c r="M7" s="13">
        <f>100*G7/G$7</f>
        <v/>
      </c>
    </row>
    <row r="8">
      <c r="A8" s="11" t="n">
        <v>44929</v>
      </c>
      <c r="B8" s="12" t="n">
        <v>333.818542</v>
      </c>
      <c r="C8" s="12" t="n">
        <v>49.798695</v>
      </c>
      <c r="D8" s="12" t="n">
        <v>33.204067</v>
      </c>
      <c r="E8" s="12" t="n">
        <v>51.599613</v>
      </c>
      <c r="F8" s="12" t="n">
        <v>18.488829</v>
      </c>
      <c r="G8" s="12" t="n">
        <v>73.474503</v>
      </c>
      <c r="H8" s="13">
        <f>100*B8/B$7</f>
        <v/>
      </c>
      <c r="I8" s="13">
        <f>100*C8/C$7</f>
        <v/>
      </c>
      <c r="J8" s="13">
        <f>100*D8/D$7</f>
        <v/>
      </c>
      <c r="K8" s="13">
        <f>100*E8/E$7</f>
        <v/>
      </c>
      <c r="L8" s="13">
        <f>100*F8/F$7</f>
        <v/>
      </c>
      <c r="M8" s="13">
        <f>100*G8/G$7</f>
        <v/>
      </c>
    </row>
    <row r="9">
      <c r="A9" s="11" t="n">
        <v>44930</v>
      </c>
      <c r="B9" s="12" t="n">
        <v>336.222107</v>
      </c>
      <c r="C9" s="12" t="n">
        <v>49.307079</v>
      </c>
      <c r="D9" s="12" t="n">
        <v>33.673</v>
      </c>
      <c r="E9" s="12" t="n">
        <v>53.638275</v>
      </c>
      <c r="F9" s="12" t="n">
        <v>19.055864</v>
      </c>
      <c r="G9" s="12" t="n">
        <v>77.14278400000001</v>
      </c>
      <c r="H9" s="13">
        <f>100*B9/B$7</f>
        <v/>
      </c>
      <c r="I9" s="13">
        <f>100*C9/C$7</f>
        <v/>
      </c>
      <c r="J9" s="13">
        <f>100*D9/D$7</f>
        <v/>
      </c>
      <c r="K9" s="13">
        <f>100*E9/E$7</f>
        <v/>
      </c>
      <c r="L9" s="13">
        <f>100*F9/F$7</f>
        <v/>
      </c>
      <c r="M9" s="13">
        <f>100*G9/G$7</f>
        <v/>
      </c>
    </row>
    <row r="10">
      <c r="A10" s="11" t="n">
        <v>44931</v>
      </c>
      <c r="B10" s="12" t="n">
        <v>332.549957</v>
      </c>
      <c r="C10" s="12" t="n">
        <v>48.64249</v>
      </c>
      <c r="D10" s="12" t="n">
        <v>33.426197</v>
      </c>
      <c r="E10" s="12" t="n">
        <v>53.070427</v>
      </c>
      <c r="F10" s="12" t="n">
        <v>18.884035</v>
      </c>
      <c r="G10" s="12" t="n">
        <v>77.369781</v>
      </c>
      <c r="H10" s="13">
        <f>100*B10/B$7</f>
        <v/>
      </c>
      <c r="I10" s="13">
        <f>100*C10/C$7</f>
        <v/>
      </c>
      <c r="J10" s="13">
        <f>100*D10/D$7</f>
        <v/>
      </c>
      <c r="K10" s="13">
        <f>100*E10/E$7</f>
        <v/>
      </c>
      <c r="L10" s="13">
        <f>100*F10/F$7</f>
        <v/>
      </c>
      <c r="M10" s="13">
        <f>100*G10/G$7</f>
        <v/>
      </c>
    </row>
    <row r="11">
      <c r="A11" s="11" t="n">
        <v>44932</v>
      </c>
      <c r="B11" s="12" t="n">
        <v>340.113556</v>
      </c>
      <c r="C11" s="12" t="n">
        <v>49.862419</v>
      </c>
      <c r="D11" s="12" t="n">
        <v>34.52861</v>
      </c>
      <c r="E11" s="12" t="n">
        <v>55.751411</v>
      </c>
      <c r="F11" s="12" t="n">
        <v>18.961357</v>
      </c>
      <c r="G11" s="12" t="n">
        <v>77.996284</v>
      </c>
      <c r="H11" s="13">
        <f>100*B11/B$7</f>
        <v/>
      </c>
      <c r="I11" s="13">
        <f>100*C11/C$7</f>
        <v/>
      </c>
      <c r="J11" s="13">
        <f>100*D11/D$7</f>
        <v/>
      </c>
      <c r="K11" s="13">
        <f>100*E11/E$7</f>
        <v/>
      </c>
      <c r="L11" s="13">
        <f>100*F11/F$7</f>
        <v/>
      </c>
      <c r="M11" s="13">
        <f>100*G11/G$7</f>
        <v/>
      </c>
    </row>
    <row r="12">
      <c r="A12" s="11" t="n">
        <v>44935</v>
      </c>
      <c r="B12" s="12" t="n">
        <v>339.86557</v>
      </c>
      <c r="C12" s="12" t="n">
        <v>49.971668</v>
      </c>
      <c r="D12" s="12" t="n">
        <v>35.055134</v>
      </c>
      <c r="E12" s="12" t="n">
        <v>56.924339</v>
      </c>
      <c r="F12" s="12" t="n">
        <v>18.866848</v>
      </c>
      <c r="G12" s="12" t="n">
        <v>78.177879</v>
      </c>
      <c r="H12" s="13">
        <f>100*B12/B$7</f>
        <v/>
      </c>
      <c r="I12" s="13">
        <f>100*C12/C$7</f>
        <v/>
      </c>
      <c r="J12" s="13">
        <f>100*D12/D$7</f>
        <v/>
      </c>
      <c r="K12" s="13">
        <f>100*E12/E$7</f>
        <v/>
      </c>
      <c r="L12" s="13">
        <f>100*F12/F$7</f>
        <v/>
      </c>
      <c r="M12" s="13">
        <f>100*G12/G$7</f>
        <v/>
      </c>
    </row>
    <row r="13">
      <c r="A13" s="11" t="n">
        <v>44936</v>
      </c>
      <c r="B13" s="12" t="n">
        <v>342.288208</v>
      </c>
      <c r="C13" s="12" t="n">
        <v>49.853317</v>
      </c>
      <c r="D13" s="12" t="n">
        <v>35.384209</v>
      </c>
      <c r="E13" s="12" t="n">
        <v>57.110519</v>
      </c>
      <c r="F13" s="12" t="n">
        <v>18.909809</v>
      </c>
      <c r="G13" s="12" t="n">
        <v>79.040474</v>
      </c>
      <c r="H13" s="13">
        <f>100*B13/B$7</f>
        <v/>
      </c>
      <c r="I13" s="13">
        <f>100*C13/C$7</f>
        <v/>
      </c>
      <c r="J13" s="13">
        <f>100*D13/D$7</f>
        <v/>
      </c>
      <c r="K13" s="13">
        <f>100*E13/E$7</f>
        <v/>
      </c>
      <c r="L13" s="13">
        <f>100*F13/F$7</f>
        <v/>
      </c>
      <c r="M13" s="13">
        <f>100*G13/G$7</f>
        <v/>
      </c>
    </row>
    <row r="14">
      <c r="A14" s="11" t="n">
        <v>44937</v>
      </c>
      <c r="B14" s="12" t="n">
        <v>346.656586</v>
      </c>
      <c r="C14" s="12" t="n">
        <v>50.253891</v>
      </c>
      <c r="D14" s="12" t="n">
        <v>35.359531</v>
      </c>
      <c r="E14" s="12" t="n">
        <v>57.25946</v>
      </c>
      <c r="F14" s="12" t="n">
        <v>18.84108</v>
      </c>
      <c r="G14" s="12" t="n">
        <v>79.52171300000001</v>
      </c>
      <c r="H14" s="13">
        <f>100*B14/B$7</f>
        <v/>
      </c>
      <c r="I14" s="13">
        <f>100*C14/C$7</f>
        <v/>
      </c>
      <c r="J14" s="13">
        <f>100*D14/D$7</f>
        <v/>
      </c>
      <c r="K14" s="13">
        <f>100*E14/E$7</f>
        <v/>
      </c>
      <c r="L14" s="13">
        <f>100*F14/F$7</f>
        <v/>
      </c>
      <c r="M14" s="13">
        <f>100*G14/G$7</f>
        <v/>
      </c>
    </row>
    <row r="15">
      <c r="A15" s="11" t="n">
        <v>44938</v>
      </c>
      <c r="B15" s="12" t="n">
        <v>347.953796</v>
      </c>
      <c r="C15" s="12" t="n">
        <v>51.464718</v>
      </c>
      <c r="D15" s="12" t="n">
        <v>35.655704</v>
      </c>
      <c r="E15" s="12" t="n">
        <v>57.678364</v>
      </c>
      <c r="F15" s="12" t="n">
        <v>19.004314</v>
      </c>
      <c r="G15" s="12" t="n">
        <v>79.094955</v>
      </c>
      <c r="H15" s="13">
        <f>100*B15/B$7</f>
        <v/>
      </c>
      <c r="I15" s="13">
        <f>100*C15/C$7</f>
        <v/>
      </c>
      <c r="J15" s="13">
        <f>100*D15/D$7</f>
        <v/>
      </c>
      <c r="K15" s="13">
        <f>100*E15/E$7</f>
        <v/>
      </c>
      <c r="L15" s="13">
        <f>100*F15/F$7</f>
        <v/>
      </c>
      <c r="M15" s="13">
        <f>100*G15/G$7</f>
        <v/>
      </c>
    </row>
    <row r="16">
      <c r="A16" s="11" t="n">
        <v>44939</v>
      </c>
      <c r="B16" s="12" t="n">
        <v>349.308228</v>
      </c>
      <c r="C16" s="12" t="n">
        <v>51.683216</v>
      </c>
      <c r="D16" s="12" t="n">
        <v>35.581661</v>
      </c>
      <c r="E16" s="12" t="n">
        <v>58.106579</v>
      </c>
      <c r="F16" s="12" t="n">
        <v>18.96995</v>
      </c>
      <c r="G16" s="12" t="n">
        <v>80.429703</v>
      </c>
      <c r="H16" s="13">
        <f>100*B16/B$7</f>
        <v/>
      </c>
      <c r="I16" s="13">
        <f>100*C16/C$7</f>
        <v/>
      </c>
      <c r="J16" s="13">
        <f>100*D16/D$7</f>
        <v/>
      </c>
      <c r="K16" s="13">
        <f>100*E16/E$7</f>
        <v/>
      </c>
      <c r="L16" s="13">
        <f>100*F16/F$7</f>
        <v/>
      </c>
      <c r="M16" s="13">
        <f>100*G16/G$7</f>
        <v/>
      </c>
    </row>
    <row r="17">
      <c r="A17" s="11" t="n">
        <v>44942</v>
      </c>
      <c r="B17" s="12" t="n">
        <v>349.308228</v>
      </c>
      <c r="C17" s="12" t="n">
        <v>51.683216</v>
      </c>
      <c r="D17" s="12" t="n">
        <v>35.581661</v>
      </c>
      <c r="E17" s="12" t="n">
        <v>58.106579</v>
      </c>
      <c r="F17" s="12" t="n">
        <v>18.96995</v>
      </c>
      <c r="G17" s="12" t="n">
        <v>80.429703</v>
      </c>
      <c r="H17" s="13">
        <f>100*B17/B$7</f>
        <v/>
      </c>
      <c r="I17" s="13">
        <f>100*C17/C$7</f>
        <v/>
      </c>
      <c r="J17" s="13">
        <f>100*D17/D$7</f>
        <v/>
      </c>
      <c r="K17" s="13">
        <f>100*E17/E$7</f>
        <v/>
      </c>
      <c r="L17" s="13">
        <f>100*F17/F$7</f>
        <v/>
      </c>
      <c r="M17" s="13">
        <f>100*G17/G$7</f>
        <v/>
      </c>
    </row>
    <row r="18">
      <c r="A18" s="11" t="n">
        <v>44943</v>
      </c>
      <c r="B18" s="12" t="n">
        <v>348.774078</v>
      </c>
      <c r="C18" s="12" t="n">
        <v>52.174828</v>
      </c>
      <c r="D18" s="12" t="n">
        <v>35.877827</v>
      </c>
      <c r="E18" s="12" t="n">
        <v>57.948326</v>
      </c>
      <c r="F18" s="12" t="n">
        <v>18.763754</v>
      </c>
      <c r="G18" s="12" t="n">
        <v>79.294724</v>
      </c>
      <c r="H18" s="13">
        <f>100*B18/B$7</f>
        <v/>
      </c>
      <c r="I18" s="13">
        <f>100*C18/C$7</f>
        <v/>
      </c>
      <c r="J18" s="13">
        <f>100*D18/D$7</f>
        <v/>
      </c>
      <c r="K18" s="13">
        <f>100*E18/E$7</f>
        <v/>
      </c>
      <c r="L18" s="13">
        <f>100*F18/F$7</f>
        <v/>
      </c>
      <c r="M18" s="13">
        <f>100*G18/G$7</f>
        <v/>
      </c>
    </row>
    <row r="19">
      <c r="A19" s="11" t="n">
        <v>44944</v>
      </c>
      <c r="B19" s="12" t="n">
        <v>343.108582</v>
      </c>
      <c r="C19" s="12" t="n">
        <v>52.101997</v>
      </c>
      <c r="D19" s="12" t="n">
        <v>35.713291</v>
      </c>
      <c r="E19" s="12" t="n">
        <v>57.082592</v>
      </c>
      <c r="F19" s="12" t="n">
        <v>18.695023</v>
      </c>
      <c r="G19" s="12" t="n">
        <v>78.486603</v>
      </c>
      <c r="H19" s="13">
        <f>100*B19/B$7</f>
        <v/>
      </c>
      <c r="I19" s="13">
        <f>100*C19/C$7</f>
        <v/>
      </c>
      <c r="J19" s="13">
        <f>100*D19/D$7</f>
        <v/>
      </c>
      <c r="K19" s="13">
        <f>100*E19/E$7</f>
        <v/>
      </c>
      <c r="L19" s="13">
        <f>100*F19/F$7</f>
        <v/>
      </c>
      <c r="M19" s="13">
        <f>100*G19/G$7</f>
        <v/>
      </c>
    </row>
    <row r="20">
      <c r="A20" s="11" t="n">
        <v>44945</v>
      </c>
      <c r="B20" s="12" t="n">
        <v>340.638214</v>
      </c>
      <c r="C20" s="12" t="n">
        <v>52.074696</v>
      </c>
      <c r="D20" s="12" t="n">
        <v>35.672153</v>
      </c>
      <c r="E20" s="12" t="n">
        <v>57.873852</v>
      </c>
      <c r="F20" s="12" t="n">
        <v>18.935585</v>
      </c>
      <c r="G20" s="12" t="n">
        <v>79.803185</v>
      </c>
      <c r="H20" s="13">
        <f>100*B20/B$7</f>
        <v/>
      </c>
      <c r="I20" s="13">
        <f>100*C20/C$7</f>
        <v/>
      </c>
      <c r="J20" s="13">
        <f>100*D20/D$7</f>
        <v/>
      </c>
      <c r="K20" s="13">
        <f>100*E20/E$7</f>
        <v/>
      </c>
      <c r="L20" s="13">
        <f>100*F20/F$7</f>
        <v/>
      </c>
      <c r="M20" s="13">
        <f>100*G20/G$7</f>
        <v/>
      </c>
    </row>
    <row r="21">
      <c r="A21" s="11" t="n">
        <v>44946</v>
      </c>
      <c r="B21" s="12" t="n">
        <v>346.904602</v>
      </c>
      <c r="C21" s="12" t="n">
        <v>52.666439</v>
      </c>
      <c r="D21" s="12" t="n">
        <v>36.354996</v>
      </c>
      <c r="E21" s="12" t="n">
        <v>58.869915</v>
      </c>
      <c r="F21" s="12" t="n">
        <v>19.150372</v>
      </c>
      <c r="G21" s="12" t="n">
        <v>81.455727</v>
      </c>
      <c r="H21" s="13">
        <f>100*B21/B$7</f>
        <v/>
      </c>
      <c r="I21" s="13">
        <f>100*C21/C$7</f>
        <v/>
      </c>
      <c r="J21" s="13">
        <f>100*D21/D$7</f>
        <v/>
      </c>
      <c r="K21" s="13">
        <f>100*E21/E$7</f>
        <v/>
      </c>
      <c r="L21" s="13">
        <f>100*F21/F$7</f>
        <v/>
      </c>
      <c r="M21" s="13">
        <f>100*G21/G$7</f>
        <v/>
      </c>
    </row>
    <row r="22">
      <c r="A22" s="11" t="n">
        <v>44949</v>
      </c>
      <c r="B22" s="12" t="n">
        <v>351.129913</v>
      </c>
      <c r="C22" s="12" t="n">
        <v>52.520771</v>
      </c>
      <c r="D22" s="12" t="n">
        <v>36.889748</v>
      </c>
      <c r="E22" s="12" t="n">
        <v>59.484306</v>
      </c>
      <c r="F22" s="12" t="n">
        <v>19.408115</v>
      </c>
      <c r="G22" s="12" t="n">
        <v>82.109482</v>
      </c>
      <c r="H22" s="13">
        <f>100*B22/B$7</f>
        <v/>
      </c>
      <c r="I22" s="13">
        <f>100*C22/C$7</f>
        <v/>
      </c>
      <c r="J22" s="13">
        <f>100*D22/D$7</f>
        <v/>
      </c>
      <c r="K22" s="13">
        <f>100*E22/E$7</f>
        <v/>
      </c>
      <c r="L22" s="13">
        <f>100*F22/F$7</f>
        <v/>
      </c>
      <c r="M22" s="13">
        <f>100*G22/G$7</f>
        <v/>
      </c>
    </row>
    <row r="23">
      <c r="A23" s="11" t="n">
        <v>44950</v>
      </c>
      <c r="B23" s="12" t="n">
        <v>350.757935</v>
      </c>
      <c r="C23" s="12" t="n">
        <v>52.875839</v>
      </c>
      <c r="D23" s="12" t="n">
        <v>36.996696</v>
      </c>
      <c r="E23" s="12" t="n">
        <v>59.307434</v>
      </c>
      <c r="F23" s="12" t="n">
        <v>19.365158</v>
      </c>
      <c r="G23" s="12" t="n">
        <v>81.964203</v>
      </c>
      <c r="H23" s="13">
        <f>100*B23/B$7</f>
        <v/>
      </c>
      <c r="I23" s="13">
        <f>100*C23/C$7</f>
        <v/>
      </c>
      <c r="J23" s="13">
        <f>100*D23/D$7</f>
        <v/>
      </c>
      <c r="K23" s="13">
        <f>100*E23/E$7</f>
        <v/>
      </c>
      <c r="L23" s="13">
        <f>100*F23/F$7</f>
        <v/>
      </c>
      <c r="M23" s="13">
        <f>100*G23/G$7</f>
        <v/>
      </c>
    </row>
    <row r="24">
      <c r="A24" s="11" t="n">
        <v>44951</v>
      </c>
      <c r="B24" s="12" t="n">
        <v>350.881927</v>
      </c>
      <c r="C24" s="12" t="n">
        <v>53.513111</v>
      </c>
      <c r="D24" s="12" t="n">
        <v>37.021381</v>
      </c>
      <c r="E24" s="12" t="n">
        <v>59.447071</v>
      </c>
      <c r="F24" s="12" t="n">
        <v>19.399519</v>
      </c>
      <c r="G24" s="12" t="n">
        <v>82.40004</v>
      </c>
      <c r="H24" s="13">
        <f>100*B24/B$7</f>
        <v/>
      </c>
      <c r="I24" s="13">
        <f>100*C24/C$7</f>
        <v/>
      </c>
      <c r="J24" s="13">
        <f>100*D24/D$7</f>
        <v/>
      </c>
      <c r="K24" s="13">
        <f>100*E24/E$7</f>
        <v/>
      </c>
      <c r="L24" s="13">
        <f>100*F24/F$7</f>
        <v/>
      </c>
      <c r="M24" s="13">
        <f>100*G24/G$7</f>
        <v/>
      </c>
    </row>
    <row r="25">
      <c r="A25" s="11" t="n">
        <v>44952</v>
      </c>
      <c r="B25" s="12" t="n">
        <v>354.63031</v>
      </c>
      <c r="C25" s="12" t="n">
        <v>53.40387</v>
      </c>
      <c r="D25" s="12" t="n">
        <v>37.457413</v>
      </c>
      <c r="E25" s="12" t="n">
        <v>60.592072</v>
      </c>
      <c r="F25" s="12" t="n">
        <v>19.399519</v>
      </c>
      <c r="G25" s="12" t="n">
        <v>83.57135</v>
      </c>
      <c r="H25" s="13">
        <f>100*B25/B$7</f>
        <v/>
      </c>
      <c r="I25" s="13">
        <f>100*C25/C$7</f>
        <v/>
      </c>
      <c r="J25" s="13">
        <f>100*D25/D$7</f>
        <v/>
      </c>
      <c r="K25" s="13">
        <f>100*E25/E$7</f>
        <v/>
      </c>
      <c r="L25" s="13">
        <f>100*F25/F$7</f>
        <v/>
      </c>
      <c r="M25" s="13">
        <f>100*G25/G$7</f>
        <v/>
      </c>
    </row>
    <row r="26">
      <c r="A26" s="11" t="n">
        <v>44953</v>
      </c>
      <c r="B26" s="12" t="n">
        <v>355.641388</v>
      </c>
      <c r="C26" s="12" t="n">
        <v>53.549522</v>
      </c>
      <c r="D26" s="12" t="n">
        <v>37.334007</v>
      </c>
      <c r="E26" s="12" t="n">
        <v>60.889965</v>
      </c>
      <c r="F26" s="12" t="n">
        <v>19.287832</v>
      </c>
      <c r="G26" s="12" t="n">
        <v>83.37159</v>
      </c>
      <c r="H26" s="13">
        <f>100*B26/B$7</f>
        <v/>
      </c>
      <c r="I26" s="13">
        <f>100*C26/C$7</f>
        <v/>
      </c>
      <c r="J26" s="13">
        <f>100*D26/D$7</f>
        <v/>
      </c>
      <c r="K26" s="13">
        <f>100*E26/E$7</f>
        <v/>
      </c>
      <c r="L26" s="13">
        <f>100*F26/F$7</f>
        <v/>
      </c>
      <c r="M26" s="13">
        <f>100*G26/G$7</f>
        <v/>
      </c>
    </row>
    <row r="27">
      <c r="A27" s="11" t="n">
        <v>44956</v>
      </c>
      <c r="B27" s="12" t="n">
        <v>351.196716</v>
      </c>
      <c r="C27" s="12" t="n">
        <v>53.230892</v>
      </c>
      <c r="D27" s="12" t="n">
        <v>36.906204</v>
      </c>
      <c r="E27" s="12" t="n">
        <v>59.549473</v>
      </c>
      <c r="F27" s="12" t="n">
        <v>19.184734</v>
      </c>
      <c r="G27" s="12" t="n">
        <v>80.347984</v>
      </c>
      <c r="H27" s="13">
        <f>100*B27/B$7</f>
        <v/>
      </c>
      <c r="I27" s="13">
        <f>100*C27/C$7</f>
        <v/>
      </c>
      <c r="J27" s="13">
        <f>100*D27/D$7</f>
        <v/>
      </c>
      <c r="K27" s="13">
        <f>100*E27/E$7</f>
        <v/>
      </c>
      <c r="L27" s="13">
        <f>100*F27/F$7</f>
        <v/>
      </c>
      <c r="M27" s="13">
        <f>100*G27/G$7</f>
        <v/>
      </c>
    </row>
    <row r="28">
      <c r="A28" s="11" t="n">
        <v>44957</v>
      </c>
      <c r="B28" s="12" t="n">
        <v>356.185028</v>
      </c>
      <c r="C28" s="12" t="n">
        <v>53.412968</v>
      </c>
      <c r="D28" s="12" t="n">
        <v>36.86507</v>
      </c>
      <c r="E28" s="12" t="n">
        <v>59.084023</v>
      </c>
      <c r="F28" s="12" t="n">
        <v>18.944174</v>
      </c>
      <c r="G28" s="12" t="n">
        <v>79.957542</v>
      </c>
      <c r="H28" s="13">
        <f>100*B28/B$7</f>
        <v/>
      </c>
      <c r="I28" s="13">
        <f>100*C28/C$7</f>
        <v/>
      </c>
      <c r="J28" s="13">
        <f>100*D28/D$7</f>
        <v/>
      </c>
      <c r="K28" s="13">
        <f>100*E28/E$7</f>
        <v/>
      </c>
      <c r="L28" s="13">
        <f>100*F28/F$7</f>
        <v/>
      </c>
      <c r="M28" s="13">
        <f>100*G28/G$7</f>
        <v/>
      </c>
    </row>
    <row r="29">
      <c r="A29" s="11" t="n">
        <v>44958</v>
      </c>
      <c r="B29" s="12" t="n">
        <v>360.08606</v>
      </c>
      <c r="C29" s="12" t="n">
        <v>53.595051</v>
      </c>
      <c r="D29" s="12" t="n">
        <v>37.63018</v>
      </c>
      <c r="E29" s="12" t="n">
        <v>60.610691</v>
      </c>
      <c r="F29" s="12" t="n">
        <v>19.116007</v>
      </c>
      <c r="G29" s="12" t="n">
        <v>81.90065</v>
      </c>
      <c r="H29" s="13">
        <f>100*B29/B$7</f>
        <v/>
      </c>
      <c r="I29" s="13">
        <f>100*C29/C$7</f>
        <v/>
      </c>
      <c r="J29" s="13">
        <f>100*D29/D$7</f>
        <v/>
      </c>
      <c r="K29" s="13">
        <f>100*E29/E$7</f>
        <v/>
      </c>
      <c r="L29" s="13">
        <f>100*F29/F$7</f>
        <v/>
      </c>
      <c r="M29" s="13">
        <f>100*G29/G$7</f>
        <v/>
      </c>
    </row>
    <row r="30">
      <c r="A30" s="11" t="n">
        <v>44959</v>
      </c>
      <c r="B30" s="12" t="n">
        <v>365.246063</v>
      </c>
      <c r="C30" s="12" t="n">
        <v>53.467583</v>
      </c>
      <c r="D30" s="12" t="n">
        <v>37.753578</v>
      </c>
      <c r="E30" s="12" t="n">
        <v>60.601379</v>
      </c>
      <c r="F30" s="12" t="n">
        <v>18.918402</v>
      </c>
      <c r="G30" s="12" t="n">
        <v>80.53866600000001</v>
      </c>
      <c r="H30" s="13">
        <f>100*B30/B$7</f>
        <v/>
      </c>
      <c r="I30" s="13">
        <f>100*C30/C$7</f>
        <v/>
      </c>
      <c r="J30" s="13">
        <f>100*D30/D$7</f>
        <v/>
      </c>
      <c r="K30" s="13">
        <f>100*E30/E$7</f>
        <v/>
      </c>
      <c r="L30" s="13">
        <f>100*F30/F$7</f>
        <v/>
      </c>
      <c r="M30" s="13">
        <f>100*G30/G$7</f>
        <v/>
      </c>
    </row>
    <row r="31">
      <c r="A31" s="11" t="n">
        <v>44960</v>
      </c>
      <c r="B31" s="12" t="n">
        <v>361.345032</v>
      </c>
      <c r="C31" s="12" t="n">
        <v>52.857632</v>
      </c>
      <c r="D31" s="12" t="n">
        <v>37.070744</v>
      </c>
      <c r="E31" s="12" t="n">
        <v>59.018856</v>
      </c>
      <c r="F31" s="12" t="n">
        <v>18.763754</v>
      </c>
      <c r="G31" s="12" t="n">
        <v>78.659119</v>
      </c>
      <c r="H31" s="13">
        <f>100*B31/B$7</f>
        <v/>
      </c>
      <c r="I31" s="13">
        <f>100*C31/C$7</f>
        <v/>
      </c>
      <c r="J31" s="13">
        <f>100*D31/D$7</f>
        <v/>
      </c>
      <c r="K31" s="13">
        <f>100*E31/E$7</f>
        <v/>
      </c>
      <c r="L31" s="13">
        <f>100*F31/F$7</f>
        <v/>
      </c>
      <c r="M31" s="13">
        <f>100*G31/G$7</f>
        <v/>
      </c>
    </row>
    <row r="32">
      <c r="A32" s="11" t="n">
        <v>44963</v>
      </c>
      <c r="B32" s="12" t="n">
        <v>359.256256</v>
      </c>
      <c r="C32" s="12" t="n">
        <v>52.375114</v>
      </c>
      <c r="D32" s="12" t="n">
        <v>36.494854</v>
      </c>
      <c r="E32" s="12" t="n">
        <v>57.333935</v>
      </c>
      <c r="F32" s="12" t="n">
        <v>18.643476</v>
      </c>
      <c r="G32" s="12" t="n">
        <v>77.56952699999999</v>
      </c>
      <c r="H32" s="13">
        <f>100*B32/B$7</f>
        <v/>
      </c>
      <c r="I32" s="13">
        <f>100*C32/C$7</f>
        <v/>
      </c>
      <c r="J32" s="13">
        <f>100*D32/D$7</f>
        <v/>
      </c>
      <c r="K32" s="13">
        <f>100*E32/E$7</f>
        <v/>
      </c>
      <c r="L32" s="13">
        <f>100*F32/F$7</f>
        <v/>
      </c>
      <c r="M32" s="13">
        <f>100*G32/G$7</f>
        <v/>
      </c>
    </row>
    <row r="33">
      <c r="A33" s="11" t="n">
        <v>44964</v>
      </c>
      <c r="B33" s="12" t="n">
        <v>363.891663</v>
      </c>
      <c r="C33" s="12" t="n">
        <v>53.139847</v>
      </c>
      <c r="D33" s="12" t="n">
        <v>36.963791</v>
      </c>
      <c r="E33" s="12" t="n">
        <v>58.413776</v>
      </c>
      <c r="F33" s="12" t="n">
        <v>18.557558</v>
      </c>
      <c r="G33" s="12" t="n">
        <v>78.114334</v>
      </c>
      <c r="H33" s="13">
        <f>100*B33/B$7</f>
        <v/>
      </c>
      <c r="I33" s="13">
        <f>100*C33/C$7</f>
        <v/>
      </c>
      <c r="J33" s="13">
        <f>100*D33/D$7</f>
        <v/>
      </c>
      <c r="K33" s="13">
        <f>100*E33/E$7</f>
        <v/>
      </c>
      <c r="L33" s="13">
        <f>100*F33/F$7</f>
        <v/>
      </c>
      <c r="M33" s="13">
        <f>100*G33/G$7</f>
        <v/>
      </c>
    </row>
    <row r="34">
      <c r="A34" s="11" t="n">
        <v>44965</v>
      </c>
      <c r="B34" s="12" t="n">
        <v>359.904724</v>
      </c>
      <c r="C34" s="12" t="n">
        <v>52.557198</v>
      </c>
      <c r="D34" s="12" t="n">
        <v>36.988472</v>
      </c>
      <c r="E34" s="12" t="n">
        <v>58.562717</v>
      </c>
      <c r="F34" s="12" t="n">
        <v>18.45446</v>
      </c>
      <c r="G34" s="12" t="n">
        <v>77.406097</v>
      </c>
      <c r="H34" s="13">
        <f>100*B34/B$7</f>
        <v/>
      </c>
      <c r="I34" s="13">
        <f>100*C34/C$7</f>
        <v/>
      </c>
      <c r="J34" s="13">
        <f>100*D34/D$7</f>
        <v/>
      </c>
      <c r="K34" s="13">
        <f>100*E34/E$7</f>
        <v/>
      </c>
      <c r="L34" s="13">
        <f>100*F34/F$7</f>
        <v/>
      </c>
      <c r="M34" s="13">
        <f>100*G34/G$7</f>
        <v/>
      </c>
    </row>
    <row r="35">
      <c r="A35" s="11" t="n">
        <v>44966</v>
      </c>
      <c r="B35" s="12" t="n">
        <v>356.824036</v>
      </c>
      <c r="C35" s="12" t="n">
        <v>52.61182</v>
      </c>
      <c r="D35" s="12" t="n">
        <v>37.136555</v>
      </c>
      <c r="E35" s="12" t="n">
        <v>58.385849</v>
      </c>
      <c r="F35" s="12" t="n">
        <v>18.737978</v>
      </c>
      <c r="G35" s="12" t="n">
        <v>78.92243999999999</v>
      </c>
      <c r="H35" s="13">
        <f>100*B35/B$7</f>
        <v/>
      </c>
      <c r="I35" s="13">
        <f>100*C35/C$7</f>
        <v/>
      </c>
      <c r="J35" s="13">
        <f>100*D35/D$7</f>
        <v/>
      </c>
      <c r="K35" s="13">
        <f>100*E35/E$7</f>
        <v/>
      </c>
      <c r="L35" s="13">
        <f>100*F35/F$7</f>
        <v/>
      </c>
      <c r="M35" s="13">
        <f>100*G35/G$7</f>
        <v/>
      </c>
    </row>
    <row r="36">
      <c r="A36" s="11" t="n">
        <v>44967</v>
      </c>
      <c r="B36" s="12" t="n">
        <v>357.692017</v>
      </c>
      <c r="C36" s="12" t="n">
        <v>52.912247</v>
      </c>
      <c r="D36" s="12" t="n">
        <v>36.939114</v>
      </c>
      <c r="E36" s="12" t="n">
        <v>58.16243</v>
      </c>
      <c r="F36" s="12" t="n">
        <v>18.463055</v>
      </c>
      <c r="G36" s="12" t="n">
        <v>76.815895</v>
      </c>
      <c r="H36" s="13">
        <f>100*B36/B$7</f>
        <v/>
      </c>
      <c r="I36" s="13">
        <f>100*C36/C$7</f>
        <v/>
      </c>
      <c r="J36" s="13">
        <f>100*D36/D$7</f>
        <v/>
      </c>
      <c r="K36" s="13">
        <f>100*E36/E$7</f>
        <v/>
      </c>
      <c r="L36" s="13">
        <f>100*F36/F$7</f>
        <v/>
      </c>
      <c r="M36" s="13">
        <f>100*G36/G$7</f>
        <v/>
      </c>
    </row>
    <row r="37">
      <c r="A37" s="11" t="n">
        <v>44970</v>
      </c>
      <c r="B37" s="12" t="n">
        <v>361.821991</v>
      </c>
      <c r="C37" s="12" t="n">
        <v>52.884933</v>
      </c>
      <c r="D37" s="12" t="n">
        <v>37.177689</v>
      </c>
      <c r="E37" s="12" t="n">
        <v>58.283451</v>
      </c>
      <c r="F37" s="12" t="n">
        <v>18.50601</v>
      </c>
      <c r="G37" s="12" t="n">
        <v>78.250519</v>
      </c>
      <c r="H37" s="13">
        <f>100*B37/B$7</f>
        <v/>
      </c>
      <c r="I37" s="13">
        <f>100*C37/C$7</f>
        <v/>
      </c>
      <c r="J37" s="13">
        <f>100*D37/D$7</f>
        <v/>
      </c>
      <c r="K37" s="13">
        <f>100*E37/E$7</f>
        <v/>
      </c>
      <c r="L37" s="13">
        <f>100*F37/F$7</f>
        <v/>
      </c>
      <c r="M37" s="13">
        <f>100*G37/G$7</f>
        <v/>
      </c>
    </row>
    <row r="38">
      <c r="A38" s="11" t="n">
        <v>44971</v>
      </c>
      <c r="B38" s="12" t="n">
        <v>361.688416</v>
      </c>
      <c r="C38" s="12" t="n">
        <v>52.620922</v>
      </c>
      <c r="D38" s="12" t="n">
        <v>37.259964</v>
      </c>
      <c r="E38" s="12" t="n">
        <v>58.274139</v>
      </c>
      <c r="F38" s="12" t="n">
        <v>18.531784</v>
      </c>
      <c r="G38" s="12" t="n">
        <v>77.451492</v>
      </c>
      <c r="H38" s="13">
        <f>100*B38/B$7</f>
        <v/>
      </c>
      <c r="I38" s="13">
        <f>100*C38/C$7</f>
        <v/>
      </c>
      <c r="J38" s="13">
        <f>100*D38/D$7</f>
        <v/>
      </c>
      <c r="K38" s="13">
        <f>100*E38/E$7</f>
        <v/>
      </c>
      <c r="L38" s="13">
        <f>100*F38/F$7</f>
        <v/>
      </c>
      <c r="M38" s="13">
        <f>100*G38/G$7</f>
        <v/>
      </c>
    </row>
    <row r="39">
      <c r="A39" s="11" t="n">
        <v>44972</v>
      </c>
      <c r="B39" s="12" t="n">
        <v>362.899719</v>
      </c>
      <c r="C39" s="12" t="n">
        <v>52.101997</v>
      </c>
      <c r="D39" s="12" t="n">
        <v>36.527763</v>
      </c>
      <c r="E39" s="12" t="n">
        <v>56.589218</v>
      </c>
      <c r="F39" s="12" t="n">
        <v>18.239674</v>
      </c>
      <c r="G39" s="12" t="n">
        <v>76.743256</v>
      </c>
      <c r="H39" s="13">
        <f>100*B39/B$7</f>
        <v/>
      </c>
      <c r="I39" s="13">
        <f>100*C39/C$7</f>
        <v/>
      </c>
      <c r="J39" s="13">
        <f>100*D39/D$7</f>
        <v/>
      </c>
      <c r="K39" s="13">
        <f>100*E39/E$7</f>
        <v/>
      </c>
      <c r="L39" s="13">
        <f>100*F39/F$7</f>
        <v/>
      </c>
      <c r="M39" s="13">
        <f>100*G39/G$7</f>
        <v/>
      </c>
    </row>
    <row r="40">
      <c r="A40" s="11" t="n">
        <v>44973</v>
      </c>
      <c r="B40" s="12" t="n">
        <v>357.854126</v>
      </c>
      <c r="C40" s="12" t="n">
        <v>51.929024</v>
      </c>
      <c r="D40" s="12" t="n">
        <v>36.486626</v>
      </c>
      <c r="E40" s="12" t="n">
        <v>57.203609</v>
      </c>
      <c r="F40" s="12" t="n">
        <v>18.239674</v>
      </c>
      <c r="G40" s="12" t="n">
        <v>76.634308</v>
      </c>
      <c r="H40" s="13">
        <f>100*B40/B$7</f>
        <v/>
      </c>
      <c r="I40" s="13">
        <f>100*C40/C$7</f>
        <v/>
      </c>
      <c r="J40" s="13">
        <f>100*D40/D$7</f>
        <v/>
      </c>
      <c r="K40" s="13">
        <f>100*E40/E$7</f>
        <v/>
      </c>
      <c r="L40" s="13">
        <f>100*F40/F$7</f>
        <v/>
      </c>
      <c r="M40" s="13">
        <f>100*G40/G$7</f>
        <v/>
      </c>
    </row>
    <row r="41">
      <c r="A41" s="11" t="n">
        <v>44974</v>
      </c>
      <c r="B41" s="12" t="n">
        <v>356.929016</v>
      </c>
      <c r="C41" s="12" t="n">
        <v>51.91082</v>
      </c>
      <c r="D41" s="12" t="n">
        <v>36.519535</v>
      </c>
      <c r="E41" s="12" t="n">
        <v>56.682308</v>
      </c>
      <c r="F41" s="12" t="n">
        <v>17.981934</v>
      </c>
      <c r="G41" s="12" t="n">
        <v>75.036247</v>
      </c>
      <c r="H41" s="13">
        <f>100*B41/B$7</f>
        <v/>
      </c>
      <c r="I41" s="13">
        <f>100*C41/C$7</f>
        <v/>
      </c>
      <c r="J41" s="13">
        <f>100*D41/D$7</f>
        <v/>
      </c>
      <c r="K41" s="13">
        <f>100*E41/E$7</f>
        <v/>
      </c>
      <c r="L41" s="13">
        <f>100*F41/F$7</f>
        <v/>
      </c>
      <c r="M41" s="13">
        <f>100*G41/G$7</f>
        <v/>
      </c>
    </row>
    <row r="42">
      <c r="A42" s="11" t="n">
        <v>44977</v>
      </c>
      <c r="B42" s="12" t="n">
        <v>356.929016</v>
      </c>
      <c r="C42" s="12" t="n">
        <v>51.91082</v>
      </c>
      <c r="D42" s="12" t="n">
        <v>36.519535</v>
      </c>
      <c r="E42" s="12" t="n">
        <v>56.682308</v>
      </c>
      <c r="F42" s="12" t="n">
        <v>17.981934</v>
      </c>
      <c r="G42" s="12" t="n">
        <v>75.036247</v>
      </c>
      <c r="H42" s="13">
        <f>100*B42/B$7</f>
        <v/>
      </c>
      <c r="I42" s="13">
        <f>100*C42/C$7</f>
        <v/>
      </c>
      <c r="J42" s="13">
        <f>100*D42/D$7</f>
        <v/>
      </c>
      <c r="K42" s="13">
        <f>100*E42/E$7</f>
        <v/>
      </c>
      <c r="L42" s="13">
        <f>100*F42/F$7</f>
        <v/>
      </c>
      <c r="M42" s="13">
        <f>100*G42/G$7</f>
        <v/>
      </c>
    </row>
    <row r="43">
      <c r="A43" s="11" t="n">
        <v>44978</v>
      </c>
      <c r="B43" s="12" t="n">
        <v>349.842285</v>
      </c>
      <c r="C43" s="12" t="n">
        <v>51.273533</v>
      </c>
      <c r="D43" s="12" t="n">
        <v>36.099957</v>
      </c>
      <c r="E43" s="12" t="n">
        <v>55.956207</v>
      </c>
      <c r="F43" s="12" t="n">
        <v>17.878832</v>
      </c>
      <c r="G43" s="12" t="n">
        <v>74.482376</v>
      </c>
      <c r="H43" s="13">
        <f>100*B43/B$7</f>
        <v/>
      </c>
      <c r="I43" s="13">
        <f>100*C43/C$7</f>
        <v/>
      </c>
      <c r="J43" s="13">
        <f>100*D43/D$7</f>
        <v/>
      </c>
      <c r="K43" s="13">
        <f>100*E43/E$7</f>
        <v/>
      </c>
      <c r="L43" s="13">
        <f>100*F43/F$7</f>
        <v/>
      </c>
      <c r="M43" s="13">
        <f>100*G43/G$7</f>
        <v/>
      </c>
    </row>
    <row r="44">
      <c r="A44" s="11" t="n">
        <v>44979</v>
      </c>
      <c r="B44" s="12" t="n">
        <v>349.403534</v>
      </c>
      <c r="C44" s="12" t="n">
        <v>50.891171</v>
      </c>
      <c r="D44" s="12" t="n">
        <v>36.149323</v>
      </c>
      <c r="E44" s="12" t="n">
        <v>55.406982</v>
      </c>
      <c r="F44" s="12" t="n">
        <v>17.86165</v>
      </c>
      <c r="G44" s="12" t="n">
        <v>74.09193399999999</v>
      </c>
      <c r="H44" s="13">
        <f>100*B44/B$7</f>
        <v/>
      </c>
      <c r="I44" s="13">
        <f>100*C44/C$7</f>
        <v/>
      </c>
      <c r="J44" s="13">
        <f>100*D44/D$7</f>
        <v/>
      </c>
      <c r="K44" s="13">
        <f>100*E44/E$7</f>
        <v/>
      </c>
      <c r="L44" s="13">
        <f>100*F44/F$7</f>
        <v/>
      </c>
      <c r="M44" s="13">
        <f>100*G44/G$7</f>
        <v/>
      </c>
    </row>
    <row r="45">
      <c r="A45" s="11" t="n">
        <v>44980</v>
      </c>
      <c r="B45" s="12" t="n">
        <v>351.158539</v>
      </c>
      <c r="C45" s="12" t="n">
        <v>51.400993</v>
      </c>
      <c r="D45" s="12" t="n">
        <v>36.922657</v>
      </c>
      <c r="E45" s="12" t="n">
        <v>56.337879</v>
      </c>
      <c r="F45" s="12" t="n">
        <v>17.595316</v>
      </c>
      <c r="G45" s="12" t="n">
        <v>73.81955000000001</v>
      </c>
      <c r="H45" s="13">
        <f>100*B45/B$7</f>
        <v/>
      </c>
      <c r="I45" s="13">
        <f>100*C45/C$7</f>
        <v/>
      </c>
      <c r="J45" s="13">
        <f>100*D45/D$7</f>
        <v/>
      </c>
      <c r="K45" s="13">
        <f>100*E45/E$7</f>
        <v/>
      </c>
      <c r="L45" s="13">
        <f>100*F45/F$7</f>
        <v/>
      </c>
      <c r="M45" s="13">
        <f>100*G45/G$7</f>
        <v/>
      </c>
    </row>
    <row r="46">
      <c r="A46" s="11" t="n">
        <v>44981</v>
      </c>
      <c r="B46" s="12" t="n">
        <v>347.400635</v>
      </c>
      <c r="C46" s="12" t="n">
        <v>50.636257</v>
      </c>
      <c r="D46" s="12" t="n">
        <v>36.001232</v>
      </c>
      <c r="E46" s="12" t="n">
        <v>54.55986</v>
      </c>
      <c r="F46" s="12" t="n">
        <v>17.371935</v>
      </c>
      <c r="G46" s="12" t="n">
        <v>71.60404200000001</v>
      </c>
      <c r="H46" s="13">
        <f>100*B46/B$7</f>
        <v/>
      </c>
      <c r="I46" s="13">
        <f>100*C46/C$7</f>
        <v/>
      </c>
      <c r="J46" s="13">
        <f>100*D46/D$7</f>
        <v/>
      </c>
      <c r="K46" s="13">
        <f>100*E46/E$7</f>
        <v/>
      </c>
      <c r="L46" s="13">
        <f>100*F46/F$7</f>
        <v/>
      </c>
      <c r="M46" s="13">
        <f>100*G46/G$7</f>
        <v/>
      </c>
    </row>
    <row r="47">
      <c r="A47" s="11" t="n">
        <v>44984</v>
      </c>
      <c r="B47" s="12" t="n">
        <v>348.602356</v>
      </c>
      <c r="C47" s="12" t="n">
        <v>51.118767</v>
      </c>
      <c r="D47" s="12" t="n">
        <v>36.141094</v>
      </c>
      <c r="E47" s="12" t="n">
        <v>54.662262</v>
      </c>
      <c r="F47" s="12" t="n">
        <v>17.595316</v>
      </c>
      <c r="G47" s="12" t="n">
        <v>72.648239</v>
      </c>
      <c r="H47" s="13">
        <f>100*B47/B$7</f>
        <v/>
      </c>
      <c r="I47" s="13">
        <f>100*C47/C$7</f>
        <v/>
      </c>
      <c r="J47" s="13">
        <f>100*D47/D$7</f>
        <v/>
      </c>
      <c r="K47" s="13">
        <f>100*E47/E$7</f>
        <v/>
      </c>
      <c r="L47" s="13">
        <f>100*F47/F$7</f>
        <v/>
      </c>
      <c r="M47" s="13">
        <f>100*G47/G$7</f>
        <v/>
      </c>
    </row>
    <row r="48">
      <c r="A48" s="11" t="n">
        <v>44985</v>
      </c>
      <c r="B48" s="12" t="n">
        <v>347.286194</v>
      </c>
      <c r="C48" s="12" t="n">
        <v>50.927582</v>
      </c>
      <c r="D48" s="12" t="n">
        <v>35.943649</v>
      </c>
      <c r="E48" s="12" t="n">
        <v>54.457462</v>
      </c>
      <c r="F48" s="12" t="n">
        <v>17.509399</v>
      </c>
      <c r="G48" s="12" t="n">
        <v>72.08528099999999</v>
      </c>
      <c r="H48" s="13">
        <f>100*B48/B$7</f>
        <v/>
      </c>
      <c r="I48" s="13">
        <f>100*C48/C$7</f>
        <v/>
      </c>
      <c r="J48" s="13">
        <f>100*D48/D$7</f>
        <v/>
      </c>
      <c r="K48" s="13">
        <f>100*E48/E$7</f>
        <v/>
      </c>
      <c r="L48" s="13">
        <f>100*F48/F$7</f>
        <v/>
      </c>
      <c r="M48" s="13">
        <f>100*G48/G$7</f>
        <v/>
      </c>
    </row>
    <row r="49">
      <c r="A49" s="11" t="n">
        <v>44986</v>
      </c>
      <c r="B49" s="12" t="n">
        <v>346.017548</v>
      </c>
      <c r="C49" s="12" t="n">
        <v>51.009521</v>
      </c>
      <c r="D49" s="12" t="n">
        <v>36.371449</v>
      </c>
      <c r="E49" s="12" t="n">
        <v>55.500069</v>
      </c>
      <c r="F49" s="12" t="n">
        <v>17.921793</v>
      </c>
      <c r="G49" s="12" t="n">
        <v>74.67305</v>
      </c>
      <c r="H49" s="13">
        <f>100*B49/B$7</f>
        <v/>
      </c>
      <c r="I49" s="13">
        <f>100*C49/C$7</f>
        <v/>
      </c>
      <c r="J49" s="13">
        <f>100*D49/D$7</f>
        <v/>
      </c>
      <c r="K49" s="13">
        <f>100*E49/E$7</f>
        <v/>
      </c>
      <c r="L49" s="13">
        <f>100*F49/F$7</f>
        <v/>
      </c>
      <c r="M49" s="13">
        <f>100*G49/G$7</f>
        <v/>
      </c>
    </row>
    <row r="50">
      <c r="A50" s="11" t="n">
        <v>44987</v>
      </c>
      <c r="B50" s="12" t="n">
        <v>348.602356</v>
      </c>
      <c r="C50" s="12" t="n">
        <v>51.064144</v>
      </c>
      <c r="D50" s="12" t="n">
        <v>36.527763</v>
      </c>
      <c r="E50" s="12" t="n">
        <v>55.258034</v>
      </c>
      <c r="F50" s="12" t="n">
        <v>18.153759</v>
      </c>
      <c r="G50" s="12" t="n">
        <v>75.60826900000001</v>
      </c>
      <c r="H50" s="13">
        <f>100*B50/B$7</f>
        <v/>
      </c>
      <c r="I50" s="13">
        <f>100*C50/C$7</f>
        <v/>
      </c>
      <c r="J50" s="13">
        <f>100*D50/D$7</f>
        <v/>
      </c>
      <c r="K50" s="13">
        <f>100*E50/E$7</f>
        <v/>
      </c>
      <c r="L50" s="13">
        <f>100*F50/F$7</f>
        <v/>
      </c>
      <c r="M50" s="13">
        <f>100*G50/G$7</f>
        <v/>
      </c>
    </row>
    <row r="51">
      <c r="A51" s="11" t="n">
        <v>44988</v>
      </c>
      <c r="B51" s="12" t="n">
        <v>354.124908</v>
      </c>
      <c r="C51" s="12" t="n">
        <v>52.238556</v>
      </c>
      <c r="D51" s="12" t="n">
        <v>36.897972</v>
      </c>
      <c r="E51" s="12" t="n">
        <v>56.412346</v>
      </c>
      <c r="F51" s="12" t="n">
        <v>18.127987</v>
      </c>
      <c r="G51" s="12" t="n">
        <v>75.75355500000001</v>
      </c>
      <c r="H51" s="13">
        <f>100*B51/B$7</f>
        <v/>
      </c>
      <c r="I51" s="13">
        <f>100*C51/C$7</f>
        <v/>
      </c>
      <c r="J51" s="13">
        <f>100*D51/D$7</f>
        <v/>
      </c>
      <c r="K51" s="13">
        <f>100*E51/E$7</f>
        <v/>
      </c>
      <c r="L51" s="13">
        <f>100*F51/F$7</f>
        <v/>
      </c>
      <c r="M51" s="13">
        <f>100*G51/G$7</f>
        <v/>
      </c>
    </row>
    <row r="52">
      <c r="A52" s="11" t="n">
        <v>44991</v>
      </c>
      <c r="B52" s="12" t="n">
        <v>354.554108</v>
      </c>
      <c r="C52" s="12" t="n">
        <v>52.238556</v>
      </c>
      <c r="D52" s="12" t="n">
        <v>36.791023</v>
      </c>
      <c r="E52" s="12" t="n">
        <v>56.53336</v>
      </c>
      <c r="F52" s="12" t="n">
        <v>18.153759</v>
      </c>
      <c r="G52" s="12" t="n">
        <v>74.809242</v>
      </c>
      <c r="H52" s="13">
        <f>100*B52/B$7</f>
        <v/>
      </c>
      <c r="I52" s="13">
        <f>100*C52/C$7</f>
        <v/>
      </c>
      <c r="J52" s="13">
        <f>100*D52/D$7</f>
        <v/>
      </c>
      <c r="K52" s="13">
        <f>100*E52/E$7</f>
        <v/>
      </c>
      <c r="L52" s="13">
        <f>100*F52/F$7</f>
        <v/>
      </c>
      <c r="M52" s="13">
        <f>100*G52/G$7</f>
        <v/>
      </c>
    </row>
    <row r="53">
      <c r="A53" s="11" t="n">
        <v>44992</v>
      </c>
      <c r="B53" s="12" t="n">
        <v>349.069763</v>
      </c>
      <c r="C53" s="12" t="n">
        <v>51.77425</v>
      </c>
      <c r="D53" s="12" t="n">
        <v>36.527763</v>
      </c>
      <c r="E53" s="12" t="n">
        <v>54.950836</v>
      </c>
      <c r="F53" s="12" t="n">
        <v>17.913198</v>
      </c>
      <c r="G53" s="12" t="n">
        <v>73.23841899999999</v>
      </c>
      <c r="H53" s="13">
        <f>100*B53/B$7</f>
        <v/>
      </c>
      <c r="I53" s="13">
        <f>100*C53/C$7</f>
        <v/>
      </c>
      <c r="J53" s="13">
        <f>100*D53/D$7</f>
        <v/>
      </c>
      <c r="K53" s="13">
        <f>100*E53/E$7</f>
        <v/>
      </c>
      <c r="L53" s="13">
        <f>100*F53/F$7</f>
        <v/>
      </c>
      <c r="M53" s="13">
        <f>100*G53/G$7</f>
        <v/>
      </c>
    </row>
    <row r="54">
      <c r="A54" s="11" t="n">
        <v>44993</v>
      </c>
      <c r="B54" s="12" t="n">
        <v>349.613434</v>
      </c>
      <c r="C54" s="12" t="n">
        <v>52.411533</v>
      </c>
      <c r="D54" s="12" t="n">
        <v>36.873295</v>
      </c>
      <c r="E54" s="12" t="n">
        <v>55.099777</v>
      </c>
      <c r="F54" s="12" t="n">
        <v>17.767145</v>
      </c>
      <c r="G54" s="12" t="n">
        <v>72.72995</v>
      </c>
      <c r="H54" s="13">
        <f>100*B54/B$7</f>
        <v/>
      </c>
      <c r="I54" s="13">
        <f>100*C54/C$7</f>
        <v/>
      </c>
      <c r="J54" s="13">
        <f>100*D54/D$7</f>
        <v/>
      </c>
      <c r="K54" s="13">
        <f>100*E54/E$7</f>
        <v/>
      </c>
      <c r="L54" s="13">
        <f>100*F54/F$7</f>
        <v/>
      </c>
      <c r="M54" s="13">
        <f>100*G54/G$7</f>
        <v/>
      </c>
    </row>
    <row r="55">
      <c r="A55" s="11" t="n">
        <v>44994</v>
      </c>
      <c r="B55" s="12" t="n">
        <v>343.213379</v>
      </c>
      <c r="C55" s="12" t="n">
        <v>52.320499</v>
      </c>
      <c r="D55" s="12" t="n">
        <v>36.124641</v>
      </c>
      <c r="E55" s="12" t="n">
        <v>53.749981</v>
      </c>
      <c r="F55" s="12" t="n">
        <v>17.629681</v>
      </c>
      <c r="G55" s="12" t="n">
        <v>70.323776</v>
      </c>
      <c r="H55" s="13">
        <f>100*B55/B$7</f>
        <v/>
      </c>
      <c r="I55" s="13">
        <f>100*C55/C$7</f>
        <v/>
      </c>
      <c r="J55" s="13">
        <f>100*D55/D$7</f>
        <v/>
      </c>
      <c r="K55" s="13">
        <f>100*E55/E$7</f>
        <v/>
      </c>
      <c r="L55" s="13">
        <f>100*F55/F$7</f>
        <v/>
      </c>
      <c r="M55" s="13">
        <f>100*G55/G$7</f>
        <v/>
      </c>
    </row>
    <row r="56">
      <c r="A56" s="11" t="n">
        <v>44995</v>
      </c>
      <c r="B56" s="12" t="n">
        <v>338.291748</v>
      </c>
      <c r="C56" s="12" t="n">
        <v>51.692314</v>
      </c>
      <c r="D56" s="12" t="n">
        <v>35.779106</v>
      </c>
      <c r="E56" s="12" t="n">
        <v>53.777908</v>
      </c>
      <c r="F56" s="12" t="n">
        <v>17.225882</v>
      </c>
      <c r="G56" s="12" t="n">
        <v>70.441818</v>
      </c>
      <c r="H56" s="13">
        <f>100*B56/B$7</f>
        <v/>
      </c>
      <c r="I56" s="13">
        <f>100*C56/C$7</f>
        <v/>
      </c>
      <c r="J56" s="13">
        <f>100*D56/D$7</f>
        <v/>
      </c>
      <c r="K56" s="13">
        <f>100*E56/E$7</f>
        <v/>
      </c>
      <c r="L56" s="13">
        <f>100*F56/F$7</f>
        <v/>
      </c>
      <c r="M56" s="13">
        <f>100*G56/G$7</f>
        <v/>
      </c>
    </row>
    <row r="57">
      <c r="A57" s="11" t="n">
        <v>44998</v>
      </c>
      <c r="B57" s="12" t="n">
        <v>337.719543</v>
      </c>
      <c r="C57" s="12" t="n">
        <v>51.200706</v>
      </c>
      <c r="D57" s="12" t="n">
        <v>36.075275</v>
      </c>
      <c r="E57" s="12" t="n">
        <v>54.941532</v>
      </c>
      <c r="F57" s="12" t="n">
        <v>17.414896</v>
      </c>
      <c r="G57" s="12" t="n">
        <v>71.16821299999999</v>
      </c>
      <c r="H57" s="13">
        <f>100*B57/B$7</f>
        <v/>
      </c>
      <c r="I57" s="13">
        <f>100*C57/C$7</f>
        <v/>
      </c>
      <c r="J57" s="13">
        <f>100*D57/D$7</f>
        <v/>
      </c>
      <c r="K57" s="13">
        <f>100*E57/E$7</f>
        <v/>
      </c>
      <c r="L57" s="13">
        <f>100*F57/F$7</f>
        <v/>
      </c>
      <c r="M57" s="13">
        <f>100*G57/G$7</f>
        <v/>
      </c>
    </row>
    <row r="58">
      <c r="A58" s="11" t="n">
        <v>44999</v>
      </c>
      <c r="B58" s="12" t="n">
        <v>343.327911</v>
      </c>
      <c r="C58" s="12" t="n">
        <v>51.055042</v>
      </c>
      <c r="D58" s="12" t="n">
        <v>36.149323</v>
      </c>
      <c r="E58" s="12" t="n">
        <v>54.215431</v>
      </c>
      <c r="F58" s="12" t="n">
        <v>17.560949</v>
      </c>
      <c r="G58" s="12" t="n">
        <v>71.476929</v>
      </c>
      <c r="H58" s="13">
        <f>100*B58/B$7</f>
        <v/>
      </c>
      <c r="I58" s="13">
        <f>100*C58/C$7</f>
        <v/>
      </c>
      <c r="J58" s="13">
        <f>100*D58/D$7</f>
        <v/>
      </c>
      <c r="K58" s="13">
        <f>100*E58/E$7</f>
        <v/>
      </c>
      <c r="L58" s="13">
        <f>100*F58/F$7</f>
        <v/>
      </c>
      <c r="M58" s="13">
        <f>100*G58/G$7</f>
        <v/>
      </c>
    </row>
    <row r="59">
      <c r="A59" s="11" t="n">
        <v>45000</v>
      </c>
      <c r="B59" s="12" t="n">
        <v>341.21048</v>
      </c>
      <c r="C59" s="12" t="n">
        <v>50.017189</v>
      </c>
      <c r="D59" s="12" t="n">
        <v>35.400665</v>
      </c>
      <c r="E59" s="12" t="n">
        <v>53.340389</v>
      </c>
      <c r="F59" s="12" t="n">
        <v>17.251656</v>
      </c>
      <c r="G59" s="12" t="n">
        <v>70.432739</v>
      </c>
      <c r="H59" s="13">
        <f>100*B59/B$7</f>
        <v/>
      </c>
      <c r="I59" s="13">
        <f>100*C59/C$7</f>
        <v/>
      </c>
      <c r="J59" s="13">
        <f>100*D59/D$7</f>
        <v/>
      </c>
      <c r="K59" s="13">
        <f>100*E59/E$7</f>
        <v/>
      </c>
      <c r="L59" s="13">
        <f>100*F59/F$7</f>
        <v/>
      </c>
      <c r="M59" s="13">
        <f>100*G59/G$7</f>
        <v/>
      </c>
    </row>
    <row r="60">
      <c r="A60" s="11" t="n">
        <v>45001</v>
      </c>
      <c r="B60" s="12" t="n">
        <v>347.047668</v>
      </c>
      <c r="C60" s="12" t="n">
        <v>51.036831</v>
      </c>
      <c r="D60" s="12" t="n">
        <v>36.001232</v>
      </c>
      <c r="E60" s="12" t="n">
        <v>54.969456</v>
      </c>
      <c r="F60" s="12" t="n">
        <v>17.251656</v>
      </c>
      <c r="G60" s="12" t="n">
        <v>71.177284</v>
      </c>
      <c r="H60" s="13">
        <f>100*B60/B$7</f>
        <v/>
      </c>
      <c r="I60" s="13">
        <f>100*C60/C$7</f>
        <v/>
      </c>
      <c r="J60" s="13">
        <f>100*D60/D$7</f>
        <v/>
      </c>
      <c r="K60" s="13">
        <f>100*E60/E$7</f>
        <v/>
      </c>
      <c r="L60" s="13">
        <f>100*F60/F$7</f>
        <v/>
      </c>
      <c r="M60" s="13">
        <f>100*G60/G$7</f>
        <v/>
      </c>
    </row>
    <row r="61">
      <c r="A61" s="11" t="n">
        <v>45002</v>
      </c>
      <c r="B61" s="12" t="n">
        <v>343.251587</v>
      </c>
      <c r="C61" s="12" t="n">
        <v>50.718193</v>
      </c>
      <c r="D61" s="12" t="n">
        <v>35.844921</v>
      </c>
      <c r="E61" s="12" t="n">
        <v>54.299213</v>
      </c>
      <c r="F61" s="12" t="n">
        <v>17.174332</v>
      </c>
      <c r="G61" s="12" t="n">
        <v>70.877647</v>
      </c>
      <c r="H61" s="13">
        <f>100*B61/B$7</f>
        <v/>
      </c>
      <c r="I61" s="13">
        <f>100*C61/C$7</f>
        <v/>
      </c>
      <c r="J61" s="13">
        <f>100*D61/D$7</f>
        <v/>
      </c>
      <c r="K61" s="13">
        <f>100*E61/E$7</f>
        <v/>
      </c>
      <c r="L61" s="13">
        <f>100*F61/F$7</f>
        <v/>
      </c>
      <c r="M61" s="13">
        <f>100*G61/G$7</f>
        <v/>
      </c>
    </row>
    <row r="62">
      <c r="A62" s="11" t="n">
        <v>45005</v>
      </c>
      <c r="B62" s="12" t="n">
        <v>346.351379</v>
      </c>
      <c r="C62" s="12" t="n">
        <v>51.45562</v>
      </c>
      <c r="D62" s="12" t="n">
        <v>36.182228</v>
      </c>
      <c r="E62" s="12" t="n">
        <v>54.746044</v>
      </c>
      <c r="F62" s="12" t="n">
        <v>17.122784</v>
      </c>
      <c r="G62" s="12" t="n">
        <v>70.550774</v>
      </c>
      <c r="H62" s="13">
        <f>100*B62/B$7</f>
        <v/>
      </c>
      <c r="I62" s="13">
        <f>100*C62/C$7</f>
        <v/>
      </c>
      <c r="J62" s="13">
        <f>100*D62/D$7</f>
        <v/>
      </c>
      <c r="K62" s="13">
        <f>100*E62/E$7</f>
        <v/>
      </c>
      <c r="L62" s="13">
        <f>100*F62/F$7</f>
        <v/>
      </c>
      <c r="M62" s="13">
        <f>100*G62/G$7</f>
        <v/>
      </c>
    </row>
    <row r="63">
      <c r="A63" s="11" t="n">
        <v>45006</v>
      </c>
      <c r="B63" s="12" t="n">
        <v>350.881927</v>
      </c>
      <c r="C63" s="12" t="n">
        <v>51.77425</v>
      </c>
      <c r="D63" s="12" t="n">
        <v>36.552444</v>
      </c>
      <c r="E63" s="12" t="n">
        <v>55.04393</v>
      </c>
      <c r="F63" s="12" t="n">
        <v>17.182924</v>
      </c>
      <c r="G63" s="12" t="n">
        <v>71.731171</v>
      </c>
      <c r="H63" s="13">
        <f>100*B63/B$7</f>
        <v/>
      </c>
      <c r="I63" s="13">
        <f>100*C63/C$7</f>
        <v/>
      </c>
      <c r="J63" s="13">
        <f>100*D63/D$7</f>
        <v/>
      </c>
      <c r="K63" s="13">
        <f>100*E63/E$7</f>
        <v/>
      </c>
      <c r="L63" s="13">
        <f>100*F63/F$7</f>
        <v/>
      </c>
      <c r="M63" s="13">
        <f>100*G63/G$7</f>
        <v/>
      </c>
    </row>
    <row r="64">
      <c r="A64" s="11" t="n">
        <v>45007</v>
      </c>
      <c r="B64" s="12" t="n">
        <v>345.063751</v>
      </c>
      <c r="C64" s="12" t="n">
        <v>51.628593</v>
      </c>
      <c r="D64" s="12" t="n">
        <v>36.906204</v>
      </c>
      <c r="E64" s="12" t="n">
        <v>55.379051</v>
      </c>
      <c r="F64" s="12" t="n">
        <v>17.380529</v>
      </c>
      <c r="G64" s="12" t="n">
        <v>71.97631800000001</v>
      </c>
      <c r="H64" s="13">
        <f>100*B64/B$7</f>
        <v/>
      </c>
      <c r="I64" s="13">
        <f>100*C64/C$7</f>
        <v/>
      </c>
      <c r="J64" s="13">
        <f>100*D64/D$7</f>
        <v/>
      </c>
      <c r="K64" s="13">
        <f>100*E64/E$7</f>
        <v/>
      </c>
      <c r="L64" s="13">
        <f>100*F64/F$7</f>
        <v/>
      </c>
      <c r="M64" s="13">
        <f>100*G64/G$7</f>
        <v/>
      </c>
    </row>
    <row r="65">
      <c r="A65" s="11" t="n">
        <v>45008</v>
      </c>
      <c r="B65" s="12" t="n">
        <v>345.884064</v>
      </c>
      <c r="C65" s="12" t="n">
        <v>51.85619</v>
      </c>
      <c r="D65" s="12" t="n">
        <v>37.408047</v>
      </c>
      <c r="E65" s="12" t="n">
        <v>56.291332</v>
      </c>
      <c r="F65" s="12" t="n">
        <v>17.500811</v>
      </c>
      <c r="G65" s="12" t="n">
        <v>73.79228999999999</v>
      </c>
      <c r="H65" s="13">
        <f>100*B65/B$7</f>
        <v/>
      </c>
      <c r="I65" s="13">
        <f>100*C65/C$7</f>
        <v/>
      </c>
      <c r="J65" s="13">
        <f>100*D65/D$7</f>
        <v/>
      </c>
      <c r="K65" s="13">
        <f>100*E65/E$7</f>
        <v/>
      </c>
      <c r="L65" s="13">
        <f>100*F65/F$7</f>
        <v/>
      </c>
      <c r="M65" s="13">
        <f>100*G65/G$7</f>
        <v/>
      </c>
    </row>
    <row r="66">
      <c r="A66" s="11" t="n">
        <v>45009</v>
      </c>
      <c r="B66" s="12" t="n">
        <v>348.18924</v>
      </c>
      <c r="C66" s="12" t="n">
        <v>52.01096</v>
      </c>
      <c r="D66" s="12" t="n">
        <v>37.432728</v>
      </c>
      <c r="E66" s="12" t="n">
        <v>55.565228</v>
      </c>
      <c r="F66" s="12" t="n">
        <v>17.526585</v>
      </c>
      <c r="G66" s="12" t="n">
        <v>73.39278400000001</v>
      </c>
      <c r="H66" s="13">
        <f>100*B66/B$7</f>
        <v/>
      </c>
      <c r="I66" s="13">
        <f>100*C66/C$7</f>
        <v/>
      </c>
      <c r="J66" s="13">
        <f>100*D66/D$7</f>
        <v/>
      </c>
      <c r="K66" s="13">
        <f>100*E66/E$7</f>
        <v/>
      </c>
      <c r="L66" s="13">
        <f>100*F66/F$7</f>
        <v/>
      </c>
      <c r="M66" s="13">
        <f>100*G66/G$7</f>
        <v/>
      </c>
    </row>
    <row r="67">
      <c r="A67" s="11" t="n">
        <v>45012</v>
      </c>
      <c r="B67" s="12" t="n">
        <v>348.763947</v>
      </c>
      <c r="C67" s="12" t="n">
        <v>52.238556</v>
      </c>
      <c r="D67" s="12" t="n">
        <v>37.177689</v>
      </c>
      <c r="E67" s="12" t="n">
        <v>55.379051</v>
      </c>
      <c r="F67" s="12" t="n">
        <v>17.466446</v>
      </c>
      <c r="G67" s="12" t="n">
        <v>72.248718</v>
      </c>
      <c r="H67" s="13">
        <f>100*B67/B$7</f>
        <v/>
      </c>
      <c r="I67" s="13">
        <f>100*C67/C$7</f>
        <v/>
      </c>
      <c r="J67" s="13">
        <f>100*D67/D$7</f>
        <v/>
      </c>
      <c r="K67" s="13">
        <f>100*E67/E$7</f>
        <v/>
      </c>
      <c r="L67" s="13">
        <f>100*F67/F$7</f>
        <v/>
      </c>
      <c r="M67" s="13">
        <f>100*G67/G$7</f>
        <v/>
      </c>
    </row>
    <row r="68">
      <c r="A68" s="11" t="n">
        <v>45013</v>
      </c>
      <c r="B68" s="12" t="n">
        <v>348.15097</v>
      </c>
      <c r="C68" s="12" t="n">
        <v>52.338699</v>
      </c>
      <c r="D68" s="12" t="n">
        <v>37.046062</v>
      </c>
      <c r="E68" s="12" t="n">
        <v>55.881733</v>
      </c>
      <c r="F68" s="12" t="n">
        <v>17.51799</v>
      </c>
      <c r="G68" s="12" t="n">
        <v>74.41881600000001</v>
      </c>
      <c r="H68" s="13">
        <f>100*B68/B$7</f>
        <v/>
      </c>
      <c r="I68" s="13">
        <f>100*C68/C$7</f>
        <v/>
      </c>
      <c r="J68" s="13">
        <f>100*D68/D$7</f>
        <v/>
      </c>
      <c r="K68" s="13">
        <f>100*E68/E$7</f>
        <v/>
      </c>
      <c r="L68" s="13">
        <f>100*F68/F$7</f>
        <v/>
      </c>
      <c r="M68" s="13">
        <f>100*G68/G$7</f>
        <v/>
      </c>
    </row>
    <row r="69">
      <c r="A69" s="11" t="n">
        <v>45014</v>
      </c>
      <c r="B69" s="12" t="n">
        <v>353.102417</v>
      </c>
      <c r="C69" s="12" t="n">
        <v>52.538986</v>
      </c>
      <c r="D69" s="12" t="n">
        <v>37.16124</v>
      </c>
      <c r="E69" s="12" t="n">
        <v>55.853809</v>
      </c>
      <c r="F69" s="12" t="n">
        <v>17.62109</v>
      </c>
      <c r="G69" s="12" t="n">
        <v>74.346169</v>
      </c>
      <c r="H69" s="13">
        <f>100*B69/B$7</f>
        <v/>
      </c>
      <c r="I69" s="13">
        <f>100*C69/C$7</f>
        <v/>
      </c>
      <c r="J69" s="13">
        <f>100*D69/D$7</f>
        <v/>
      </c>
      <c r="K69" s="13">
        <f>100*E69/E$7</f>
        <v/>
      </c>
      <c r="L69" s="13">
        <f>100*F69/F$7</f>
        <v/>
      </c>
      <c r="M69" s="13">
        <f>100*G69/G$7</f>
        <v/>
      </c>
    </row>
    <row r="70">
      <c r="A70" s="11" t="n">
        <v>45015</v>
      </c>
      <c r="B70" s="12" t="n">
        <v>355.209473</v>
      </c>
      <c r="C70" s="12" t="n">
        <v>52.784794</v>
      </c>
      <c r="D70" s="12" t="n">
        <v>37.284641</v>
      </c>
      <c r="E70" s="12" t="n">
        <v>56.48682</v>
      </c>
      <c r="F70" s="12" t="n">
        <v>17.741371</v>
      </c>
      <c r="G70" s="12" t="n">
        <v>75.45391100000001</v>
      </c>
      <c r="H70" s="13">
        <f>100*B70/B$7</f>
        <v/>
      </c>
      <c r="I70" s="13">
        <f>100*C70/C$7</f>
        <v/>
      </c>
      <c r="J70" s="13">
        <f>100*D70/D$7</f>
        <v/>
      </c>
      <c r="K70" s="13">
        <f>100*E70/E$7</f>
        <v/>
      </c>
      <c r="L70" s="13">
        <f>100*F70/F$7</f>
        <v/>
      </c>
      <c r="M70" s="13">
        <f>100*G70/G$7</f>
        <v/>
      </c>
    </row>
    <row r="71">
      <c r="A71" s="11" t="n">
        <v>45016</v>
      </c>
      <c r="B71" s="12" t="n">
        <v>360.170349</v>
      </c>
      <c r="C71" s="12" t="n">
        <v>53.431175</v>
      </c>
      <c r="D71" s="12" t="n">
        <v>37.29287</v>
      </c>
      <c r="E71" s="12" t="n">
        <v>56.989502</v>
      </c>
      <c r="F71" s="12" t="n">
        <v>17.655457</v>
      </c>
      <c r="G71" s="12" t="n">
        <v>74.727524</v>
      </c>
      <c r="H71" s="13">
        <f>100*B71/B$7</f>
        <v/>
      </c>
      <c r="I71" s="13">
        <f>100*C71/C$7</f>
        <v/>
      </c>
      <c r="J71" s="13">
        <f>100*D71/D$7</f>
        <v/>
      </c>
      <c r="K71" s="13">
        <f>100*E71/E$7</f>
        <v/>
      </c>
      <c r="L71" s="13">
        <f>100*F71/F$7</f>
        <v/>
      </c>
      <c r="M71" s="13">
        <f>100*G71/G$7</f>
        <v/>
      </c>
    </row>
    <row r="72">
      <c r="A72" s="11" t="n">
        <v>45019</v>
      </c>
      <c r="B72" s="12" t="n">
        <v>361.597382</v>
      </c>
      <c r="C72" s="12" t="n">
        <v>53.676983</v>
      </c>
      <c r="D72" s="12" t="n">
        <v>37.514996</v>
      </c>
      <c r="E72" s="12" t="n">
        <v>56.654377</v>
      </c>
      <c r="F72" s="12" t="n">
        <v>17.913198</v>
      </c>
      <c r="G72" s="12" t="n">
        <v>74.772926</v>
      </c>
      <c r="H72" s="13">
        <f>100*B72/B$7</f>
        <v/>
      </c>
      <c r="I72" s="13">
        <f>100*C72/C$7</f>
        <v/>
      </c>
      <c r="J72" s="13">
        <f>100*D72/D$7</f>
        <v/>
      </c>
      <c r="K72" s="13">
        <f>100*E72/E$7</f>
        <v/>
      </c>
      <c r="L72" s="13">
        <f>100*F72/F$7</f>
        <v/>
      </c>
      <c r="M72" s="13">
        <f>100*G72/G$7</f>
        <v/>
      </c>
    </row>
    <row r="73">
      <c r="A73" s="11" t="n">
        <v>45020</v>
      </c>
      <c r="B73" s="12" t="n">
        <v>359.557465</v>
      </c>
      <c r="C73" s="12" t="n">
        <v>53.658775</v>
      </c>
      <c r="D73" s="12" t="n">
        <v>37.449184</v>
      </c>
      <c r="E73" s="12" t="n">
        <v>56.365803</v>
      </c>
      <c r="F73" s="12" t="n">
        <v>17.878832</v>
      </c>
      <c r="G73" s="12" t="n">
        <v>74.627647</v>
      </c>
      <c r="H73" s="13">
        <f>100*B73/B$7</f>
        <v/>
      </c>
      <c r="I73" s="13">
        <f>100*C73/C$7</f>
        <v/>
      </c>
      <c r="J73" s="13">
        <f>100*D73/D$7</f>
        <v/>
      </c>
      <c r="K73" s="13">
        <f>100*E73/E$7</f>
        <v/>
      </c>
      <c r="L73" s="13">
        <f>100*F73/F$7</f>
        <v/>
      </c>
      <c r="M73" s="13">
        <f>100*G73/G$7</f>
        <v/>
      </c>
    </row>
    <row r="74">
      <c r="A74" s="11" t="n">
        <v>45021</v>
      </c>
      <c r="B74" s="12" t="n">
        <v>358.685883</v>
      </c>
      <c r="C74" s="12" t="n">
        <v>52.857632</v>
      </c>
      <c r="D74" s="12" t="n">
        <v>36.980244</v>
      </c>
      <c r="E74" s="12" t="n">
        <v>56.430962</v>
      </c>
      <c r="F74" s="12" t="n">
        <v>17.775738</v>
      </c>
      <c r="G74" s="12" t="n">
        <v>73.874016</v>
      </c>
      <c r="H74" s="13">
        <f>100*B74/B$7</f>
        <v/>
      </c>
      <c r="I74" s="13">
        <f>100*C74/C$7</f>
        <v/>
      </c>
      <c r="J74" s="13">
        <f>100*D74/D$7</f>
        <v/>
      </c>
      <c r="K74" s="13">
        <f>100*E74/E$7</f>
        <v/>
      </c>
      <c r="L74" s="13">
        <f>100*F74/F$7</f>
        <v/>
      </c>
      <c r="M74" s="13">
        <f>100*G74/G$7</f>
        <v/>
      </c>
    </row>
    <row r="75">
      <c r="A75" s="11" t="n">
        <v>45022</v>
      </c>
      <c r="B75" s="12" t="n">
        <v>360.055389</v>
      </c>
      <c r="C75" s="12" t="n">
        <v>52.630032</v>
      </c>
      <c r="D75" s="12" t="n">
        <v>36.930882</v>
      </c>
      <c r="E75" s="12" t="n">
        <v>55.81657</v>
      </c>
      <c r="F75" s="12" t="n">
        <v>17.938972</v>
      </c>
      <c r="G75" s="12" t="n">
        <v>74.691216</v>
      </c>
      <c r="H75" s="13">
        <f>100*B75/B$7</f>
        <v/>
      </c>
      <c r="I75" s="13">
        <f>100*C75/C$7</f>
        <v/>
      </c>
      <c r="J75" s="13">
        <f>100*D75/D$7</f>
        <v/>
      </c>
      <c r="K75" s="13">
        <f>100*E75/E$7</f>
        <v/>
      </c>
      <c r="L75" s="13">
        <f>100*F75/F$7</f>
        <v/>
      </c>
      <c r="M75" s="13">
        <f>100*G75/G$7</f>
        <v/>
      </c>
    </row>
    <row r="76">
      <c r="A76" s="11" t="n">
        <v>45023</v>
      </c>
      <c r="B76" s="12" t="n">
        <v>360.055389</v>
      </c>
      <c r="C76" s="12" t="n">
        <v>52.630032</v>
      </c>
      <c r="D76" s="12" t="n">
        <v>36.930882</v>
      </c>
      <c r="E76" s="12" t="n">
        <v>55.81657</v>
      </c>
      <c r="F76" s="12" t="n">
        <v>17.938972</v>
      </c>
      <c r="G76" s="12" t="n">
        <v>74.691216</v>
      </c>
      <c r="H76" s="13">
        <f>100*B76/B$7</f>
        <v/>
      </c>
      <c r="I76" s="13">
        <f>100*C76/C$7</f>
        <v/>
      </c>
      <c r="J76" s="13">
        <f>100*D76/D$7</f>
        <v/>
      </c>
      <c r="K76" s="13">
        <f>100*E76/E$7</f>
        <v/>
      </c>
      <c r="L76" s="13">
        <f>100*F76/F$7</f>
        <v/>
      </c>
      <c r="M76" s="13">
        <f>100*G76/G$7</f>
        <v/>
      </c>
    </row>
    <row r="77">
      <c r="A77" s="11" t="n">
        <v>45026</v>
      </c>
      <c r="B77" s="12" t="n">
        <v>360.44809</v>
      </c>
      <c r="C77" s="12" t="n">
        <v>52.520771</v>
      </c>
      <c r="D77" s="12" t="n">
        <v>36.972019</v>
      </c>
      <c r="E77" s="12" t="n">
        <v>57.026737</v>
      </c>
      <c r="F77" s="12" t="n">
        <v>17.956154</v>
      </c>
      <c r="G77" s="12" t="n">
        <v>74.355255</v>
      </c>
      <c r="H77" s="13">
        <f>100*B77/B$7</f>
        <v/>
      </c>
      <c r="I77" s="13">
        <f>100*C77/C$7</f>
        <v/>
      </c>
      <c r="J77" s="13">
        <f>100*D77/D$7</f>
        <v/>
      </c>
      <c r="K77" s="13">
        <f>100*E77/E$7</f>
        <v/>
      </c>
      <c r="L77" s="13">
        <f>100*F77/F$7</f>
        <v/>
      </c>
      <c r="M77" s="13">
        <f>100*G77/G$7</f>
        <v/>
      </c>
    </row>
    <row r="78">
      <c r="A78" s="11" t="n">
        <v>45027</v>
      </c>
      <c r="B78" s="12" t="n">
        <v>360.495972</v>
      </c>
      <c r="C78" s="12" t="n">
        <v>52.69376</v>
      </c>
      <c r="D78" s="12" t="n">
        <v>37.194145</v>
      </c>
      <c r="E78" s="12" t="n">
        <v>57.734219</v>
      </c>
      <c r="F78" s="12" t="n">
        <v>17.999115</v>
      </c>
      <c r="G78" s="12" t="n">
        <v>74.44605300000001</v>
      </c>
      <c r="H78" s="13">
        <f>100*B78/B$7</f>
        <v/>
      </c>
      <c r="I78" s="13">
        <f>100*C78/C$7</f>
        <v/>
      </c>
      <c r="J78" s="13">
        <f>100*D78/D$7</f>
        <v/>
      </c>
      <c r="K78" s="13">
        <f>100*E78/E$7</f>
        <v/>
      </c>
      <c r="L78" s="13">
        <f>100*F78/F$7</f>
        <v/>
      </c>
      <c r="M78" s="13">
        <f>100*G78/G$7</f>
        <v/>
      </c>
    </row>
    <row r="79">
      <c r="A79" s="11" t="n">
        <v>45028</v>
      </c>
      <c r="B79" s="12" t="n">
        <v>359.059387</v>
      </c>
      <c r="C79" s="12" t="n">
        <v>52.866734</v>
      </c>
      <c r="D79" s="12" t="n">
        <v>37.029602</v>
      </c>
      <c r="E79" s="12" t="n">
        <v>57.864548</v>
      </c>
      <c r="F79" s="12" t="n">
        <v>17.835878</v>
      </c>
      <c r="G79" s="12" t="n">
        <v>72.72086299999999</v>
      </c>
      <c r="H79" s="13">
        <f>100*B79/B$7</f>
        <v/>
      </c>
      <c r="I79" s="13">
        <f>100*C79/C$7</f>
        <v/>
      </c>
      <c r="J79" s="13">
        <f>100*D79/D$7</f>
        <v/>
      </c>
      <c r="K79" s="13">
        <f>100*E79/E$7</f>
        <v/>
      </c>
      <c r="L79" s="13">
        <f>100*F79/F$7</f>
        <v/>
      </c>
      <c r="M79" s="13">
        <f>100*G79/G$7</f>
        <v/>
      </c>
    </row>
    <row r="80">
      <c r="A80" s="11" t="n">
        <v>45029</v>
      </c>
      <c r="B80" s="12" t="n">
        <v>363.713989</v>
      </c>
      <c r="C80" s="12" t="n">
        <v>53.604156</v>
      </c>
      <c r="D80" s="12" t="n">
        <v>37.194145</v>
      </c>
      <c r="E80" s="12" t="n">
        <v>59.586708</v>
      </c>
      <c r="F80" s="12" t="n">
        <v>18.016298</v>
      </c>
      <c r="G80" s="12" t="n">
        <v>74.318932</v>
      </c>
      <c r="H80" s="13">
        <f>100*B80/B$7</f>
        <v/>
      </c>
      <c r="I80" s="13">
        <f>100*C80/C$7</f>
        <v/>
      </c>
      <c r="J80" s="13">
        <f>100*D80/D$7</f>
        <v/>
      </c>
      <c r="K80" s="13">
        <f>100*E80/E$7</f>
        <v/>
      </c>
      <c r="L80" s="13">
        <f>100*F80/F$7</f>
        <v/>
      </c>
      <c r="M80" s="13">
        <f>100*G80/G$7</f>
        <v/>
      </c>
    </row>
    <row r="81">
      <c r="A81" s="11" t="n">
        <v>45030</v>
      </c>
      <c r="B81" s="12" t="n">
        <v>362.966919</v>
      </c>
      <c r="C81" s="12" t="n">
        <v>53.203575</v>
      </c>
      <c r="D81" s="12" t="n">
        <v>37.120102</v>
      </c>
      <c r="E81" s="12" t="n">
        <v>58.972313</v>
      </c>
      <c r="F81" s="12" t="n">
        <v>17.827286</v>
      </c>
      <c r="G81" s="12" t="n">
        <v>73.510811</v>
      </c>
      <c r="H81" s="13">
        <f>100*B81/B$7</f>
        <v/>
      </c>
      <c r="I81" s="13">
        <f>100*C81/C$7</f>
        <v/>
      </c>
      <c r="J81" s="13">
        <f>100*D81/D$7</f>
        <v/>
      </c>
      <c r="K81" s="13">
        <f>100*E81/E$7</f>
        <v/>
      </c>
      <c r="L81" s="13">
        <f>100*F81/F$7</f>
        <v/>
      </c>
      <c r="M81" s="13">
        <f>100*G81/G$7</f>
        <v/>
      </c>
    </row>
    <row r="82">
      <c r="A82" s="11" t="n">
        <v>45033</v>
      </c>
      <c r="B82" s="12" t="n">
        <v>364.202454</v>
      </c>
      <c r="C82" s="12" t="n">
        <v>53.358349</v>
      </c>
      <c r="D82" s="12" t="n">
        <v>37.070744</v>
      </c>
      <c r="E82" s="12" t="n">
        <v>58.488247</v>
      </c>
      <c r="F82" s="12" t="n">
        <v>18.059256</v>
      </c>
      <c r="G82" s="12" t="n">
        <v>74.990837</v>
      </c>
      <c r="H82" s="13">
        <f>100*B82/B$7</f>
        <v/>
      </c>
      <c r="I82" s="13">
        <f>100*C82/C$7</f>
        <v/>
      </c>
      <c r="J82" s="13">
        <f>100*D82/D$7</f>
        <v/>
      </c>
      <c r="K82" s="13">
        <f>100*E82/E$7</f>
        <v/>
      </c>
      <c r="L82" s="13">
        <f>100*F82/F$7</f>
        <v/>
      </c>
      <c r="M82" s="13">
        <f>100*G82/G$7</f>
        <v/>
      </c>
    </row>
    <row r="83">
      <c r="A83" s="11" t="n">
        <v>45034</v>
      </c>
      <c r="B83" s="12" t="n">
        <v>364.451355</v>
      </c>
      <c r="C83" s="12" t="n">
        <v>53.676983</v>
      </c>
      <c r="D83" s="12" t="n">
        <v>36.947338</v>
      </c>
      <c r="E83" s="12" t="n">
        <v>58.618576</v>
      </c>
      <c r="F83" s="12" t="n">
        <v>18.050663</v>
      </c>
      <c r="G83" s="12" t="n">
        <v>74.854637</v>
      </c>
      <c r="H83" s="13">
        <f>100*B83/B$7</f>
        <v/>
      </c>
      <c r="I83" s="13">
        <f>100*C83/C$7</f>
        <v/>
      </c>
      <c r="J83" s="13">
        <f>100*D83/D$7</f>
        <v/>
      </c>
      <c r="K83" s="13">
        <f>100*E83/E$7</f>
        <v/>
      </c>
      <c r="L83" s="13">
        <f>100*F83/F$7</f>
        <v/>
      </c>
      <c r="M83" s="13">
        <f>100*G83/G$7</f>
        <v/>
      </c>
    </row>
    <row r="84">
      <c r="A84" s="11" t="n">
        <v>45035</v>
      </c>
      <c r="B84" s="12" t="n">
        <v>364.43222</v>
      </c>
      <c r="C84" s="12" t="n">
        <v>53.249096</v>
      </c>
      <c r="D84" s="12" t="n">
        <v>36.478397</v>
      </c>
      <c r="E84" s="12" t="n">
        <v>58.050724</v>
      </c>
      <c r="F84" s="12" t="n">
        <v>17.86165</v>
      </c>
      <c r="G84" s="12" t="n">
        <v>73.91941799999999</v>
      </c>
      <c r="H84" s="13">
        <f>100*B84/B$7</f>
        <v/>
      </c>
      <c r="I84" s="13">
        <f>100*C84/C$7</f>
        <v/>
      </c>
      <c r="J84" s="13">
        <f>100*D84/D$7</f>
        <v/>
      </c>
      <c r="K84" s="13">
        <f>100*E84/E$7</f>
        <v/>
      </c>
      <c r="L84" s="13">
        <f>100*F84/F$7</f>
        <v/>
      </c>
      <c r="M84" s="13">
        <f>100*G84/G$7</f>
        <v/>
      </c>
    </row>
    <row r="85">
      <c r="A85" s="11" t="n">
        <v>45036</v>
      </c>
      <c r="B85" s="12" t="n">
        <v>362.373138</v>
      </c>
      <c r="C85" s="12" t="n">
        <v>53.422077</v>
      </c>
      <c r="D85" s="12" t="n">
        <v>36.486626</v>
      </c>
      <c r="E85" s="12" t="n">
        <v>57.864548</v>
      </c>
      <c r="F85" s="12" t="n">
        <v>17.80151</v>
      </c>
      <c r="G85" s="12" t="n">
        <v>73.44725800000001</v>
      </c>
      <c r="H85" s="13">
        <f>100*B85/B$7</f>
        <v/>
      </c>
      <c r="I85" s="13">
        <f>100*C85/C$7</f>
        <v/>
      </c>
      <c r="J85" s="13">
        <f>100*D85/D$7</f>
        <v/>
      </c>
      <c r="K85" s="13">
        <f>100*E85/E$7</f>
        <v/>
      </c>
      <c r="L85" s="13">
        <f>100*F85/F$7</f>
        <v/>
      </c>
      <c r="M85" s="13">
        <f>100*G85/G$7</f>
        <v/>
      </c>
    </row>
    <row r="86">
      <c r="A86" s="11" t="n">
        <v>45037</v>
      </c>
      <c r="B86" s="12" t="n">
        <v>362.583923</v>
      </c>
      <c r="C86" s="12" t="n">
        <v>53.722504</v>
      </c>
      <c r="D86" s="12" t="n">
        <v>36.157551</v>
      </c>
      <c r="E86" s="12" t="n">
        <v>57.306011</v>
      </c>
      <c r="F86" s="12" t="n">
        <v>17.707005</v>
      </c>
      <c r="G86" s="12" t="n">
        <v>72.239632</v>
      </c>
      <c r="H86" s="13">
        <f>100*B86/B$7</f>
        <v/>
      </c>
      <c r="I86" s="13">
        <f>100*C86/C$7</f>
        <v/>
      </c>
      <c r="J86" s="13">
        <f>100*D86/D$7</f>
        <v/>
      </c>
      <c r="K86" s="13">
        <f>100*E86/E$7</f>
        <v/>
      </c>
      <c r="L86" s="13">
        <f>100*F86/F$7</f>
        <v/>
      </c>
      <c r="M86" s="13">
        <f>100*G86/G$7</f>
        <v/>
      </c>
    </row>
    <row r="87">
      <c r="A87" s="11" t="n">
        <v>45040</v>
      </c>
      <c r="B87" s="12" t="n">
        <v>363.062744</v>
      </c>
      <c r="C87" s="12" t="n">
        <v>53.69519</v>
      </c>
      <c r="D87" s="12" t="n">
        <v>36.231594</v>
      </c>
      <c r="E87" s="12" t="n">
        <v>56.933651</v>
      </c>
      <c r="F87" s="12" t="n">
        <v>17.569542</v>
      </c>
      <c r="G87" s="12" t="n">
        <v>71.41336800000001</v>
      </c>
      <c r="H87" s="13">
        <f>100*B87/B$7</f>
        <v/>
      </c>
      <c r="I87" s="13">
        <f>100*C87/C$7</f>
        <v/>
      </c>
      <c r="J87" s="13">
        <f>100*D87/D$7</f>
        <v/>
      </c>
      <c r="K87" s="13">
        <f>100*E87/E$7</f>
        <v/>
      </c>
      <c r="L87" s="13">
        <f>100*F87/F$7</f>
        <v/>
      </c>
      <c r="M87" s="13">
        <f>100*G87/G$7</f>
        <v/>
      </c>
    </row>
    <row r="88">
      <c r="A88" s="11" t="n">
        <v>45041</v>
      </c>
      <c r="B88" s="12" t="n">
        <v>357.32605</v>
      </c>
      <c r="C88" s="12" t="n">
        <v>53.32193</v>
      </c>
      <c r="D88" s="12" t="n">
        <v>35.310165</v>
      </c>
      <c r="E88" s="12" t="n">
        <v>55.3232</v>
      </c>
      <c r="F88" s="12" t="n">
        <v>17.303204</v>
      </c>
      <c r="G88" s="12" t="n">
        <v>69.524742</v>
      </c>
      <c r="H88" s="13">
        <f>100*B88/B$7</f>
        <v/>
      </c>
      <c r="I88" s="13">
        <f>100*C88/C$7</f>
        <v/>
      </c>
      <c r="J88" s="13">
        <f>100*D88/D$7</f>
        <v/>
      </c>
      <c r="K88" s="13">
        <f>100*E88/E$7</f>
        <v/>
      </c>
      <c r="L88" s="13">
        <f>100*F88/F$7</f>
        <v/>
      </c>
      <c r="M88" s="13">
        <f>100*G88/G$7</f>
        <v/>
      </c>
    </row>
    <row r="89">
      <c r="A89" s="11" t="n">
        <v>45042</v>
      </c>
      <c r="B89" s="12" t="n">
        <v>355.736176</v>
      </c>
      <c r="C89" s="12" t="n">
        <v>53.130745</v>
      </c>
      <c r="D89" s="12" t="n">
        <v>35.408894</v>
      </c>
      <c r="E89" s="12" t="n">
        <v>55.63039</v>
      </c>
      <c r="F89" s="12" t="n">
        <v>17.543766</v>
      </c>
      <c r="G89" s="12" t="n">
        <v>70.57802599999999</v>
      </c>
      <c r="H89" s="13">
        <f>100*B89/B$7</f>
        <v/>
      </c>
      <c r="I89" s="13">
        <f>100*C89/C$7</f>
        <v/>
      </c>
      <c r="J89" s="13">
        <f>100*D89/D$7</f>
        <v/>
      </c>
      <c r="K89" s="13">
        <f>100*E89/E$7</f>
        <v/>
      </c>
      <c r="L89" s="13">
        <f>100*F89/F$7</f>
        <v/>
      </c>
      <c r="M89" s="13">
        <f>100*G89/G$7</f>
        <v/>
      </c>
    </row>
    <row r="90">
      <c r="A90" s="11" t="n">
        <v>45043</v>
      </c>
      <c r="B90" s="12" t="n">
        <v>362.794556</v>
      </c>
      <c r="C90" s="12" t="n">
        <v>53.995621</v>
      </c>
      <c r="D90" s="12" t="n">
        <v>35.910736</v>
      </c>
      <c r="E90" s="12" t="n">
        <v>56.347179</v>
      </c>
      <c r="F90" s="12" t="n">
        <v>17.80151</v>
      </c>
      <c r="G90" s="12" t="n">
        <v>71.40428199999999</v>
      </c>
      <c r="H90" s="13">
        <f>100*B90/B$7</f>
        <v/>
      </c>
      <c r="I90" s="13">
        <f>100*C90/C$7</f>
        <v/>
      </c>
      <c r="J90" s="13">
        <f>100*D90/D$7</f>
        <v/>
      </c>
      <c r="K90" s="13">
        <f>100*E90/E$7</f>
        <v/>
      </c>
      <c r="L90" s="13">
        <f>100*F90/F$7</f>
        <v/>
      </c>
      <c r="M90" s="13">
        <f>100*G90/G$7</f>
        <v/>
      </c>
    </row>
    <row r="91">
      <c r="A91" s="11" t="n">
        <v>45044</v>
      </c>
      <c r="B91" s="12" t="n">
        <v>365.897552</v>
      </c>
      <c r="C91" s="12" t="n">
        <v>53.567738</v>
      </c>
      <c r="D91" s="12" t="n">
        <v>36.132866</v>
      </c>
      <c r="E91" s="12" t="n">
        <v>56.477505</v>
      </c>
      <c r="F91" s="12" t="n">
        <v>17.896015</v>
      </c>
      <c r="G91" s="12" t="n">
        <v>71.83103199999999</v>
      </c>
      <c r="H91" s="13">
        <f>100*B91/B$7</f>
        <v/>
      </c>
      <c r="I91" s="13">
        <f>100*C91/C$7</f>
        <v/>
      </c>
      <c r="J91" s="13">
        <f>100*D91/D$7</f>
        <v/>
      </c>
      <c r="K91" s="13">
        <f>100*E91/E$7</f>
        <v/>
      </c>
      <c r="L91" s="13">
        <f>100*F91/F$7</f>
        <v/>
      </c>
      <c r="M91" s="13">
        <f>100*G91/G$7</f>
        <v/>
      </c>
    </row>
    <row r="92">
      <c r="A92" s="11" t="n">
        <v>45047</v>
      </c>
      <c r="B92" s="12" t="n">
        <v>365.64856</v>
      </c>
      <c r="C92" s="12" t="n">
        <v>53.504009</v>
      </c>
      <c r="D92" s="12" t="n">
        <v>35.951874</v>
      </c>
      <c r="E92" s="12" t="n">
        <v>56.105152</v>
      </c>
      <c r="F92" s="12" t="n">
        <v>17.878832</v>
      </c>
      <c r="G92" s="12" t="n">
        <v>71.676682</v>
      </c>
      <c r="H92" s="13">
        <f>100*B92/B$7</f>
        <v/>
      </c>
      <c r="I92" s="13">
        <f>100*C92/C$7</f>
        <v/>
      </c>
      <c r="J92" s="13">
        <f>100*D92/D$7</f>
        <v/>
      </c>
      <c r="K92" s="13">
        <f>100*E92/E$7</f>
        <v/>
      </c>
      <c r="L92" s="13">
        <f>100*F92/F$7</f>
        <v/>
      </c>
      <c r="M92" s="13">
        <f>100*G92/G$7</f>
        <v/>
      </c>
    </row>
    <row r="93">
      <c r="A93" s="11" t="n">
        <v>45048</v>
      </c>
      <c r="B93" s="12" t="n">
        <v>361.54953</v>
      </c>
      <c r="C93" s="12" t="n">
        <v>53.057919</v>
      </c>
      <c r="D93" s="12" t="n">
        <v>35.828468</v>
      </c>
      <c r="E93" s="12" t="n">
        <v>56.226166</v>
      </c>
      <c r="F93" s="12" t="n">
        <v>17.569542</v>
      </c>
      <c r="G93" s="12" t="n">
        <v>70.478149</v>
      </c>
      <c r="H93" s="13">
        <f>100*B93/B$7</f>
        <v/>
      </c>
      <c r="I93" s="13">
        <f>100*C93/C$7</f>
        <v/>
      </c>
      <c r="J93" s="13">
        <f>100*D93/D$7</f>
        <v/>
      </c>
      <c r="K93" s="13">
        <f>100*E93/E$7</f>
        <v/>
      </c>
      <c r="L93" s="13">
        <f>100*F93/F$7</f>
        <v/>
      </c>
      <c r="M93" s="13">
        <f>100*G93/G$7</f>
        <v/>
      </c>
    </row>
    <row r="94">
      <c r="A94" s="11" t="n">
        <v>45049</v>
      </c>
      <c r="B94" s="12" t="n">
        <v>359.03067</v>
      </c>
      <c r="C94" s="12" t="n">
        <v>53.376553</v>
      </c>
      <c r="D94" s="12" t="n">
        <v>35.869602</v>
      </c>
      <c r="E94" s="12" t="n">
        <v>55.92828</v>
      </c>
      <c r="F94" s="12" t="n">
        <v>17.560949</v>
      </c>
      <c r="G94" s="12" t="n">
        <v>70.296532</v>
      </c>
      <c r="H94" s="13">
        <f>100*B94/B$7</f>
        <v/>
      </c>
      <c r="I94" s="13">
        <f>100*C94/C$7</f>
        <v/>
      </c>
      <c r="J94" s="13">
        <f>100*D94/D$7</f>
        <v/>
      </c>
      <c r="K94" s="13">
        <f>100*E94/E$7</f>
        <v/>
      </c>
      <c r="L94" s="13">
        <f>100*F94/F$7</f>
        <v/>
      </c>
      <c r="M94" s="13">
        <f>100*G94/G$7</f>
        <v/>
      </c>
    </row>
    <row r="95">
      <c r="A95" s="11" t="n">
        <v>45050</v>
      </c>
      <c r="B95" s="12" t="n">
        <v>356.406555</v>
      </c>
      <c r="C95" s="12" t="n">
        <v>53.4767</v>
      </c>
      <c r="D95" s="12" t="n">
        <v>35.984779</v>
      </c>
      <c r="E95" s="12" t="n">
        <v>56.375114</v>
      </c>
      <c r="F95" s="12" t="n">
        <v>17.707005</v>
      </c>
      <c r="G95" s="12" t="n">
        <v>71.39521000000001</v>
      </c>
      <c r="H95" s="13">
        <f>100*B95/B$7</f>
        <v/>
      </c>
      <c r="I95" s="13">
        <f>100*C95/C$7</f>
        <v/>
      </c>
      <c r="J95" s="13">
        <f>100*D95/D$7</f>
        <v/>
      </c>
      <c r="K95" s="13">
        <f>100*E95/E$7</f>
        <v/>
      </c>
      <c r="L95" s="13">
        <f>100*F95/F$7</f>
        <v/>
      </c>
      <c r="M95" s="13">
        <f>100*G95/G$7</f>
        <v/>
      </c>
    </row>
    <row r="96">
      <c r="A96" s="11" t="n">
        <v>45051</v>
      </c>
      <c r="B96" s="12" t="n">
        <v>362.947784</v>
      </c>
      <c r="C96" s="12" t="n">
        <v>54.195908</v>
      </c>
      <c r="D96" s="12" t="n">
        <v>36.527763</v>
      </c>
      <c r="E96" s="12" t="n">
        <v>57.333935</v>
      </c>
      <c r="F96" s="12" t="n">
        <v>17.715595</v>
      </c>
      <c r="G96" s="12" t="n">
        <v>71.90368700000001</v>
      </c>
      <c r="H96" s="13">
        <f>100*B96/B$7</f>
        <v/>
      </c>
      <c r="I96" s="13">
        <f>100*C96/C$7</f>
        <v/>
      </c>
      <c r="J96" s="13">
        <f>100*D96/D$7</f>
        <v/>
      </c>
      <c r="K96" s="13">
        <f>100*E96/E$7</f>
        <v/>
      </c>
      <c r="L96" s="13">
        <f>100*F96/F$7</f>
        <v/>
      </c>
      <c r="M96" s="13">
        <f>100*G96/G$7</f>
        <v/>
      </c>
    </row>
    <row r="97">
      <c r="A97" s="11" t="n">
        <v>45054</v>
      </c>
      <c r="B97" s="12" t="n">
        <v>363.148865</v>
      </c>
      <c r="C97" s="12" t="n">
        <v>54.077557</v>
      </c>
      <c r="D97" s="12" t="n">
        <v>36.420811</v>
      </c>
      <c r="E97" s="12" t="n">
        <v>57.2967</v>
      </c>
      <c r="F97" s="12" t="n">
        <v>17.715595</v>
      </c>
      <c r="G97" s="12" t="n">
        <v>72.13067599999999</v>
      </c>
      <c r="H97" s="13">
        <f>100*B97/B$7</f>
        <v/>
      </c>
      <c r="I97" s="13">
        <f>100*C97/C$7</f>
        <v/>
      </c>
      <c r="J97" s="13">
        <f>100*D97/D$7</f>
        <v/>
      </c>
      <c r="K97" s="13">
        <f>100*E97/E$7</f>
        <v/>
      </c>
      <c r="L97" s="13">
        <f>100*F97/F$7</f>
        <v/>
      </c>
      <c r="M97" s="13">
        <f>100*G97/G$7</f>
        <v/>
      </c>
    </row>
    <row r="98">
      <c r="A98" s="11" t="n">
        <v>45055</v>
      </c>
      <c r="B98" s="12" t="n">
        <v>361.578278</v>
      </c>
      <c r="C98" s="12" t="n">
        <v>54.660213</v>
      </c>
      <c r="D98" s="12" t="n">
        <v>36.32209</v>
      </c>
      <c r="E98" s="12" t="n">
        <v>56.766087</v>
      </c>
      <c r="F98" s="12" t="n">
        <v>17.440666</v>
      </c>
      <c r="G98" s="12" t="n">
        <v>71.041084</v>
      </c>
      <c r="H98" s="13">
        <f>100*B98/B$7</f>
        <v/>
      </c>
      <c r="I98" s="13">
        <f>100*C98/C$7</f>
        <v/>
      </c>
      <c r="J98" s="13">
        <f>100*D98/D$7</f>
        <v/>
      </c>
      <c r="K98" s="13">
        <f>100*E98/E$7</f>
        <v/>
      </c>
      <c r="L98" s="13">
        <f>100*F98/F$7</f>
        <v/>
      </c>
      <c r="M98" s="13">
        <f>100*G98/G$7</f>
        <v/>
      </c>
    </row>
    <row r="99">
      <c r="A99" s="11" t="n">
        <v>45056</v>
      </c>
      <c r="B99" s="12" t="n">
        <v>363.158478</v>
      </c>
      <c r="C99" s="12" t="n">
        <v>54.387093</v>
      </c>
      <c r="D99" s="12" t="n">
        <v>36.248047</v>
      </c>
      <c r="E99" s="12" t="n">
        <v>56.840561</v>
      </c>
      <c r="F99" s="12" t="n">
        <v>17.440666</v>
      </c>
      <c r="G99" s="12" t="n">
        <v>70.7687</v>
      </c>
      <c r="H99" s="13">
        <f>100*B99/B$7</f>
        <v/>
      </c>
      <c r="I99" s="13">
        <f>100*C99/C$7</f>
        <v/>
      </c>
      <c r="J99" s="13">
        <f>100*D99/D$7</f>
        <v/>
      </c>
      <c r="K99" s="13">
        <f>100*E99/E$7</f>
        <v/>
      </c>
      <c r="L99" s="13">
        <f>100*F99/F$7</f>
        <v/>
      </c>
      <c r="M99" s="13">
        <f>100*G99/G$7</f>
        <v/>
      </c>
    </row>
    <row r="100">
      <c r="A100" s="11" t="n">
        <v>45057</v>
      </c>
      <c r="B100" s="12" t="n">
        <v>362.65094</v>
      </c>
      <c r="C100" s="12" t="n">
        <v>54.541859</v>
      </c>
      <c r="D100" s="12" t="n">
        <v>35.795559</v>
      </c>
      <c r="E100" s="12" t="n">
        <v>55.909664</v>
      </c>
      <c r="F100" s="12" t="n">
        <v>17.38912</v>
      </c>
      <c r="G100" s="12" t="n">
        <v>71.295326</v>
      </c>
      <c r="H100" s="13">
        <f>100*B100/B$7</f>
        <v/>
      </c>
      <c r="I100" s="13">
        <f>100*C100/C$7</f>
        <v/>
      </c>
      <c r="J100" s="13">
        <f>100*D100/D$7</f>
        <v/>
      </c>
      <c r="K100" s="13">
        <f>100*E100/E$7</f>
        <v/>
      </c>
      <c r="L100" s="13">
        <f>100*F100/F$7</f>
        <v/>
      </c>
      <c r="M100" s="13">
        <f>100*G100/G$7</f>
        <v/>
      </c>
    </row>
    <row r="101">
      <c r="A101" s="11" t="n">
        <v>45058</v>
      </c>
      <c r="B101" s="12" t="n">
        <v>362.162506</v>
      </c>
      <c r="C101" s="12" t="n">
        <v>54.805874</v>
      </c>
      <c r="D101" s="12" t="n">
        <v>35.631023</v>
      </c>
      <c r="E101" s="12" t="n">
        <v>55.174255</v>
      </c>
      <c r="F101" s="12" t="n">
        <v>17.088419</v>
      </c>
      <c r="G101" s="12" t="n">
        <v>69.470276</v>
      </c>
      <c r="H101" s="13">
        <f>100*B101/B$7</f>
        <v/>
      </c>
      <c r="I101" s="13">
        <f>100*C101/C$7</f>
        <v/>
      </c>
      <c r="J101" s="13">
        <f>100*D101/D$7</f>
        <v/>
      </c>
      <c r="K101" s="13">
        <f>100*E101/E$7</f>
        <v/>
      </c>
      <c r="L101" s="13">
        <f>100*F101/F$7</f>
        <v/>
      </c>
      <c r="M101" s="13">
        <f>100*G101/G$7</f>
        <v/>
      </c>
    </row>
    <row r="102">
      <c r="A102" s="11" t="n">
        <v>45061</v>
      </c>
      <c r="B102" s="12" t="n">
        <v>363.417023</v>
      </c>
      <c r="C102" s="12" t="n">
        <v>55.133621</v>
      </c>
      <c r="D102" s="12" t="n">
        <v>36.058826</v>
      </c>
      <c r="E102" s="12" t="n">
        <v>56.058605</v>
      </c>
      <c r="F102" s="12" t="n">
        <v>17.569542</v>
      </c>
      <c r="G102" s="12" t="n">
        <v>72.112526</v>
      </c>
      <c r="H102" s="13">
        <f>100*B102/B$7</f>
        <v/>
      </c>
      <c r="I102" s="13">
        <f>100*C102/C$7</f>
        <v/>
      </c>
      <c r="J102" s="13">
        <f>100*D102/D$7</f>
        <v/>
      </c>
      <c r="K102" s="13">
        <f>100*E102/E$7</f>
        <v/>
      </c>
      <c r="L102" s="13">
        <f>100*F102/F$7</f>
        <v/>
      </c>
      <c r="M102" s="13">
        <f>100*G102/G$7</f>
        <v/>
      </c>
    </row>
    <row r="103">
      <c r="A103" s="11" t="n">
        <v>45062</v>
      </c>
      <c r="B103" s="12" t="n">
        <v>361.013153</v>
      </c>
      <c r="C103" s="12" t="n">
        <v>55.024368</v>
      </c>
      <c r="D103" s="12" t="n">
        <v>36.206905</v>
      </c>
      <c r="E103" s="12" t="n">
        <v>55.472141</v>
      </c>
      <c r="F103" s="12" t="n">
        <v>17.260244</v>
      </c>
      <c r="G103" s="12" t="n">
        <v>71.259018</v>
      </c>
      <c r="H103" s="13">
        <f>100*B103/B$7</f>
        <v/>
      </c>
      <c r="I103" s="13">
        <f>100*C103/C$7</f>
        <v/>
      </c>
      <c r="J103" s="13">
        <f>100*D103/D$7</f>
        <v/>
      </c>
      <c r="K103" s="13">
        <f>100*E103/E$7</f>
        <v/>
      </c>
      <c r="L103" s="13">
        <f>100*F103/F$7</f>
        <v/>
      </c>
      <c r="M103" s="13">
        <f>100*G103/G$7</f>
        <v/>
      </c>
    </row>
    <row r="104">
      <c r="A104" s="11" t="n">
        <v>45063</v>
      </c>
      <c r="B104" s="12" t="n">
        <v>365.322937</v>
      </c>
      <c r="C104" s="12" t="n">
        <v>55.397633</v>
      </c>
      <c r="D104" s="12" t="n">
        <v>37.095425</v>
      </c>
      <c r="E104" s="12" t="n">
        <v>56.53336</v>
      </c>
      <c r="F104" s="12" t="n">
        <v>17.079826</v>
      </c>
      <c r="G104" s="12" t="n">
        <v>70.66881600000001</v>
      </c>
      <c r="H104" s="13">
        <f>100*B104/B$7</f>
        <v/>
      </c>
      <c r="I104" s="13">
        <f>100*C104/C$7</f>
        <v/>
      </c>
      <c r="J104" s="13">
        <f>100*D104/D$7</f>
        <v/>
      </c>
      <c r="K104" s="13">
        <f>100*E104/E$7</f>
        <v/>
      </c>
      <c r="L104" s="13">
        <f>100*F104/F$7</f>
        <v/>
      </c>
      <c r="M104" s="13">
        <f>100*G104/G$7</f>
        <v/>
      </c>
    </row>
    <row r="105">
      <c r="A105" s="11" t="n">
        <v>45064</v>
      </c>
      <c r="B105" s="12" t="n">
        <v>368.895233</v>
      </c>
      <c r="C105" s="12" t="n">
        <v>55.406738</v>
      </c>
      <c r="D105" s="12" t="n">
        <v>37.383366</v>
      </c>
      <c r="E105" s="12" t="n">
        <v>56.970886</v>
      </c>
      <c r="F105" s="12" t="n">
        <v>17.002504</v>
      </c>
      <c r="G105" s="12" t="n">
        <v>69.551987</v>
      </c>
      <c r="H105" s="13">
        <f>100*B105/B$7</f>
        <v/>
      </c>
      <c r="I105" s="13">
        <f>100*C105/C$7</f>
        <v/>
      </c>
      <c r="J105" s="13">
        <f>100*D105/D$7</f>
        <v/>
      </c>
      <c r="K105" s="13">
        <f>100*E105/E$7</f>
        <v/>
      </c>
      <c r="L105" s="13">
        <f>100*F105/F$7</f>
        <v/>
      </c>
      <c r="M105" s="13">
        <f>100*G105/G$7</f>
        <v/>
      </c>
    </row>
    <row r="106">
      <c r="A106" s="11" t="n">
        <v>45065</v>
      </c>
      <c r="B106" s="12" t="n">
        <v>368.311127</v>
      </c>
      <c r="C106" s="12" t="n">
        <v>55.497772</v>
      </c>
      <c r="D106" s="12" t="n">
        <v>37.514996</v>
      </c>
      <c r="E106" s="12" t="n">
        <v>57.762146</v>
      </c>
      <c r="F106" s="12" t="n">
        <v>17.088419</v>
      </c>
      <c r="G106" s="12" t="n">
        <v>69.524742</v>
      </c>
      <c r="H106" s="13">
        <f>100*B106/B$7</f>
        <v/>
      </c>
      <c r="I106" s="13">
        <f>100*C106/C$7</f>
        <v/>
      </c>
      <c r="J106" s="13">
        <f>100*D106/D$7</f>
        <v/>
      </c>
      <c r="K106" s="13">
        <f>100*E106/E$7</f>
        <v/>
      </c>
      <c r="L106" s="13">
        <f>100*F106/F$7</f>
        <v/>
      </c>
      <c r="M106" s="13">
        <f>100*G106/G$7</f>
        <v/>
      </c>
    </row>
    <row r="107">
      <c r="A107" s="11" t="n">
        <v>45068</v>
      </c>
      <c r="B107" s="12" t="n">
        <v>368.512177</v>
      </c>
      <c r="C107" s="12" t="n">
        <v>55.743584</v>
      </c>
      <c r="D107" s="12" t="n">
        <v>37.383366</v>
      </c>
      <c r="E107" s="12" t="n">
        <v>58.748898</v>
      </c>
      <c r="F107" s="12" t="n">
        <v>17.174332</v>
      </c>
      <c r="G107" s="12" t="n">
        <v>70.251137</v>
      </c>
      <c r="H107" s="13">
        <f>100*B107/B$7</f>
        <v/>
      </c>
      <c r="I107" s="13">
        <f>100*C107/C$7</f>
        <v/>
      </c>
      <c r="J107" s="13">
        <f>100*D107/D$7</f>
        <v/>
      </c>
      <c r="K107" s="13">
        <f>100*E107/E$7</f>
        <v/>
      </c>
      <c r="L107" s="13">
        <f>100*F107/F$7</f>
        <v/>
      </c>
      <c r="M107" s="13">
        <f>100*G107/G$7</f>
        <v/>
      </c>
    </row>
    <row r="108">
      <c r="A108" s="11" t="n">
        <v>45069</v>
      </c>
      <c r="B108" s="12" t="n">
        <v>364.393951</v>
      </c>
      <c r="C108" s="12" t="n">
        <v>54.942429</v>
      </c>
      <c r="D108" s="12" t="n">
        <v>36.980244</v>
      </c>
      <c r="E108" s="12" t="n">
        <v>58.041416</v>
      </c>
      <c r="F108" s="12" t="n">
        <v>16.873634</v>
      </c>
      <c r="G108" s="12" t="n">
        <v>68.535042</v>
      </c>
      <c r="H108" s="13">
        <f>100*B108/B$7</f>
        <v/>
      </c>
      <c r="I108" s="13">
        <f>100*C108/C$7</f>
        <v/>
      </c>
      <c r="J108" s="13">
        <f>100*D108/D$7</f>
        <v/>
      </c>
      <c r="K108" s="13">
        <f>100*E108/E$7</f>
        <v/>
      </c>
      <c r="L108" s="13">
        <f>100*F108/F$7</f>
        <v/>
      </c>
      <c r="M108" s="13">
        <f>100*G108/G$7</f>
        <v/>
      </c>
    </row>
    <row r="109">
      <c r="A109" s="11" t="n">
        <v>45070</v>
      </c>
      <c r="B109" s="12" t="n">
        <v>361.664429</v>
      </c>
      <c r="C109" s="12" t="n">
        <v>54.359776</v>
      </c>
      <c r="D109" s="12" t="n">
        <v>36.782795</v>
      </c>
      <c r="E109" s="12" t="n">
        <v>58.041416</v>
      </c>
      <c r="F109" s="12" t="n">
        <v>16.736168</v>
      </c>
      <c r="G109" s="12" t="n">
        <v>67.336502</v>
      </c>
      <c r="H109" s="13">
        <f>100*B109/B$7</f>
        <v/>
      </c>
      <c r="I109" s="13">
        <f>100*C109/C$7</f>
        <v/>
      </c>
      <c r="J109" s="13">
        <f>100*D109/D$7</f>
        <v/>
      </c>
      <c r="K109" s="13">
        <f>100*E109/E$7</f>
        <v/>
      </c>
      <c r="L109" s="13">
        <f>100*F109/F$7</f>
        <v/>
      </c>
      <c r="M109" s="13">
        <f>100*G109/G$7</f>
        <v/>
      </c>
    </row>
    <row r="110">
      <c r="A110" s="11" t="n">
        <v>45071</v>
      </c>
      <c r="B110" s="12" t="n">
        <v>364.815338</v>
      </c>
      <c r="C110" s="12" t="n">
        <v>54.669319</v>
      </c>
      <c r="D110" s="12" t="n">
        <v>37.605492</v>
      </c>
      <c r="E110" s="12" t="n">
        <v>57.762146</v>
      </c>
      <c r="F110" s="12" t="n">
        <v>16.469833</v>
      </c>
      <c r="G110" s="12" t="n">
        <v>65.947273</v>
      </c>
      <c r="H110" s="13">
        <f>100*B110/B$7</f>
        <v/>
      </c>
      <c r="I110" s="13">
        <f>100*C110/C$7</f>
        <v/>
      </c>
      <c r="J110" s="13">
        <f>100*D110/D$7</f>
        <v/>
      </c>
      <c r="K110" s="13">
        <f>100*E110/E$7</f>
        <v/>
      </c>
      <c r="L110" s="13">
        <f>100*F110/F$7</f>
        <v/>
      </c>
      <c r="M110" s="13">
        <f>100*G110/G$7</f>
        <v/>
      </c>
    </row>
    <row r="111">
      <c r="A111" s="11" t="n">
        <v>45072</v>
      </c>
      <c r="B111" s="12" t="n">
        <v>369.556091</v>
      </c>
      <c r="C111" s="12" t="n">
        <v>54.851395</v>
      </c>
      <c r="D111" s="12" t="n">
        <v>38.502232</v>
      </c>
      <c r="E111" s="12" t="n">
        <v>58.73959</v>
      </c>
      <c r="F111" s="12" t="n">
        <v>16.727577</v>
      </c>
      <c r="G111" s="12" t="n">
        <v>66.936981</v>
      </c>
      <c r="H111" s="13">
        <f>100*B111/B$7</f>
        <v/>
      </c>
      <c r="I111" s="13">
        <f>100*C111/C$7</f>
        <v/>
      </c>
      <c r="J111" s="13">
        <f>100*D111/D$7</f>
        <v/>
      </c>
      <c r="K111" s="13">
        <f>100*E111/E$7</f>
        <v/>
      </c>
      <c r="L111" s="13">
        <f>100*F111/F$7</f>
        <v/>
      </c>
      <c r="M111" s="13">
        <f>100*G111/G$7</f>
        <v/>
      </c>
    </row>
    <row r="112">
      <c r="A112" s="11" t="n">
        <v>45075</v>
      </c>
      <c r="B112" s="12" t="n">
        <v>369.556091</v>
      </c>
      <c r="C112" s="12" t="n">
        <v>54.851395</v>
      </c>
      <c r="D112" s="12" t="n">
        <v>38.502232</v>
      </c>
      <c r="E112" s="12" t="n">
        <v>58.73959</v>
      </c>
      <c r="F112" s="12" t="n">
        <v>16.727577</v>
      </c>
      <c r="G112" s="12" t="n">
        <v>66.936981</v>
      </c>
      <c r="H112" s="13">
        <f>100*B112/B$7</f>
        <v/>
      </c>
      <c r="I112" s="13">
        <f>100*C112/C$7</f>
        <v/>
      </c>
      <c r="J112" s="13">
        <f>100*D112/D$7</f>
        <v/>
      </c>
      <c r="K112" s="13">
        <f>100*E112/E$7</f>
        <v/>
      </c>
      <c r="L112" s="13">
        <f>100*F112/F$7</f>
        <v/>
      </c>
      <c r="M112" s="13">
        <f>100*G112/G$7</f>
        <v/>
      </c>
    </row>
    <row r="113">
      <c r="A113" s="11" t="n">
        <v>45076</v>
      </c>
      <c r="B113" s="12" t="n">
        <v>369.671021</v>
      </c>
      <c r="C113" s="12" t="n">
        <v>54.496342</v>
      </c>
      <c r="D113" s="12" t="n">
        <v>38.51046</v>
      </c>
      <c r="E113" s="12" t="n">
        <v>59.056087</v>
      </c>
      <c r="F113" s="12" t="n">
        <v>16.358143</v>
      </c>
      <c r="G113" s="12" t="n">
        <v>65.393394</v>
      </c>
      <c r="H113" s="13">
        <f>100*B113/B$7</f>
        <v/>
      </c>
      <c r="I113" s="13">
        <f>100*C113/C$7</f>
        <v/>
      </c>
      <c r="J113" s="13">
        <f>100*D113/D$7</f>
        <v/>
      </c>
      <c r="K113" s="13">
        <f>100*E113/E$7</f>
        <v/>
      </c>
      <c r="L113" s="13">
        <f>100*F113/F$7</f>
        <v/>
      </c>
      <c r="M113" s="13">
        <f>100*G113/G$7</f>
        <v/>
      </c>
    </row>
    <row r="114">
      <c r="A114" s="11" t="n">
        <v>45077</v>
      </c>
      <c r="B114" s="12" t="n">
        <v>367.659821</v>
      </c>
      <c r="C114" s="12" t="n">
        <v>54.022934</v>
      </c>
      <c r="D114" s="12" t="n">
        <v>38.008617</v>
      </c>
      <c r="E114" s="12" t="n">
        <v>58.4417</v>
      </c>
      <c r="F114" s="12" t="n">
        <v>16.280825</v>
      </c>
      <c r="G114" s="12" t="n">
        <v>65.11191599999999</v>
      </c>
      <c r="H114" s="13">
        <f>100*B114/B$7</f>
        <v/>
      </c>
      <c r="I114" s="13">
        <f>100*C114/C$7</f>
        <v/>
      </c>
      <c r="J114" s="13">
        <f>100*D114/D$7</f>
        <v/>
      </c>
      <c r="K114" s="13">
        <f>100*E114/E$7</f>
        <v/>
      </c>
      <c r="L114" s="13">
        <f>100*F114/F$7</f>
        <v/>
      </c>
      <c r="M114" s="13">
        <f>100*G114/G$7</f>
        <v/>
      </c>
    </row>
    <row r="115">
      <c r="A115" s="11" t="n">
        <v>45078</v>
      </c>
      <c r="B115" s="12" t="n">
        <v>371.184235</v>
      </c>
      <c r="C115" s="12" t="n">
        <v>55.379425</v>
      </c>
      <c r="D115" s="12" t="n">
        <v>38.362377</v>
      </c>
      <c r="E115" s="12" t="n">
        <v>59.353977</v>
      </c>
      <c r="F115" s="12" t="n">
        <v>16.409695</v>
      </c>
      <c r="G115" s="12" t="n">
        <v>66.555618</v>
      </c>
      <c r="H115" s="13">
        <f>100*B115/B$7</f>
        <v/>
      </c>
      <c r="I115" s="13">
        <f>100*C115/C$7</f>
        <v/>
      </c>
      <c r="J115" s="13">
        <f>100*D115/D$7</f>
        <v/>
      </c>
      <c r="K115" s="13">
        <f>100*E115/E$7</f>
        <v/>
      </c>
      <c r="L115" s="13">
        <f>100*F115/F$7</f>
        <v/>
      </c>
      <c r="M115" s="13">
        <f>100*G115/G$7</f>
        <v/>
      </c>
    </row>
    <row r="116">
      <c r="A116" s="11" t="n">
        <v>45079</v>
      </c>
      <c r="B116" s="12" t="n">
        <v>376.633667</v>
      </c>
      <c r="C116" s="12" t="n">
        <v>56.444588</v>
      </c>
      <c r="D116" s="12" t="n">
        <v>38.798405</v>
      </c>
      <c r="E116" s="12" t="n">
        <v>60.657238</v>
      </c>
      <c r="F116" s="12" t="n">
        <v>16.899405</v>
      </c>
      <c r="G116" s="12" t="n">
        <v>68.14460800000001</v>
      </c>
      <c r="H116" s="13">
        <f>100*B116/B$7</f>
        <v/>
      </c>
      <c r="I116" s="13">
        <f>100*C116/C$7</f>
        <v/>
      </c>
      <c r="J116" s="13">
        <f>100*D116/D$7</f>
        <v/>
      </c>
      <c r="K116" s="13">
        <f>100*E116/E$7</f>
        <v/>
      </c>
      <c r="L116" s="13">
        <f>100*F116/F$7</f>
        <v/>
      </c>
      <c r="M116" s="13">
        <f>100*G116/G$7</f>
        <v/>
      </c>
    </row>
    <row r="117">
      <c r="A117" s="11" t="n">
        <v>45082</v>
      </c>
      <c r="B117" s="12" t="n">
        <v>375.905792</v>
      </c>
      <c r="C117" s="12" t="n">
        <v>56.244301</v>
      </c>
      <c r="D117" s="12" t="n">
        <v>38.675003</v>
      </c>
      <c r="E117" s="12" t="n">
        <v>60.629307</v>
      </c>
      <c r="F117" s="12" t="n">
        <v>16.950954</v>
      </c>
      <c r="G117" s="12" t="n">
        <v>67.790497</v>
      </c>
      <c r="H117" s="13">
        <f>100*B117/B$7</f>
        <v/>
      </c>
      <c r="I117" s="13">
        <f>100*C117/C$7</f>
        <v/>
      </c>
      <c r="J117" s="13">
        <f>100*D117/D$7</f>
        <v/>
      </c>
      <c r="K117" s="13">
        <f>100*E117/E$7</f>
        <v/>
      </c>
      <c r="L117" s="13">
        <f>100*F117/F$7</f>
        <v/>
      </c>
      <c r="M117" s="13">
        <f>100*G117/G$7</f>
        <v/>
      </c>
    </row>
    <row r="118">
      <c r="A118" s="11" t="n">
        <v>45083</v>
      </c>
      <c r="B118" s="12" t="n">
        <v>376.681519</v>
      </c>
      <c r="C118" s="12" t="n">
        <v>57.391403</v>
      </c>
      <c r="D118" s="12" t="n">
        <v>38.880672</v>
      </c>
      <c r="E118" s="12" t="n">
        <v>61.159916</v>
      </c>
      <c r="F118" s="12" t="n">
        <v>17.088419</v>
      </c>
      <c r="G118" s="12" t="n">
        <v>68.852844</v>
      </c>
      <c r="H118" s="13">
        <f>100*B118/B$7</f>
        <v/>
      </c>
      <c r="I118" s="13">
        <f>100*C118/C$7</f>
        <v/>
      </c>
      <c r="J118" s="13">
        <f>100*D118/D$7</f>
        <v/>
      </c>
      <c r="K118" s="13">
        <f>100*E118/E$7</f>
        <v/>
      </c>
      <c r="L118" s="13">
        <f>100*F118/F$7</f>
        <v/>
      </c>
      <c r="M118" s="13">
        <f>100*G118/G$7</f>
        <v/>
      </c>
    </row>
    <row r="119">
      <c r="A119" s="11" t="n">
        <v>45084</v>
      </c>
      <c r="B119" s="12" t="n">
        <v>375.446075</v>
      </c>
      <c r="C119" s="12" t="n">
        <v>55.916492</v>
      </c>
      <c r="D119" s="12" t="n">
        <v>38.921814</v>
      </c>
      <c r="E119" s="12" t="n">
        <v>60.284878</v>
      </c>
      <c r="F119" s="12" t="n">
        <v>16.960108</v>
      </c>
      <c r="G119" s="12" t="n">
        <v>68.21723900000001</v>
      </c>
      <c r="H119" s="13">
        <f>100*B119/B$7</f>
        <v/>
      </c>
      <c r="I119" s="13">
        <f>100*C119/C$7</f>
        <v/>
      </c>
      <c r="J119" s="13">
        <f>100*D119/D$7</f>
        <v/>
      </c>
      <c r="K119" s="13">
        <f>100*E119/E$7</f>
        <v/>
      </c>
      <c r="L119" s="13">
        <f>100*F119/F$7</f>
        <v/>
      </c>
      <c r="M119" s="13">
        <f>100*G119/G$7</f>
        <v/>
      </c>
    </row>
    <row r="120">
      <c r="A120" s="11" t="n">
        <v>45085</v>
      </c>
      <c r="B120" s="12" t="n">
        <v>377.696716</v>
      </c>
      <c r="C120" s="12" t="n">
        <v>56.393158</v>
      </c>
      <c r="D120" s="12" t="n">
        <v>38.971172</v>
      </c>
      <c r="E120" s="12" t="n">
        <v>61.122688</v>
      </c>
      <c r="F120" s="12" t="n">
        <v>17.169596</v>
      </c>
      <c r="G120" s="12" t="n">
        <v>68.689392</v>
      </c>
      <c r="H120" s="13">
        <f>100*B120/B$7</f>
        <v/>
      </c>
      <c r="I120" s="13">
        <f>100*C120/C$7</f>
        <v/>
      </c>
      <c r="J120" s="13">
        <f>100*D120/D$7</f>
        <v/>
      </c>
      <c r="K120" s="13">
        <f>100*E120/E$7</f>
        <v/>
      </c>
      <c r="L120" s="13">
        <f>100*F120/F$7</f>
        <v/>
      </c>
      <c r="M120" s="13">
        <f>100*G120/G$7</f>
        <v/>
      </c>
    </row>
    <row r="121">
      <c r="A121" s="11" t="n">
        <v>45086</v>
      </c>
      <c r="B121" s="12" t="n">
        <v>378.328796</v>
      </c>
      <c r="C121" s="12" t="n">
        <v>57.034821</v>
      </c>
      <c r="D121" s="12" t="n">
        <v>39.160393</v>
      </c>
      <c r="E121" s="12" t="n">
        <v>62.072193</v>
      </c>
      <c r="F121" s="12" t="n">
        <v>17.117226</v>
      </c>
      <c r="G121" s="12" t="n">
        <v>68.88915299999999</v>
      </c>
      <c r="H121" s="13">
        <f>100*B121/B$7</f>
        <v/>
      </c>
      <c r="I121" s="13">
        <f>100*C121/C$7</f>
        <v/>
      </c>
      <c r="J121" s="13">
        <f>100*D121/D$7</f>
        <v/>
      </c>
      <c r="K121" s="13">
        <f>100*E121/E$7</f>
        <v/>
      </c>
      <c r="L121" s="13">
        <f>100*F121/F$7</f>
        <v/>
      </c>
      <c r="M121" s="13">
        <f>100*G121/G$7</f>
        <v/>
      </c>
    </row>
    <row r="122">
      <c r="A122" s="11" t="n">
        <v>45089</v>
      </c>
      <c r="B122" s="12" t="n">
        <v>381.805328</v>
      </c>
      <c r="C122" s="12" t="n">
        <v>57.392323</v>
      </c>
      <c r="D122" s="12" t="n">
        <v>39.514149</v>
      </c>
      <c r="E122" s="12" t="n">
        <v>62.034962</v>
      </c>
      <c r="F122" s="12" t="n">
        <v>17.187056</v>
      </c>
      <c r="G122" s="12" t="n">
        <v>68.68032100000001</v>
      </c>
      <c r="H122" s="13">
        <f>100*B122/B$7</f>
        <v/>
      </c>
      <c r="I122" s="13">
        <f>100*C122/C$7</f>
        <v/>
      </c>
      <c r="J122" s="13">
        <f>100*D122/D$7</f>
        <v/>
      </c>
      <c r="K122" s="13">
        <f>100*E122/E$7</f>
        <v/>
      </c>
      <c r="L122" s="13">
        <f>100*F122/F$7</f>
        <v/>
      </c>
      <c r="M122" s="13">
        <f>100*G122/G$7</f>
        <v/>
      </c>
    </row>
    <row r="123">
      <c r="A123" s="11" t="n">
        <v>45090</v>
      </c>
      <c r="B123" s="12" t="n">
        <v>384.324127</v>
      </c>
      <c r="C123" s="12" t="n">
        <v>58.217312</v>
      </c>
      <c r="D123" s="12" t="n">
        <v>40.098267</v>
      </c>
      <c r="E123" s="12" t="n">
        <v>62.844849</v>
      </c>
      <c r="F123" s="12" t="n">
        <v>17.309259</v>
      </c>
      <c r="G123" s="12" t="n">
        <v>69.38855</v>
      </c>
      <c r="H123" s="13">
        <f>100*B123/B$7</f>
        <v/>
      </c>
      <c r="I123" s="13">
        <f>100*C123/C$7</f>
        <v/>
      </c>
      <c r="J123" s="13">
        <f>100*D123/D$7</f>
        <v/>
      </c>
      <c r="K123" s="13">
        <f>100*E123/E$7</f>
        <v/>
      </c>
      <c r="L123" s="13">
        <f>100*F123/F$7</f>
        <v/>
      </c>
      <c r="M123" s="13">
        <f>100*G123/G$7</f>
        <v/>
      </c>
    </row>
    <row r="124">
      <c r="A124" s="11" t="n">
        <v>45091</v>
      </c>
      <c r="B124" s="12" t="n">
        <v>384.621033</v>
      </c>
      <c r="C124" s="12" t="n">
        <v>58.48315</v>
      </c>
      <c r="D124" s="12" t="n">
        <v>40.015995</v>
      </c>
      <c r="E124" s="12" t="n">
        <v>62.258373</v>
      </c>
      <c r="F124" s="12" t="n">
        <v>17.326719</v>
      </c>
      <c r="G124" s="12" t="n">
        <v>70.459969</v>
      </c>
      <c r="H124" s="13">
        <f>100*B124/B$7</f>
        <v/>
      </c>
      <c r="I124" s="13">
        <f>100*C124/C$7</f>
        <v/>
      </c>
      <c r="J124" s="13">
        <f>100*D124/D$7</f>
        <v/>
      </c>
      <c r="K124" s="13">
        <f>100*E124/E$7</f>
        <v/>
      </c>
      <c r="L124" s="13">
        <f>100*F124/F$7</f>
        <v/>
      </c>
      <c r="M124" s="13">
        <f>100*G124/G$7</f>
        <v/>
      </c>
    </row>
    <row r="125">
      <c r="A125" s="11" t="n">
        <v>45092</v>
      </c>
      <c r="B125" s="12" t="n">
        <v>389.553314</v>
      </c>
      <c r="C125" s="12" t="n">
        <v>58.400646</v>
      </c>
      <c r="D125" s="12" t="n">
        <v>40.336849</v>
      </c>
      <c r="E125" s="12" t="n">
        <v>62.407322</v>
      </c>
      <c r="F125" s="12" t="n">
        <v>17.352901</v>
      </c>
      <c r="G125" s="12" t="n">
        <v>71.86737100000001</v>
      </c>
      <c r="H125" s="13">
        <f>100*B125/B$7</f>
        <v/>
      </c>
      <c r="I125" s="13">
        <f>100*C125/C$7</f>
        <v/>
      </c>
      <c r="J125" s="13">
        <f>100*D125/D$7</f>
        <v/>
      </c>
      <c r="K125" s="13">
        <f>100*E125/E$7</f>
        <v/>
      </c>
      <c r="L125" s="13">
        <f>100*F125/F$7</f>
        <v/>
      </c>
      <c r="M125" s="13">
        <f>100*G125/G$7</f>
        <v/>
      </c>
    </row>
    <row r="126">
      <c r="A126" s="11" t="n">
        <v>45093</v>
      </c>
      <c r="B126" s="12" t="n">
        <v>388.11673</v>
      </c>
      <c r="C126" s="12" t="n">
        <v>57.841484</v>
      </c>
      <c r="D126" s="12" t="n">
        <v>39.859688</v>
      </c>
      <c r="E126" s="12" t="n">
        <v>61.886024</v>
      </c>
      <c r="F126" s="12" t="n">
        <v>17.422735</v>
      </c>
      <c r="G126" s="12" t="n">
        <v>71.631287</v>
      </c>
      <c r="H126" s="13">
        <f>100*B126/B$7</f>
        <v/>
      </c>
      <c r="I126" s="13">
        <f>100*C126/C$7</f>
        <v/>
      </c>
      <c r="J126" s="13">
        <f>100*D126/D$7</f>
        <v/>
      </c>
      <c r="K126" s="13">
        <f>100*E126/E$7</f>
        <v/>
      </c>
      <c r="L126" s="13">
        <f>100*F126/F$7</f>
        <v/>
      </c>
      <c r="M126" s="13">
        <f>100*G126/G$7</f>
        <v/>
      </c>
    </row>
    <row r="127">
      <c r="A127" s="11" t="n">
        <v>45096</v>
      </c>
      <c r="B127" s="12" t="n">
        <v>388.11673</v>
      </c>
      <c r="C127" s="12" t="n">
        <v>57.841484</v>
      </c>
      <c r="D127" s="12" t="n">
        <v>39.859688</v>
      </c>
      <c r="E127" s="12" t="n">
        <v>61.886024</v>
      </c>
      <c r="F127" s="12" t="n">
        <v>17.422735</v>
      </c>
      <c r="G127" s="12" t="n">
        <v>71.631287</v>
      </c>
      <c r="H127" s="13">
        <f>100*B127/B$7</f>
        <v/>
      </c>
      <c r="I127" s="13">
        <f>100*C127/C$7</f>
        <v/>
      </c>
      <c r="J127" s="13">
        <f>100*D127/D$7</f>
        <v/>
      </c>
      <c r="K127" s="13">
        <f>100*E127/E$7</f>
        <v/>
      </c>
      <c r="L127" s="13">
        <f>100*F127/F$7</f>
        <v/>
      </c>
      <c r="M127" s="13">
        <f>100*G127/G$7</f>
        <v/>
      </c>
    </row>
    <row r="128">
      <c r="A128" s="11" t="n">
        <v>45097</v>
      </c>
      <c r="B128" s="12" t="n">
        <v>386.325745</v>
      </c>
      <c r="C128" s="12" t="n">
        <v>57.043987</v>
      </c>
      <c r="D128" s="12" t="n">
        <v>39.357841</v>
      </c>
      <c r="E128" s="12" t="n">
        <v>60.675858</v>
      </c>
      <c r="F128" s="12" t="n">
        <v>17.134682</v>
      </c>
      <c r="G128" s="12" t="n">
        <v>69.09206399999999</v>
      </c>
      <c r="H128" s="13">
        <f>100*B128/B$7</f>
        <v/>
      </c>
      <c r="I128" s="13">
        <f>100*C128/C$7</f>
        <v/>
      </c>
      <c r="J128" s="13">
        <f>100*D128/D$7</f>
        <v/>
      </c>
      <c r="K128" s="13">
        <f>100*E128/E$7</f>
        <v/>
      </c>
      <c r="L128" s="13">
        <f>100*F128/F$7</f>
        <v/>
      </c>
      <c r="M128" s="13">
        <f>100*G128/G$7</f>
        <v/>
      </c>
    </row>
    <row r="129">
      <c r="A129" s="11" t="n">
        <v>45098</v>
      </c>
      <c r="B129" s="12" t="n">
        <v>384.209198</v>
      </c>
      <c r="C129" s="12" t="n">
        <v>57.722321</v>
      </c>
      <c r="D129" s="12" t="n">
        <v>39.366066</v>
      </c>
      <c r="E129" s="12" t="n">
        <v>60.154552</v>
      </c>
      <c r="F129" s="12" t="n">
        <v>17.047398</v>
      </c>
      <c r="G129" s="12" t="n">
        <v>68.568985</v>
      </c>
      <c r="H129" s="13">
        <f>100*B129/B$7</f>
        <v/>
      </c>
      <c r="I129" s="13">
        <f>100*C129/C$7</f>
        <v/>
      </c>
      <c r="J129" s="13">
        <f>100*D129/D$7</f>
        <v/>
      </c>
      <c r="K129" s="13">
        <f>100*E129/E$7</f>
        <v/>
      </c>
      <c r="L129" s="13">
        <f>100*F129/F$7</f>
        <v/>
      </c>
      <c r="M129" s="13">
        <f>100*G129/G$7</f>
        <v/>
      </c>
    </row>
    <row r="130">
      <c r="A130" s="11" t="n">
        <v>45099</v>
      </c>
      <c r="B130" s="12" t="n">
        <v>385.607452</v>
      </c>
      <c r="C130" s="12" t="n">
        <v>57.245655</v>
      </c>
      <c r="D130" s="12" t="n">
        <v>39.324932</v>
      </c>
      <c r="E130" s="12" t="n">
        <v>60.173172</v>
      </c>
      <c r="F130" s="12" t="n">
        <v>17.06485</v>
      </c>
      <c r="G130" s="12" t="n">
        <v>68.39463000000001</v>
      </c>
      <c r="H130" s="13">
        <f>100*B130/B$7</f>
        <v/>
      </c>
      <c r="I130" s="13">
        <f>100*C130/C$7</f>
        <v/>
      </c>
      <c r="J130" s="13">
        <f>100*D130/D$7</f>
        <v/>
      </c>
      <c r="K130" s="13">
        <f>100*E130/E$7</f>
        <v/>
      </c>
      <c r="L130" s="13">
        <f>100*F130/F$7</f>
        <v/>
      </c>
      <c r="M130" s="13">
        <f>100*G130/G$7</f>
        <v/>
      </c>
    </row>
    <row r="131">
      <c r="A131" s="11" t="n">
        <v>45100</v>
      </c>
      <c r="B131" s="12" t="n">
        <v>382.715179</v>
      </c>
      <c r="C131" s="12" t="n">
        <v>55.833988</v>
      </c>
      <c r="D131" s="12" t="n">
        <v>38.781952</v>
      </c>
      <c r="E131" s="12" t="n">
        <v>58.935074</v>
      </c>
      <c r="F131" s="12" t="n">
        <v>16.689512</v>
      </c>
      <c r="G131" s="12" t="n">
        <v>66.90799</v>
      </c>
      <c r="H131" s="13">
        <f>100*B131/B$7</f>
        <v/>
      </c>
      <c r="I131" s="13">
        <f>100*C131/C$7</f>
        <v/>
      </c>
      <c r="J131" s="13">
        <f>100*D131/D$7</f>
        <v/>
      </c>
      <c r="K131" s="13">
        <f>100*E131/E$7</f>
        <v/>
      </c>
      <c r="L131" s="13">
        <f>100*F131/F$7</f>
        <v/>
      </c>
      <c r="M131" s="13">
        <f>100*G131/G$7</f>
        <v/>
      </c>
    </row>
    <row r="132">
      <c r="A132" s="11" t="n">
        <v>45103</v>
      </c>
      <c r="B132" s="12" t="n">
        <v>381.134918</v>
      </c>
      <c r="C132" s="12" t="n">
        <v>55.833988</v>
      </c>
      <c r="D132" s="12" t="n">
        <v>38.897129</v>
      </c>
      <c r="E132" s="12" t="n">
        <v>59.484306</v>
      </c>
      <c r="F132" s="12" t="n">
        <v>16.698238</v>
      </c>
      <c r="G132" s="12" t="n">
        <v>67.128235</v>
      </c>
      <c r="H132" s="13">
        <f>100*B132/B$7</f>
        <v/>
      </c>
      <c r="I132" s="13">
        <f>100*C132/C$7</f>
        <v/>
      </c>
      <c r="J132" s="13">
        <f>100*D132/D$7</f>
        <v/>
      </c>
      <c r="K132" s="13">
        <f>100*E132/E$7</f>
        <v/>
      </c>
      <c r="L132" s="13">
        <f>100*F132/F$7</f>
        <v/>
      </c>
      <c r="M132" s="13">
        <f>100*G132/G$7</f>
        <v/>
      </c>
    </row>
    <row r="133">
      <c r="A133" s="11" t="n">
        <v>45104</v>
      </c>
      <c r="B133" s="12" t="n">
        <v>385.358459</v>
      </c>
      <c r="C133" s="12" t="n">
        <v>56.044823</v>
      </c>
      <c r="D133" s="12" t="n">
        <v>38.979401</v>
      </c>
      <c r="E133" s="12" t="n">
        <v>60.108006</v>
      </c>
      <c r="F133" s="12" t="n">
        <v>16.925192</v>
      </c>
      <c r="G133" s="12" t="n">
        <v>68.64239499999999</v>
      </c>
      <c r="H133" s="13">
        <f>100*B133/B$7</f>
        <v/>
      </c>
      <c r="I133" s="13">
        <f>100*C133/C$7</f>
        <v/>
      </c>
      <c r="J133" s="13">
        <f>100*D133/D$7</f>
        <v/>
      </c>
      <c r="K133" s="13">
        <f>100*E133/E$7</f>
        <v/>
      </c>
      <c r="L133" s="13">
        <f>100*F133/F$7</f>
        <v/>
      </c>
      <c r="M133" s="13">
        <f>100*G133/G$7</f>
        <v/>
      </c>
    </row>
    <row r="134">
      <c r="A134" s="11" t="n">
        <v>45105</v>
      </c>
      <c r="B134" s="12" t="n">
        <v>385.530853</v>
      </c>
      <c r="C134" s="12" t="n">
        <v>56.668156</v>
      </c>
      <c r="D134" s="12" t="n">
        <v>38.757271</v>
      </c>
      <c r="E134" s="12" t="n">
        <v>58.90715</v>
      </c>
      <c r="F134" s="12" t="n">
        <v>16.977564</v>
      </c>
      <c r="G134" s="12" t="n">
        <v>67.972504</v>
      </c>
      <c r="H134" s="13">
        <f>100*B134/B$7</f>
        <v/>
      </c>
      <c r="I134" s="13">
        <f>100*C134/C$7</f>
        <v/>
      </c>
      <c r="J134" s="13">
        <f>100*D134/D$7</f>
        <v/>
      </c>
      <c r="K134" s="13">
        <f>100*E134/E$7</f>
        <v/>
      </c>
      <c r="L134" s="13">
        <f>100*F134/F$7</f>
        <v/>
      </c>
      <c r="M134" s="13">
        <f>100*G134/G$7</f>
        <v/>
      </c>
    </row>
    <row r="135">
      <c r="A135" s="11" t="n">
        <v>45106</v>
      </c>
      <c r="B135" s="12" t="n">
        <v>387.00769</v>
      </c>
      <c r="C135" s="12" t="n">
        <v>56.383984</v>
      </c>
      <c r="D135" s="12" t="n">
        <v>38.518688</v>
      </c>
      <c r="E135" s="12" t="n">
        <v>58.385849</v>
      </c>
      <c r="F135" s="12" t="n">
        <v>16.811716</v>
      </c>
      <c r="G135" s="12" t="n">
        <v>67.17411</v>
      </c>
      <c r="H135" s="13">
        <f>100*B135/B$7</f>
        <v/>
      </c>
      <c r="I135" s="13">
        <f>100*C135/C$7</f>
        <v/>
      </c>
      <c r="J135" s="13">
        <f>100*D135/D$7</f>
        <v/>
      </c>
      <c r="K135" s="13">
        <f>100*E135/E$7</f>
        <v/>
      </c>
      <c r="L135" s="13">
        <f>100*F135/F$7</f>
        <v/>
      </c>
      <c r="M135" s="13">
        <f>100*G135/G$7</f>
        <v/>
      </c>
    </row>
    <row r="136">
      <c r="A136" s="11" t="n">
        <v>45107</v>
      </c>
      <c r="B136" s="12" t="n">
        <v>391.593994</v>
      </c>
      <c r="C136" s="12" t="n">
        <v>56.741489</v>
      </c>
      <c r="D136" s="12" t="n">
        <v>38.683224</v>
      </c>
      <c r="E136" s="12" t="n">
        <v>59.000244</v>
      </c>
      <c r="F136" s="12" t="n">
        <v>16.872818</v>
      </c>
      <c r="G136" s="12" t="n">
        <v>67.69718899999999</v>
      </c>
      <c r="H136" s="13">
        <f>100*B136/B$7</f>
        <v/>
      </c>
      <c r="I136" s="13">
        <f>100*C136/C$7</f>
        <v/>
      </c>
      <c r="J136" s="13">
        <f>100*D136/D$7</f>
        <v/>
      </c>
      <c r="K136" s="13">
        <f>100*E136/E$7</f>
        <v/>
      </c>
      <c r="L136" s="13">
        <f>100*F136/F$7</f>
        <v/>
      </c>
      <c r="M136" s="13">
        <f>100*G136/G$7</f>
        <v/>
      </c>
    </row>
    <row r="137">
      <c r="A137" s="11" t="n">
        <v>45110</v>
      </c>
      <c r="B137" s="12" t="n">
        <v>392.343933</v>
      </c>
      <c r="C137" s="12" t="n">
        <v>56.915657</v>
      </c>
      <c r="D137" s="12" t="n">
        <v>39.135712</v>
      </c>
      <c r="E137" s="12" t="n">
        <v>60.312805</v>
      </c>
      <c r="F137" s="12" t="n">
        <v>16.98629</v>
      </c>
      <c r="G137" s="12" t="n">
        <v>68.780052</v>
      </c>
      <c r="H137" s="13">
        <f>100*B137/B$7</f>
        <v/>
      </c>
      <c r="I137" s="13">
        <f>100*C137/C$7</f>
        <v/>
      </c>
      <c r="J137" s="13">
        <f>100*D137/D$7</f>
        <v/>
      </c>
      <c r="K137" s="13">
        <f>100*E137/E$7</f>
        <v/>
      </c>
      <c r="L137" s="13">
        <f>100*F137/F$7</f>
        <v/>
      </c>
      <c r="M137" s="13">
        <f>100*G137/G$7</f>
        <v/>
      </c>
    </row>
    <row r="138">
      <c r="A138" s="11" t="n">
        <v>45111</v>
      </c>
      <c r="B138" s="12" t="n">
        <v>392.343933</v>
      </c>
      <c r="C138" s="12" t="n">
        <v>56.915657</v>
      </c>
      <c r="D138" s="12" t="n">
        <v>39.135712</v>
      </c>
      <c r="E138" s="12" t="n">
        <v>60.312805</v>
      </c>
      <c r="F138" s="12" t="n">
        <v>16.98629</v>
      </c>
      <c r="G138" s="12" t="n">
        <v>68.780052</v>
      </c>
      <c r="H138" s="13">
        <f>100*B138/B$7</f>
        <v/>
      </c>
      <c r="I138" s="13">
        <f>100*C138/C$7</f>
        <v/>
      </c>
      <c r="J138" s="13">
        <f>100*D138/D$7</f>
        <v/>
      </c>
      <c r="K138" s="13">
        <f>100*E138/E$7</f>
        <v/>
      </c>
      <c r="L138" s="13">
        <f>100*F138/F$7</f>
        <v/>
      </c>
      <c r="M138" s="13">
        <f>100*G138/G$7</f>
        <v/>
      </c>
    </row>
    <row r="139">
      <c r="A139" s="11" t="n">
        <v>45112</v>
      </c>
      <c r="B139" s="12" t="n">
        <v>391.468994</v>
      </c>
      <c r="C139" s="12" t="n">
        <v>56.448151</v>
      </c>
      <c r="D139" s="12" t="n">
        <v>38.724361</v>
      </c>
      <c r="E139" s="12" t="n">
        <v>59.633247</v>
      </c>
      <c r="F139" s="12" t="n">
        <v>16.925192</v>
      </c>
      <c r="G139" s="12" t="n">
        <v>68.128494</v>
      </c>
      <c r="H139" s="13">
        <f>100*B139/B$7</f>
        <v/>
      </c>
      <c r="I139" s="13">
        <f>100*C139/C$7</f>
        <v/>
      </c>
      <c r="J139" s="13">
        <f>100*D139/D$7</f>
        <v/>
      </c>
      <c r="K139" s="13">
        <f>100*E139/E$7</f>
        <v/>
      </c>
      <c r="L139" s="13">
        <f>100*F139/F$7</f>
        <v/>
      </c>
      <c r="M139" s="13">
        <f>100*G139/G$7</f>
        <v/>
      </c>
    </row>
    <row r="140">
      <c r="A140" s="11" t="n">
        <v>45113</v>
      </c>
      <c r="B140" s="12" t="n">
        <v>388.276825</v>
      </c>
      <c r="C140" s="12" t="n">
        <v>55.705654</v>
      </c>
      <c r="D140" s="12" t="n">
        <v>37.827621</v>
      </c>
      <c r="E140" s="12" t="n">
        <v>58.469627</v>
      </c>
      <c r="F140" s="12" t="n">
        <v>16.436375</v>
      </c>
      <c r="G140" s="12" t="n">
        <v>66.5868</v>
      </c>
      <c r="H140" s="13">
        <f>100*B140/B$7</f>
        <v/>
      </c>
      <c r="I140" s="13">
        <f>100*C140/C$7</f>
        <v/>
      </c>
      <c r="J140" s="13">
        <f>100*D140/D$7</f>
        <v/>
      </c>
      <c r="K140" s="13">
        <f>100*E140/E$7</f>
        <v/>
      </c>
      <c r="L140" s="13">
        <f>100*F140/F$7</f>
        <v/>
      </c>
      <c r="M140" s="13">
        <f>100*G140/G$7</f>
        <v/>
      </c>
    </row>
    <row r="141">
      <c r="A141" s="11" t="n">
        <v>45114</v>
      </c>
      <c r="B141" s="12" t="n">
        <v>387.373047</v>
      </c>
      <c r="C141" s="12" t="n">
        <v>56.503155</v>
      </c>
      <c r="D141" s="12" t="n">
        <v>38.041527</v>
      </c>
      <c r="E141" s="12" t="n">
        <v>58.776825</v>
      </c>
      <c r="F141" s="12" t="n">
        <v>16.436375</v>
      </c>
      <c r="G141" s="12" t="n">
        <v>67.935783</v>
      </c>
      <c r="H141" s="13">
        <f>100*B141/B$7</f>
        <v/>
      </c>
      <c r="I141" s="13">
        <f>100*C141/C$7</f>
        <v/>
      </c>
      <c r="J141" s="13">
        <f>100*D141/D$7</f>
        <v/>
      </c>
      <c r="K141" s="13">
        <f>100*E141/E$7</f>
        <v/>
      </c>
      <c r="L141" s="13">
        <f>100*F141/F$7</f>
        <v/>
      </c>
      <c r="M141" s="13">
        <f>100*G141/G$7</f>
        <v/>
      </c>
    </row>
    <row r="142">
      <c r="A142" s="11" t="n">
        <v>45117</v>
      </c>
      <c r="B142" s="12" t="n">
        <v>388.411469</v>
      </c>
      <c r="C142" s="12" t="n">
        <v>56.420658</v>
      </c>
      <c r="D142" s="12" t="n">
        <v>38.033298</v>
      </c>
      <c r="E142" s="12" t="n">
        <v>58.851299</v>
      </c>
      <c r="F142" s="12" t="n">
        <v>16.401461</v>
      </c>
      <c r="G142" s="12" t="n">
        <v>68.045914</v>
      </c>
      <c r="H142" s="13">
        <f>100*B142/B$7</f>
        <v/>
      </c>
      <c r="I142" s="13">
        <f>100*C142/C$7</f>
        <v/>
      </c>
      <c r="J142" s="13">
        <f>100*D142/D$7</f>
        <v/>
      </c>
      <c r="K142" s="13">
        <f>100*E142/E$7</f>
        <v/>
      </c>
      <c r="L142" s="13">
        <f>100*F142/F$7</f>
        <v/>
      </c>
      <c r="M142" s="13">
        <f>100*G142/G$7</f>
        <v/>
      </c>
    </row>
    <row r="143">
      <c r="A143" s="11" t="n">
        <v>45118</v>
      </c>
      <c r="B143" s="12" t="n">
        <v>390.901672</v>
      </c>
      <c r="C143" s="12" t="n">
        <v>56.668156</v>
      </c>
      <c r="D143" s="12" t="n">
        <v>38.592731</v>
      </c>
      <c r="E143" s="12" t="n">
        <v>59.903206</v>
      </c>
      <c r="F143" s="12" t="n">
        <v>16.584766</v>
      </c>
      <c r="G143" s="12" t="n">
        <v>68.54145800000001</v>
      </c>
      <c r="H143" s="13">
        <f>100*B143/B$7</f>
        <v/>
      </c>
      <c r="I143" s="13">
        <f>100*C143/C$7</f>
        <v/>
      </c>
      <c r="J143" s="13">
        <f>100*D143/D$7</f>
        <v/>
      </c>
      <c r="K143" s="13">
        <f>100*E143/E$7</f>
        <v/>
      </c>
      <c r="L143" s="13">
        <f>100*F143/F$7</f>
        <v/>
      </c>
      <c r="M143" s="13">
        <f>100*G143/G$7</f>
        <v/>
      </c>
    </row>
    <row r="144">
      <c r="A144" s="11" t="n">
        <v>45119</v>
      </c>
      <c r="B144" s="12" t="n">
        <v>393.978485</v>
      </c>
      <c r="C144" s="12" t="n">
        <v>57.062321</v>
      </c>
      <c r="D144" s="12" t="n">
        <v>39.547058</v>
      </c>
      <c r="E144" s="12" t="n">
        <v>61.532276</v>
      </c>
      <c r="F144" s="12" t="n">
        <v>16.741888</v>
      </c>
      <c r="G144" s="12" t="n">
        <v>69.89962</v>
      </c>
      <c r="H144" s="13">
        <f>100*B144/B$7</f>
        <v/>
      </c>
      <c r="I144" s="13">
        <f>100*C144/C$7</f>
        <v/>
      </c>
      <c r="J144" s="13">
        <f>100*D144/D$7</f>
        <v/>
      </c>
      <c r="K144" s="13">
        <f>100*E144/E$7</f>
        <v/>
      </c>
      <c r="L144" s="13">
        <f>100*F144/F$7</f>
        <v/>
      </c>
      <c r="M144" s="13">
        <f>100*G144/G$7</f>
        <v/>
      </c>
    </row>
    <row r="145">
      <c r="A145" s="11" t="n">
        <v>45120</v>
      </c>
      <c r="B145" s="12" t="n">
        <v>397.18988</v>
      </c>
      <c r="C145" s="12" t="n">
        <v>57.914818</v>
      </c>
      <c r="D145" s="12" t="n">
        <v>40.122948</v>
      </c>
      <c r="E145" s="12" t="n">
        <v>62.342159</v>
      </c>
      <c r="F145" s="12" t="n">
        <v>17.091038</v>
      </c>
      <c r="G145" s="12" t="n">
        <v>71.22107699999999</v>
      </c>
      <c r="H145" s="13">
        <f>100*B145/B$7</f>
        <v/>
      </c>
      <c r="I145" s="13">
        <f>100*C145/C$7</f>
        <v/>
      </c>
      <c r="J145" s="13">
        <f>100*D145/D$7</f>
        <v/>
      </c>
      <c r="K145" s="13">
        <f>100*E145/E$7</f>
        <v/>
      </c>
      <c r="L145" s="13">
        <f>100*F145/F$7</f>
        <v/>
      </c>
      <c r="M145" s="13">
        <f>100*G145/G$7</f>
        <v/>
      </c>
    </row>
    <row r="146">
      <c r="A146" s="11" t="n">
        <v>45121</v>
      </c>
      <c r="B146" s="12" t="n">
        <v>396.87262</v>
      </c>
      <c r="C146" s="12" t="n">
        <v>57.218151</v>
      </c>
      <c r="D146" s="12" t="n">
        <v>40.065361</v>
      </c>
      <c r="E146" s="12" t="n">
        <v>62.537651</v>
      </c>
      <c r="F146" s="12" t="n">
        <v>16.960108</v>
      </c>
      <c r="G146" s="12" t="n">
        <v>70.138229</v>
      </c>
      <c r="H146" s="13">
        <f>100*B146/B$7</f>
        <v/>
      </c>
      <c r="I146" s="13">
        <f>100*C146/C$7</f>
        <v/>
      </c>
      <c r="J146" s="13">
        <f>100*D146/D$7</f>
        <v/>
      </c>
      <c r="K146" s="13">
        <f>100*E146/E$7</f>
        <v/>
      </c>
      <c r="L146" s="13">
        <f>100*F146/F$7</f>
        <v/>
      </c>
      <c r="M146" s="13">
        <f>100*G146/G$7</f>
        <v/>
      </c>
    </row>
    <row r="147">
      <c r="A147" s="11" t="n">
        <v>45124</v>
      </c>
      <c r="B147" s="12" t="n">
        <v>398.257141</v>
      </c>
      <c r="C147" s="12" t="n">
        <v>57.245655</v>
      </c>
      <c r="D147" s="12" t="n">
        <v>40.287487</v>
      </c>
      <c r="E147" s="12" t="n">
        <v>62.872768</v>
      </c>
      <c r="F147" s="12" t="n">
        <v>16.933918</v>
      </c>
      <c r="G147" s="12" t="n">
        <v>69.798683</v>
      </c>
      <c r="H147" s="13">
        <f>100*B147/B$7</f>
        <v/>
      </c>
      <c r="I147" s="13">
        <f>100*C147/C$7</f>
        <v/>
      </c>
      <c r="J147" s="13">
        <f>100*D147/D$7</f>
        <v/>
      </c>
      <c r="K147" s="13">
        <f>100*E147/E$7</f>
        <v/>
      </c>
      <c r="L147" s="13">
        <f>100*F147/F$7</f>
        <v/>
      </c>
      <c r="M147" s="13">
        <f>100*G147/G$7</f>
        <v/>
      </c>
    </row>
    <row r="148">
      <c r="A148" s="11" t="n">
        <v>45125</v>
      </c>
      <c r="B148" s="12" t="n">
        <v>401.276215</v>
      </c>
      <c r="C148" s="12" t="n">
        <v>58.033985</v>
      </c>
      <c r="D148" s="12" t="n">
        <v>40.271034</v>
      </c>
      <c r="E148" s="12" t="n">
        <v>62.686588</v>
      </c>
      <c r="F148" s="12" t="n">
        <v>16.759344</v>
      </c>
      <c r="G148" s="12" t="n">
        <v>68.669922</v>
      </c>
      <c r="H148" s="13">
        <f>100*B148/B$7</f>
        <v/>
      </c>
      <c r="I148" s="13">
        <f>100*C148/C$7</f>
        <v/>
      </c>
      <c r="J148" s="13">
        <f>100*D148/D$7</f>
        <v/>
      </c>
      <c r="K148" s="13">
        <f>100*E148/E$7</f>
        <v/>
      </c>
      <c r="L148" s="13">
        <f>100*F148/F$7</f>
        <v/>
      </c>
      <c r="M148" s="13">
        <f>100*G148/G$7</f>
        <v/>
      </c>
    </row>
    <row r="149">
      <c r="A149" s="11" t="n">
        <v>45126</v>
      </c>
      <c r="B149" s="12" t="n">
        <v>402.14151</v>
      </c>
      <c r="C149" s="12" t="n">
        <v>58.043152</v>
      </c>
      <c r="D149" s="12" t="n">
        <v>39.662239</v>
      </c>
      <c r="E149" s="12" t="n">
        <v>62.481796</v>
      </c>
      <c r="F149" s="12" t="n">
        <v>16.750614</v>
      </c>
      <c r="G149" s="12" t="n">
        <v>68.75252500000001</v>
      </c>
      <c r="H149" s="13">
        <f>100*B149/B$7</f>
        <v/>
      </c>
      <c r="I149" s="13">
        <f>100*C149/C$7</f>
        <v/>
      </c>
      <c r="J149" s="13">
        <f>100*D149/D$7</f>
        <v/>
      </c>
      <c r="K149" s="13">
        <f>100*E149/E$7</f>
        <v/>
      </c>
      <c r="L149" s="13">
        <f>100*F149/F$7</f>
        <v/>
      </c>
      <c r="M149" s="13">
        <f>100*G149/G$7</f>
        <v/>
      </c>
    </row>
    <row r="150">
      <c r="A150" s="11" t="n">
        <v>45127</v>
      </c>
      <c r="B150" s="12" t="n">
        <v>399.516632</v>
      </c>
      <c r="C150" s="12" t="n">
        <v>57.273151</v>
      </c>
      <c r="D150" s="12" t="n">
        <v>39.135712</v>
      </c>
      <c r="E150" s="12" t="n">
        <v>61.43919</v>
      </c>
      <c r="F150" s="12" t="n">
        <v>16.741888</v>
      </c>
      <c r="G150" s="12" t="n">
        <v>68.63323200000001</v>
      </c>
      <c r="H150" s="13">
        <f>100*B150/B$7</f>
        <v/>
      </c>
      <c r="I150" s="13">
        <f>100*C150/C$7</f>
        <v/>
      </c>
      <c r="J150" s="13">
        <f>100*D150/D$7</f>
        <v/>
      </c>
      <c r="K150" s="13">
        <f>100*E150/E$7</f>
        <v/>
      </c>
      <c r="L150" s="13">
        <f>100*F150/F$7</f>
        <v/>
      </c>
      <c r="M150" s="13">
        <f>100*G150/G$7</f>
        <v/>
      </c>
    </row>
    <row r="151">
      <c r="A151" s="11" t="n">
        <v>45128</v>
      </c>
      <c r="B151" s="12" t="n">
        <v>399.564758</v>
      </c>
      <c r="C151" s="12" t="n">
        <v>57.208988</v>
      </c>
      <c r="D151" s="12" t="n">
        <v>39.053444</v>
      </c>
      <c r="E151" s="12" t="n">
        <v>61.467113</v>
      </c>
      <c r="F151" s="12" t="n">
        <v>16.802986</v>
      </c>
      <c r="G151" s="12" t="n">
        <v>68.41297900000001</v>
      </c>
      <c r="H151" s="13">
        <f>100*B151/B$7</f>
        <v/>
      </c>
      <c r="I151" s="13">
        <f>100*C151/C$7</f>
        <v/>
      </c>
      <c r="J151" s="13">
        <f>100*D151/D$7</f>
        <v/>
      </c>
      <c r="K151" s="13">
        <f>100*E151/E$7</f>
        <v/>
      </c>
      <c r="L151" s="13">
        <f>100*F151/F$7</f>
        <v/>
      </c>
      <c r="M151" s="13">
        <f>100*G151/G$7</f>
        <v/>
      </c>
    </row>
    <row r="152">
      <c r="A152" s="11" t="n">
        <v>45131</v>
      </c>
      <c r="B152" s="12" t="n">
        <v>401.256958</v>
      </c>
      <c r="C152" s="12" t="n">
        <v>57.291485</v>
      </c>
      <c r="D152" s="12" t="n">
        <v>39.55529</v>
      </c>
      <c r="E152" s="12" t="n">
        <v>62.649357</v>
      </c>
      <c r="F152" s="12" t="n">
        <v>16.820444</v>
      </c>
      <c r="G152" s="12" t="n">
        <v>69.844559</v>
      </c>
      <c r="H152" s="13">
        <f>100*B152/B$7</f>
        <v/>
      </c>
      <c r="I152" s="13">
        <f>100*C152/C$7</f>
        <v/>
      </c>
      <c r="J152" s="13">
        <f>100*D152/D$7</f>
        <v/>
      </c>
      <c r="K152" s="13">
        <f>100*E152/E$7</f>
        <v/>
      </c>
      <c r="L152" s="13">
        <f>100*F152/F$7</f>
        <v/>
      </c>
      <c r="M152" s="13">
        <f>100*G152/G$7</f>
        <v/>
      </c>
    </row>
    <row r="153">
      <c r="A153" s="11" t="n">
        <v>45132</v>
      </c>
      <c r="B153" s="12" t="n">
        <v>402.439575</v>
      </c>
      <c r="C153" s="12" t="n">
        <v>57.364822</v>
      </c>
      <c r="D153" s="12" t="n">
        <v>39.876141</v>
      </c>
      <c r="E153" s="12" t="n">
        <v>63.207893</v>
      </c>
      <c r="F153" s="12" t="n">
        <v>16.84663</v>
      </c>
      <c r="G153" s="12" t="n">
        <v>70.79895</v>
      </c>
      <c r="H153" s="13">
        <f>100*B153/B$7</f>
        <v/>
      </c>
      <c r="I153" s="13">
        <f>100*C153/C$7</f>
        <v/>
      </c>
      <c r="J153" s="13">
        <f>100*D153/D$7</f>
        <v/>
      </c>
      <c r="K153" s="13">
        <f>100*E153/E$7</f>
        <v/>
      </c>
      <c r="L153" s="13">
        <f>100*F153/F$7</f>
        <v/>
      </c>
      <c r="M153" s="13">
        <f>100*G153/G$7</f>
        <v/>
      </c>
    </row>
    <row r="154">
      <c r="A154" s="11" t="n">
        <v>45133</v>
      </c>
      <c r="B154" s="12" t="n">
        <v>402.535706</v>
      </c>
      <c r="C154" s="12" t="n">
        <v>57.593987</v>
      </c>
      <c r="D154" s="12" t="n">
        <v>39.876141</v>
      </c>
      <c r="E154" s="12" t="n">
        <v>62.863468</v>
      </c>
      <c r="F154" s="12" t="n">
        <v>17.08231</v>
      </c>
      <c r="G154" s="12" t="n">
        <v>71.863457</v>
      </c>
      <c r="H154" s="13">
        <f>100*B154/B$7</f>
        <v/>
      </c>
      <c r="I154" s="13">
        <f>100*C154/C$7</f>
        <v/>
      </c>
      <c r="J154" s="13">
        <f>100*D154/D$7</f>
        <v/>
      </c>
      <c r="K154" s="13">
        <f>100*E154/E$7</f>
        <v/>
      </c>
      <c r="L154" s="13">
        <f>100*F154/F$7</f>
        <v/>
      </c>
      <c r="M154" s="13">
        <f>100*G154/G$7</f>
        <v/>
      </c>
    </row>
    <row r="155">
      <c r="A155" s="11" t="n">
        <v>45134</v>
      </c>
      <c r="B155" s="12" t="n">
        <v>399.805115</v>
      </c>
      <c r="C155" s="12" t="n">
        <v>58.061485</v>
      </c>
      <c r="D155" s="12" t="n">
        <v>39.497696</v>
      </c>
      <c r="E155" s="12" t="n">
        <v>61.737072</v>
      </c>
      <c r="F155" s="12" t="n">
        <v>17.07358</v>
      </c>
      <c r="G155" s="12" t="n">
        <v>70.945778</v>
      </c>
      <c r="H155" s="13">
        <f>100*B155/B$7</f>
        <v/>
      </c>
      <c r="I155" s="13">
        <f>100*C155/C$7</f>
        <v/>
      </c>
      <c r="J155" s="13">
        <f>100*D155/D$7</f>
        <v/>
      </c>
      <c r="K155" s="13">
        <f>100*E155/E$7</f>
        <v/>
      </c>
      <c r="L155" s="13">
        <f>100*F155/F$7</f>
        <v/>
      </c>
      <c r="M155" s="13">
        <f>100*G155/G$7</f>
        <v/>
      </c>
    </row>
    <row r="156">
      <c r="A156" s="11" t="n">
        <v>45135</v>
      </c>
      <c r="B156" s="12" t="n">
        <v>403.699127</v>
      </c>
      <c r="C156" s="12" t="n">
        <v>58.391483</v>
      </c>
      <c r="D156" s="12" t="n">
        <v>40.131172</v>
      </c>
      <c r="E156" s="12" t="n">
        <v>62.826221</v>
      </c>
      <c r="F156" s="12" t="n">
        <v>17.448919</v>
      </c>
      <c r="G156" s="12" t="n">
        <v>74.203529</v>
      </c>
      <c r="H156" s="13">
        <f>100*B156/B$7</f>
        <v/>
      </c>
      <c r="I156" s="13">
        <f>100*C156/C$7</f>
        <v/>
      </c>
      <c r="J156" s="13">
        <f>100*D156/D$7</f>
        <v/>
      </c>
      <c r="K156" s="13">
        <f>100*E156/E$7</f>
        <v/>
      </c>
      <c r="L156" s="13">
        <f>100*F156/F$7</f>
        <v/>
      </c>
      <c r="M156" s="13">
        <f>100*G156/G$7</f>
        <v/>
      </c>
    </row>
    <row r="157">
      <c r="A157" s="11" t="n">
        <v>45138</v>
      </c>
      <c r="B157" s="12" t="n">
        <v>404.477905</v>
      </c>
      <c r="C157" s="12" t="n">
        <v>58.134815</v>
      </c>
      <c r="D157" s="12" t="n">
        <v>39.390747</v>
      </c>
      <c r="E157" s="12" t="n">
        <v>62.900696</v>
      </c>
      <c r="F157" s="12" t="n">
        <v>17.466375</v>
      </c>
      <c r="G157" s="12" t="n">
        <v>74.891792</v>
      </c>
      <c r="H157" s="13">
        <f>100*B157/B$7</f>
        <v/>
      </c>
      <c r="I157" s="13">
        <f>100*C157/C$7</f>
        <v/>
      </c>
      <c r="J157" s="13">
        <f>100*D157/D$7</f>
        <v/>
      </c>
      <c r="K157" s="13">
        <f>100*E157/E$7</f>
        <v/>
      </c>
      <c r="L157" s="13">
        <f>100*F157/F$7</f>
        <v/>
      </c>
      <c r="M157" s="13">
        <f>100*G157/G$7</f>
        <v/>
      </c>
    </row>
    <row r="158">
      <c r="A158" s="11" t="n">
        <v>45139</v>
      </c>
      <c r="B158" s="12" t="n">
        <v>403.227966</v>
      </c>
      <c r="C158" s="12" t="n">
        <v>57.447319</v>
      </c>
      <c r="D158" s="12" t="n">
        <v>39.259117</v>
      </c>
      <c r="E158" s="12" t="n">
        <v>62.891388</v>
      </c>
      <c r="F158" s="12" t="n">
        <v>17.195786</v>
      </c>
      <c r="G158" s="12" t="n">
        <v>73.047264</v>
      </c>
      <c r="H158" s="13">
        <f>100*B158/B$7</f>
        <v/>
      </c>
      <c r="I158" s="13">
        <f>100*C158/C$7</f>
        <v/>
      </c>
      <c r="J158" s="13">
        <f>100*D158/D$7</f>
        <v/>
      </c>
      <c r="K158" s="13">
        <f>100*E158/E$7</f>
        <v/>
      </c>
      <c r="L158" s="13">
        <f>100*F158/F$7</f>
        <v/>
      </c>
      <c r="M158" s="13">
        <f>100*G158/G$7</f>
        <v/>
      </c>
    </row>
    <row r="159">
      <c r="A159" s="11" t="n">
        <v>45140</v>
      </c>
      <c r="B159" s="12" t="n">
        <v>397.641785</v>
      </c>
      <c r="C159" s="12" t="n">
        <v>56.365662</v>
      </c>
      <c r="D159" s="12" t="n">
        <v>38.156704</v>
      </c>
      <c r="E159" s="12" t="n">
        <v>60.955124</v>
      </c>
      <c r="F159" s="12" t="n">
        <v>16.899004</v>
      </c>
      <c r="G159" s="12" t="n">
        <v>71.32202100000001</v>
      </c>
      <c r="H159" s="13">
        <f>100*B159/B$7</f>
        <v/>
      </c>
      <c r="I159" s="13">
        <f>100*C159/C$7</f>
        <v/>
      </c>
      <c r="J159" s="13">
        <f>100*D159/D$7</f>
        <v/>
      </c>
      <c r="K159" s="13">
        <f>100*E159/E$7</f>
        <v/>
      </c>
      <c r="L159" s="13">
        <f>100*F159/F$7</f>
        <v/>
      </c>
      <c r="M159" s="13">
        <f>100*G159/G$7</f>
        <v/>
      </c>
    </row>
    <row r="160">
      <c r="A160" s="11" t="n">
        <v>45141</v>
      </c>
      <c r="B160" s="12" t="n">
        <v>396.516815</v>
      </c>
      <c r="C160" s="12" t="n">
        <v>56.090656</v>
      </c>
      <c r="D160" s="12" t="n">
        <v>37.926346</v>
      </c>
      <c r="E160" s="12" t="n">
        <v>60.927193</v>
      </c>
      <c r="F160" s="12" t="n">
        <v>17.06485</v>
      </c>
      <c r="G160" s="12" t="n">
        <v>72.99221</v>
      </c>
      <c r="H160" s="13">
        <f>100*B160/B$7</f>
        <v/>
      </c>
      <c r="I160" s="13">
        <f>100*C160/C$7</f>
        <v/>
      </c>
      <c r="J160" s="13">
        <f>100*D160/D$7</f>
        <v/>
      </c>
      <c r="K160" s="13">
        <f>100*E160/E$7</f>
        <v/>
      </c>
      <c r="L160" s="13">
        <f>100*F160/F$7</f>
        <v/>
      </c>
      <c r="M160" s="13">
        <f>100*G160/G$7</f>
        <v/>
      </c>
    </row>
    <row r="161">
      <c r="A161" s="11" t="n">
        <v>45142</v>
      </c>
      <c r="B161" s="12" t="n">
        <v>394.574585</v>
      </c>
      <c r="C161" s="12" t="n">
        <v>56.631485</v>
      </c>
      <c r="D161" s="12" t="n">
        <v>38.452877</v>
      </c>
      <c r="E161" s="12" t="n">
        <v>60.350044</v>
      </c>
      <c r="F161" s="12" t="n">
        <v>16.680786</v>
      </c>
      <c r="G161" s="12" t="n">
        <v>72.102051</v>
      </c>
      <c r="H161" s="13">
        <f>100*B161/B$7</f>
        <v/>
      </c>
      <c r="I161" s="13">
        <f>100*C161/C$7</f>
        <v/>
      </c>
      <c r="J161" s="13">
        <f>100*D161/D$7</f>
        <v/>
      </c>
      <c r="K161" s="13">
        <f>100*E161/E$7</f>
        <v/>
      </c>
      <c r="L161" s="13">
        <f>100*F161/F$7</f>
        <v/>
      </c>
      <c r="M161" s="13">
        <f>100*G161/G$7</f>
        <v/>
      </c>
    </row>
    <row r="162">
      <c r="A162" s="11" t="n">
        <v>45145</v>
      </c>
      <c r="B162" s="12" t="n">
        <v>398.13205</v>
      </c>
      <c r="C162" s="12" t="n">
        <v>57.10815</v>
      </c>
      <c r="D162" s="12" t="n">
        <v>38.831314</v>
      </c>
      <c r="E162" s="12" t="n">
        <v>60.18248</v>
      </c>
      <c r="F162" s="12" t="n">
        <v>16.724428</v>
      </c>
      <c r="G162" s="12" t="n">
        <v>71.533089</v>
      </c>
      <c r="H162" s="13">
        <f>100*B162/B$7</f>
        <v/>
      </c>
      <c r="I162" s="13">
        <f>100*C162/C$7</f>
        <v/>
      </c>
      <c r="J162" s="13">
        <f>100*D162/D$7</f>
        <v/>
      </c>
      <c r="K162" s="13">
        <f>100*E162/E$7</f>
        <v/>
      </c>
      <c r="L162" s="13">
        <f>100*F162/F$7</f>
        <v/>
      </c>
      <c r="M162" s="13">
        <f>100*G162/G$7</f>
        <v/>
      </c>
    </row>
    <row r="163">
      <c r="A163" s="11" t="n">
        <v>45146</v>
      </c>
      <c r="B163" s="12" t="n">
        <v>396.411041</v>
      </c>
      <c r="C163" s="12" t="n">
        <v>56.603989</v>
      </c>
      <c r="D163" s="12" t="n">
        <v>38.189606</v>
      </c>
      <c r="E163" s="12" t="n">
        <v>59.363289</v>
      </c>
      <c r="F163" s="12" t="n">
        <v>16.445107</v>
      </c>
      <c r="G163" s="12" t="n">
        <v>70.312592</v>
      </c>
      <c r="H163" s="13">
        <f>100*B163/B$7</f>
        <v/>
      </c>
      <c r="I163" s="13">
        <f>100*C163/C$7</f>
        <v/>
      </c>
      <c r="J163" s="13">
        <f>100*D163/D$7</f>
        <v/>
      </c>
      <c r="K163" s="13">
        <f>100*E163/E$7</f>
        <v/>
      </c>
      <c r="L163" s="13">
        <f>100*F163/F$7</f>
        <v/>
      </c>
      <c r="M163" s="13">
        <f>100*G163/G$7</f>
        <v/>
      </c>
    </row>
    <row r="164">
      <c r="A164" s="11" t="n">
        <v>45147</v>
      </c>
      <c r="B164" s="12" t="n">
        <v>393.776581</v>
      </c>
      <c r="C164" s="12" t="n">
        <v>56.10899</v>
      </c>
      <c r="D164" s="12" t="n">
        <v>38.238972</v>
      </c>
      <c r="E164" s="12" t="n">
        <v>59.838047</v>
      </c>
      <c r="F164" s="12" t="n">
        <v>16.436375</v>
      </c>
      <c r="G164" s="12" t="n">
        <v>70.697998</v>
      </c>
      <c r="H164" s="13">
        <f>100*B164/B$7</f>
        <v/>
      </c>
      <c r="I164" s="13">
        <f>100*C164/C$7</f>
        <v/>
      </c>
      <c r="J164" s="13">
        <f>100*D164/D$7</f>
        <v/>
      </c>
      <c r="K164" s="13">
        <f>100*E164/E$7</f>
        <v/>
      </c>
      <c r="L164" s="13">
        <f>100*F164/F$7</f>
        <v/>
      </c>
      <c r="M164" s="13">
        <f>100*G164/G$7</f>
        <v/>
      </c>
    </row>
    <row r="165">
      <c r="A165" s="11" t="n">
        <v>45148</v>
      </c>
      <c r="B165" s="12" t="n">
        <v>394.007355</v>
      </c>
      <c r="C165" s="12" t="n">
        <v>56.347321</v>
      </c>
      <c r="D165" s="12" t="n">
        <v>37.983932</v>
      </c>
      <c r="E165" s="12" t="n">
        <v>59.447071</v>
      </c>
      <c r="F165" s="12" t="n">
        <v>16.49748</v>
      </c>
      <c r="G165" s="12" t="n">
        <v>71.120132</v>
      </c>
      <c r="H165" s="13">
        <f>100*B165/B$7</f>
        <v/>
      </c>
      <c r="I165" s="13">
        <f>100*C165/C$7</f>
        <v/>
      </c>
      <c r="J165" s="13">
        <f>100*D165/D$7</f>
        <v/>
      </c>
      <c r="K165" s="13">
        <f>100*E165/E$7</f>
        <v/>
      </c>
      <c r="L165" s="13">
        <f>100*F165/F$7</f>
        <v/>
      </c>
      <c r="M165" s="13">
        <f>100*G165/G$7</f>
        <v/>
      </c>
    </row>
    <row r="166">
      <c r="A166" s="11" t="n">
        <v>45149</v>
      </c>
      <c r="B166" s="12" t="n">
        <v>393.641998</v>
      </c>
      <c r="C166" s="12" t="n">
        <v>56.255653</v>
      </c>
      <c r="D166" s="12" t="n">
        <v>37.671314</v>
      </c>
      <c r="E166" s="12" t="n">
        <v>58.758205</v>
      </c>
      <c r="F166" s="12" t="n">
        <v>16.235615</v>
      </c>
      <c r="G166" s="12" t="n">
        <v>69.027832</v>
      </c>
      <c r="H166" s="13">
        <f>100*B166/B$7</f>
        <v/>
      </c>
      <c r="I166" s="13">
        <f>100*C166/C$7</f>
        <v/>
      </c>
      <c r="J166" s="13">
        <f>100*D166/D$7</f>
        <v/>
      </c>
      <c r="K166" s="13">
        <f>100*E166/E$7</f>
        <v/>
      </c>
      <c r="L166" s="13">
        <f>100*F166/F$7</f>
        <v/>
      </c>
      <c r="M166" s="13">
        <f>100*G166/G$7</f>
        <v/>
      </c>
    </row>
    <row r="167">
      <c r="A167" s="11" t="n">
        <v>45152</v>
      </c>
      <c r="B167" s="12" t="n">
        <v>395.863007</v>
      </c>
      <c r="C167" s="12" t="n">
        <v>55.751495</v>
      </c>
      <c r="D167" s="12" t="n">
        <v>37.457413</v>
      </c>
      <c r="E167" s="12" t="n">
        <v>58.236904</v>
      </c>
      <c r="F167" s="12" t="n">
        <v>16.122139</v>
      </c>
      <c r="G167" s="12" t="n">
        <v>68.54145800000001</v>
      </c>
      <c r="H167" s="13">
        <f>100*B167/B$7</f>
        <v/>
      </c>
      <c r="I167" s="13">
        <f>100*C167/C$7</f>
        <v/>
      </c>
      <c r="J167" s="13">
        <f>100*D167/D$7</f>
        <v/>
      </c>
      <c r="K167" s="13">
        <f>100*E167/E$7</f>
        <v/>
      </c>
      <c r="L167" s="13">
        <f>100*F167/F$7</f>
        <v/>
      </c>
      <c r="M167" s="13">
        <f>100*G167/G$7</f>
        <v/>
      </c>
    </row>
    <row r="168">
      <c r="A168" s="11" t="n">
        <v>45153</v>
      </c>
      <c r="B168" s="12" t="n">
        <v>391.324768</v>
      </c>
      <c r="C168" s="12" t="n">
        <v>55.155659</v>
      </c>
      <c r="D168" s="12" t="n">
        <v>37.120102</v>
      </c>
      <c r="E168" s="12" t="n">
        <v>57.724911</v>
      </c>
      <c r="F168" s="12" t="n">
        <v>15.860276</v>
      </c>
      <c r="G168" s="12" t="n">
        <v>67.53201300000001</v>
      </c>
      <c r="H168" s="13">
        <f>100*B168/B$7</f>
        <v/>
      </c>
      <c r="I168" s="13">
        <f>100*C168/C$7</f>
        <v/>
      </c>
      <c r="J168" s="13">
        <f>100*D168/D$7</f>
        <v/>
      </c>
      <c r="K168" s="13">
        <f>100*E168/E$7</f>
        <v/>
      </c>
      <c r="L168" s="13">
        <f>100*F168/F$7</f>
        <v/>
      </c>
      <c r="M168" s="13">
        <f>100*G168/G$7</f>
        <v/>
      </c>
    </row>
    <row r="169">
      <c r="A169" s="11" t="n">
        <v>45154</v>
      </c>
      <c r="B169" s="12" t="n">
        <v>388.430695</v>
      </c>
      <c r="C169" s="12" t="n">
        <v>54.468163</v>
      </c>
      <c r="D169" s="12" t="n">
        <v>37.021381</v>
      </c>
      <c r="E169" s="12" t="n">
        <v>56.561287</v>
      </c>
      <c r="F169" s="12" t="n">
        <v>15.676969</v>
      </c>
      <c r="G169" s="12" t="n">
        <v>66.348221</v>
      </c>
      <c r="H169" s="13">
        <f>100*B169/B$7</f>
        <v/>
      </c>
      <c r="I169" s="13">
        <f>100*C169/C$7</f>
        <v/>
      </c>
      <c r="J169" s="13">
        <f>100*D169/D$7</f>
        <v/>
      </c>
      <c r="K169" s="13">
        <f>100*E169/E$7</f>
        <v/>
      </c>
      <c r="L169" s="13">
        <f>100*F169/F$7</f>
        <v/>
      </c>
      <c r="M169" s="13">
        <f>100*G169/G$7</f>
        <v/>
      </c>
    </row>
    <row r="170">
      <c r="A170" s="11" t="n">
        <v>45155</v>
      </c>
      <c r="B170" s="12" t="n">
        <v>385.286713</v>
      </c>
      <c r="C170" s="12" t="n">
        <v>54.238998</v>
      </c>
      <c r="D170" s="12" t="n">
        <v>37.153011</v>
      </c>
      <c r="E170" s="12" t="n">
        <v>56.617142</v>
      </c>
      <c r="F170" s="12" t="n">
        <v>15.642053</v>
      </c>
      <c r="G170" s="12" t="n">
        <v>67.04563899999999</v>
      </c>
      <c r="H170" s="13">
        <f>100*B170/B$7</f>
        <v/>
      </c>
      <c r="I170" s="13">
        <f>100*C170/C$7</f>
        <v/>
      </c>
      <c r="J170" s="13">
        <f>100*D170/D$7</f>
        <v/>
      </c>
      <c r="K170" s="13">
        <f>100*E170/E$7</f>
        <v/>
      </c>
      <c r="L170" s="13">
        <f>100*F170/F$7</f>
        <v/>
      </c>
      <c r="M170" s="13">
        <f>100*G170/G$7</f>
        <v/>
      </c>
    </row>
    <row r="171">
      <c r="A171" s="11" t="n">
        <v>45156</v>
      </c>
      <c r="B171" s="12" t="n">
        <v>385.642426</v>
      </c>
      <c r="C171" s="12" t="n">
        <v>54.376488</v>
      </c>
      <c r="D171" s="12" t="n">
        <v>37.120102</v>
      </c>
      <c r="E171" s="12" t="n">
        <v>56.477505</v>
      </c>
      <c r="F171" s="12" t="n">
        <v>15.44129</v>
      </c>
      <c r="G171" s="12" t="n">
        <v>65.421364</v>
      </c>
      <c r="H171" s="13">
        <f>100*B171/B$7</f>
        <v/>
      </c>
      <c r="I171" s="13">
        <f>100*C171/C$7</f>
        <v/>
      </c>
      <c r="J171" s="13">
        <f>100*D171/D$7</f>
        <v/>
      </c>
      <c r="K171" s="13">
        <f>100*E171/E$7</f>
        <v/>
      </c>
      <c r="L171" s="13">
        <f>100*F171/F$7</f>
        <v/>
      </c>
      <c r="M171" s="13">
        <f>100*G171/G$7</f>
        <v/>
      </c>
    </row>
    <row r="172">
      <c r="A172" s="11" t="n">
        <v>45159</v>
      </c>
      <c r="B172" s="12" t="n">
        <v>388.190308</v>
      </c>
      <c r="C172" s="12" t="n">
        <v>54.422333</v>
      </c>
      <c r="D172" s="12" t="n">
        <v>37.358685</v>
      </c>
      <c r="E172" s="12" t="n">
        <v>56.859177</v>
      </c>
      <c r="F172" s="12" t="n">
        <v>15.223071</v>
      </c>
      <c r="G172" s="12" t="n">
        <v>65.448883</v>
      </c>
      <c r="H172" s="13">
        <f>100*B172/B$7</f>
        <v/>
      </c>
      <c r="I172" s="13">
        <f>100*C172/C$7</f>
        <v/>
      </c>
      <c r="J172" s="13">
        <f>100*D172/D$7</f>
        <v/>
      </c>
      <c r="K172" s="13">
        <f>100*E172/E$7</f>
        <v/>
      </c>
      <c r="L172" s="13">
        <f>100*F172/F$7</f>
        <v/>
      </c>
      <c r="M172" s="13">
        <f>100*G172/G$7</f>
        <v/>
      </c>
    </row>
    <row r="173">
      <c r="A173" s="11" t="n">
        <v>45160</v>
      </c>
      <c r="B173" s="12" t="n">
        <v>387.103821</v>
      </c>
      <c r="C173" s="12" t="n">
        <v>54.68816</v>
      </c>
      <c r="D173" s="12" t="n">
        <v>37.046062</v>
      </c>
      <c r="E173" s="12" t="n">
        <v>56.579906</v>
      </c>
      <c r="F173" s="12" t="n">
        <v>15.196884</v>
      </c>
      <c r="G173" s="12" t="n">
        <v>65.283691</v>
      </c>
      <c r="H173" s="13">
        <f>100*B173/B$7</f>
        <v/>
      </c>
      <c r="I173" s="13">
        <f>100*C173/C$7</f>
        <v/>
      </c>
      <c r="J173" s="13">
        <f>100*D173/D$7</f>
        <v/>
      </c>
      <c r="K173" s="13">
        <f>100*E173/E$7</f>
        <v/>
      </c>
      <c r="L173" s="13">
        <f>100*F173/F$7</f>
        <v/>
      </c>
      <c r="M173" s="13">
        <f>100*G173/G$7</f>
        <v/>
      </c>
    </row>
    <row r="174">
      <c r="A174" s="11" t="n">
        <v>45161</v>
      </c>
      <c r="B174" s="12" t="n">
        <v>391.276703</v>
      </c>
      <c r="C174" s="12" t="n">
        <v>55.412323</v>
      </c>
      <c r="D174" s="12" t="n">
        <v>37.720669</v>
      </c>
      <c r="E174" s="12" t="n">
        <v>57.2967</v>
      </c>
      <c r="F174" s="12" t="n">
        <v>15.432561</v>
      </c>
      <c r="G174" s="12" t="n">
        <v>65.852661</v>
      </c>
      <c r="H174" s="13">
        <f>100*B174/B$7</f>
        <v/>
      </c>
      <c r="I174" s="13">
        <f>100*C174/C$7</f>
        <v/>
      </c>
      <c r="J174" s="13">
        <f>100*D174/D$7</f>
        <v/>
      </c>
      <c r="K174" s="13">
        <f>100*E174/E$7</f>
        <v/>
      </c>
      <c r="L174" s="13">
        <f>100*F174/F$7</f>
        <v/>
      </c>
      <c r="M174" s="13">
        <f>100*G174/G$7</f>
        <v/>
      </c>
    </row>
    <row r="175">
      <c r="A175" s="11" t="n">
        <v>45162</v>
      </c>
      <c r="B175" s="12" t="n">
        <v>386.075073</v>
      </c>
      <c r="C175" s="12" t="n">
        <v>54.68816</v>
      </c>
      <c r="D175" s="12" t="n">
        <v>37.654858</v>
      </c>
      <c r="E175" s="12" t="n">
        <v>57.25946</v>
      </c>
      <c r="F175" s="12" t="n">
        <v>15.380191</v>
      </c>
      <c r="G175" s="12" t="n">
        <v>66.146317</v>
      </c>
      <c r="H175" s="13">
        <f>100*B175/B$7</f>
        <v/>
      </c>
      <c r="I175" s="13">
        <f>100*C175/C$7</f>
        <v/>
      </c>
      <c r="J175" s="13">
        <f>100*D175/D$7</f>
        <v/>
      </c>
      <c r="K175" s="13">
        <f>100*E175/E$7</f>
        <v/>
      </c>
      <c r="L175" s="13">
        <f>100*F175/F$7</f>
        <v/>
      </c>
      <c r="M175" s="13">
        <f>100*G175/G$7</f>
        <v/>
      </c>
    </row>
    <row r="176">
      <c r="A176" s="11" t="n">
        <v>45163</v>
      </c>
      <c r="B176" s="12" t="n">
        <v>388.632629</v>
      </c>
      <c r="C176" s="12" t="n">
        <v>54.972332</v>
      </c>
      <c r="D176" s="12" t="n">
        <v>37.432728</v>
      </c>
      <c r="E176" s="12" t="n">
        <v>57.724911</v>
      </c>
      <c r="F176" s="12" t="n">
        <v>15.371459</v>
      </c>
      <c r="G176" s="12" t="n">
        <v>65.999489</v>
      </c>
      <c r="H176" s="13">
        <f>100*B176/B$7</f>
        <v/>
      </c>
      <c r="I176" s="13">
        <f>100*C176/C$7</f>
        <v/>
      </c>
      <c r="J176" s="13">
        <f>100*D176/D$7</f>
        <v/>
      </c>
      <c r="K176" s="13">
        <f>100*E176/E$7</f>
        <v/>
      </c>
      <c r="L176" s="13">
        <f>100*F176/F$7</f>
        <v/>
      </c>
      <c r="M176" s="13">
        <f>100*G176/G$7</f>
        <v/>
      </c>
    </row>
    <row r="177">
      <c r="A177" s="11" t="n">
        <v>45166</v>
      </c>
      <c r="B177" s="12" t="n">
        <v>391.190186</v>
      </c>
      <c r="C177" s="12" t="n">
        <v>55.623158</v>
      </c>
      <c r="D177" s="12" t="n">
        <v>37.695992</v>
      </c>
      <c r="E177" s="12" t="n">
        <v>58.190361</v>
      </c>
      <c r="F177" s="12" t="n">
        <v>15.607135</v>
      </c>
      <c r="G177" s="12" t="n">
        <v>67.265884</v>
      </c>
      <c r="H177" s="13">
        <f>100*B177/B$7</f>
        <v/>
      </c>
      <c r="I177" s="13">
        <f>100*C177/C$7</f>
        <v/>
      </c>
      <c r="J177" s="13">
        <f>100*D177/D$7</f>
        <v/>
      </c>
      <c r="K177" s="13">
        <f>100*E177/E$7</f>
        <v/>
      </c>
      <c r="L177" s="13">
        <f>100*F177/F$7</f>
        <v/>
      </c>
      <c r="M177" s="13">
        <f>100*G177/G$7</f>
        <v/>
      </c>
    </row>
    <row r="178">
      <c r="A178" s="11" t="n">
        <v>45167</v>
      </c>
      <c r="B178" s="12" t="n">
        <v>396.747589</v>
      </c>
      <c r="C178" s="12" t="n">
        <v>56.008152</v>
      </c>
      <c r="D178" s="12" t="n">
        <v>38.115566</v>
      </c>
      <c r="E178" s="12" t="n">
        <v>58.972313</v>
      </c>
      <c r="F178" s="12" t="n">
        <v>16.008665</v>
      </c>
      <c r="G178" s="12" t="n">
        <v>68.871826</v>
      </c>
      <c r="H178" s="13">
        <f>100*B178/B$7</f>
        <v/>
      </c>
      <c r="I178" s="13">
        <f>100*C178/C$7</f>
        <v/>
      </c>
      <c r="J178" s="13">
        <f>100*D178/D$7</f>
        <v/>
      </c>
      <c r="K178" s="13">
        <f>100*E178/E$7</f>
        <v/>
      </c>
      <c r="L178" s="13">
        <f>100*F178/F$7</f>
        <v/>
      </c>
      <c r="M178" s="13">
        <f>100*G178/G$7</f>
        <v/>
      </c>
    </row>
    <row r="179">
      <c r="A179" s="11" t="n">
        <v>45168</v>
      </c>
      <c r="B179" s="12" t="n">
        <v>398.401245</v>
      </c>
      <c r="C179" s="12" t="n">
        <v>55.907326</v>
      </c>
      <c r="D179" s="12" t="n">
        <v>38.000385</v>
      </c>
      <c r="E179" s="12" t="n">
        <v>58.590641</v>
      </c>
      <c r="F179" s="12" t="n">
        <v>15.991203</v>
      </c>
      <c r="G179" s="12" t="n">
        <v>68.477226</v>
      </c>
      <c r="H179" s="13">
        <f>100*B179/B$7</f>
        <v/>
      </c>
      <c r="I179" s="13">
        <f>100*C179/C$7</f>
        <v/>
      </c>
      <c r="J179" s="13">
        <f>100*D179/D$7</f>
        <v/>
      </c>
      <c r="K179" s="13">
        <f>100*E179/E$7</f>
        <v/>
      </c>
      <c r="L179" s="13">
        <f>100*F179/F$7</f>
        <v/>
      </c>
      <c r="M179" s="13">
        <f>100*G179/G$7</f>
        <v/>
      </c>
    </row>
    <row r="180">
      <c r="A180" s="11" t="n">
        <v>45169</v>
      </c>
      <c r="B180" s="12" t="n">
        <v>397.891754</v>
      </c>
      <c r="C180" s="12" t="n">
        <v>56.503155</v>
      </c>
      <c r="D180" s="12" t="n">
        <v>37.514996</v>
      </c>
      <c r="E180" s="12" t="n">
        <v>58.134506</v>
      </c>
      <c r="F180" s="12" t="n">
        <v>15.842817</v>
      </c>
      <c r="G180" s="12" t="n">
        <v>67.779785</v>
      </c>
      <c r="H180" s="13">
        <f>100*B180/B$7</f>
        <v/>
      </c>
      <c r="I180" s="13">
        <f>100*C180/C$7</f>
        <v/>
      </c>
      <c r="J180" s="13">
        <f>100*D180/D$7</f>
        <v/>
      </c>
      <c r="K180" s="13">
        <f>100*E180/E$7</f>
        <v/>
      </c>
      <c r="L180" s="13">
        <f>100*F180/F$7</f>
        <v/>
      </c>
      <c r="M180" s="13">
        <f>100*G180/G$7</f>
        <v/>
      </c>
    </row>
    <row r="181">
      <c r="A181" s="11" t="n">
        <v>45170</v>
      </c>
      <c r="B181" s="12" t="n">
        <v>398.737793</v>
      </c>
      <c r="C181" s="12" t="n">
        <v>56.869823</v>
      </c>
      <c r="D181" s="12" t="n">
        <v>37.646629</v>
      </c>
      <c r="E181" s="12" t="n">
        <v>58.841984</v>
      </c>
      <c r="F181" s="12" t="n">
        <v>16.087223</v>
      </c>
      <c r="G181" s="12" t="n">
        <v>69.119591</v>
      </c>
      <c r="H181" s="13">
        <f>100*B181/B$7</f>
        <v/>
      </c>
      <c r="I181" s="13">
        <f>100*C181/C$7</f>
        <v/>
      </c>
      <c r="J181" s="13">
        <f>100*D181/D$7</f>
        <v/>
      </c>
      <c r="K181" s="13">
        <f>100*E181/E$7</f>
        <v/>
      </c>
      <c r="L181" s="13">
        <f>100*F181/F$7</f>
        <v/>
      </c>
      <c r="M181" s="13">
        <f>100*G181/G$7</f>
        <v/>
      </c>
    </row>
    <row r="182">
      <c r="A182" s="11" t="n">
        <v>45173</v>
      </c>
      <c r="B182" s="12" t="n">
        <v>398.737793</v>
      </c>
      <c r="C182" s="12" t="n">
        <v>56.869823</v>
      </c>
      <c r="D182" s="12" t="n">
        <v>37.646629</v>
      </c>
      <c r="E182" s="12" t="n">
        <v>58.841984</v>
      </c>
      <c r="F182" s="12" t="n">
        <v>16.087223</v>
      </c>
      <c r="G182" s="12" t="n">
        <v>69.119591</v>
      </c>
      <c r="H182" s="13">
        <f>100*B182/B$7</f>
        <v/>
      </c>
      <c r="I182" s="13">
        <f>100*C182/C$7</f>
        <v/>
      </c>
      <c r="J182" s="13">
        <f>100*D182/D$7</f>
        <v/>
      </c>
      <c r="K182" s="13">
        <f>100*E182/E$7</f>
        <v/>
      </c>
      <c r="L182" s="13">
        <f>100*F182/F$7</f>
        <v/>
      </c>
      <c r="M182" s="13">
        <f>100*G182/G$7</f>
        <v/>
      </c>
    </row>
    <row r="183">
      <c r="A183" s="11" t="n">
        <v>45174</v>
      </c>
      <c r="B183" s="12" t="n">
        <v>396.997589</v>
      </c>
      <c r="C183" s="12" t="n">
        <v>56.897324</v>
      </c>
      <c r="D183" s="12" t="n">
        <v>37.770035</v>
      </c>
      <c r="E183" s="12" t="n">
        <v>58.42308</v>
      </c>
      <c r="F183" s="12" t="n">
        <v>15.799172</v>
      </c>
      <c r="G183" s="12" t="n">
        <v>68.33039100000001</v>
      </c>
      <c r="H183" s="13">
        <f>100*B183/B$7</f>
        <v/>
      </c>
      <c r="I183" s="13">
        <f>100*C183/C$7</f>
        <v/>
      </c>
      <c r="J183" s="13">
        <f>100*D183/D$7</f>
        <v/>
      </c>
      <c r="K183" s="13">
        <f>100*E183/E$7</f>
        <v/>
      </c>
      <c r="L183" s="13">
        <f>100*F183/F$7</f>
        <v/>
      </c>
      <c r="M183" s="13">
        <f>100*G183/G$7</f>
        <v/>
      </c>
    </row>
    <row r="184">
      <c r="A184" s="11" t="n">
        <v>45175</v>
      </c>
      <c r="B184" s="12" t="n">
        <v>394.257263</v>
      </c>
      <c r="C184" s="12" t="n">
        <v>57.043987</v>
      </c>
      <c r="D184" s="12" t="n">
        <v>37.473862</v>
      </c>
      <c r="E184" s="12" t="n">
        <v>57.734219</v>
      </c>
      <c r="F184" s="12" t="n">
        <v>15.790441</v>
      </c>
      <c r="G184" s="12" t="n">
        <v>68.52310900000001</v>
      </c>
      <c r="H184" s="13">
        <f>100*B184/B$7</f>
        <v/>
      </c>
      <c r="I184" s="13">
        <f>100*C184/C$7</f>
        <v/>
      </c>
      <c r="J184" s="13">
        <f>100*D184/D$7</f>
        <v/>
      </c>
      <c r="K184" s="13">
        <f>100*E184/E$7</f>
        <v/>
      </c>
      <c r="L184" s="13">
        <f>100*F184/F$7</f>
        <v/>
      </c>
      <c r="M184" s="13">
        <f>100*G184/G$7</f>
        <v/>
      </c>
    </row>
    <row r="185">
      <c r="A185" s="11" t="n">
        <v>45176</v>
      </c>
      <c r="B185" s="12" t="n">
        <v>393.084259</v>
      </c>
      <c r="C185" s="12" t="n">
        <v>57.043987</v>
      </c>
      <c r="D185" s="12" t="n">
        <v>37.128334</v>
      </c>
      <c r="E185" s="12" t="n">
        <v>57.473572</v>
      </c>
      <c r="F185" s="12" t="n">
        <v>15.493664</v>
      </c>
      <c r="G185" s="12" t="n">
        <v>66.449158</v>
      </c>
      <c r="H185" s="13">
        <f>100*B185/B$7</f>
        <v/>
      </c>
      <c r="I185" s="13">
        <f>100*C185/C$7</f>
        <v/>
      </c>
      <c r="J185" s="13">
        <f>100*D185/D$7</f>
        <v/>
      </c>
      <c r="K185" s="13">
        <f>100*E185/E$7</f>
        <v/>
      </c>
      <c r="L185" s="13">
        <f>100*F185/F$7</f>
        <v/>
      </c>
      <c r="M185" s="13">
        <f>100*G185/G$7</f>
        <v/>
      </c>
    </row>
    <row r="186">
      <c r="A186" s="11" t="n">
        <v>45177</v>
      </c>
      <c r="B186" s="12" t="n">
        <v>393.622772</v>
      </c>
      <c r="C186" s="12" t="n">
        <v>56.475658</v>
      </c>
      <c r="D186" s="12" t="n">
        <v>37.144787</v>
      </c>
      <c r="E186" s="12" t="n">
        <v>57.520115</v>
      </c>
      <c r="F186" s="12" t="n">
        <v>15.493664</v>
      </c>
      <c r="G186" s="12" t="n">
        <v>66.146317</v>
      </c>
      <c r="H186" s="13">
        <f>100*B186/B$7</f>
        <v/>
      </c>
      <c r="I186" s="13">
        <f>100*C186/C$7</f>
        <v/>
      </c>
      <c r="J186" s="13">
        <f>100*D186/D$7</f>
        <v/>
      </c>
      <c r="K186" s="13">
        <f>100*E186/E$7</f>
        <v/>
      </c>
      <c r="L186" s="13">
        <f>100*F186/F$7</f>
        <v/>
      </c>
      <c r="M186" s="13">
        <f>100*G186/G$7</f>
        <v/>
      </c>
    </row>
    <row r="187">
      <c r="A187" s="11" t="n">
        <v>45180</v>
      </c>
      <c r="B187" s="12" t="n">
        <v>396.209106</v>
      </c>
      <c r="C187" s="12" t="n">
        <v>57.126488</v>
      </c>
      <c r="D187" s="12" t="n">
        <v>37.276413</v>
      </c>
      <c r="E187" s="12" t="n">
        <v>58.4417</v>
      </c>
      <c r="F187" s="12" t="n">
        <v>15.362733</v>
      </c>
      <c r="G187" s="12" t="n">
        <v>67.34848</v>
      </c>
      <c r="H187" s="13">
        <f>100*B187/B$7</f>
        <v/>
      </c>
      <c r="I187" s="13">
        <f>100*C187/C$7</f>
        <v/>
      </c>
      <c r="J187" s="13">
        <f>100*D187/D$7</f>
        <v/>
      </c>
      <c r="K187" s="13">
        <f>100*E187/E$7</f>
        <v/>
      </c>
      <c r="L187" s="13">
        <f>100*F187/F$7</f>
        <v/>
      </c>
      <c r="M187" s="13">
        <f>100*G187/G$7</f>
        <v/>
      </c>
    </row>
    <row r="188">
      <c r="A188" s="11" t="n">
        <v>45181</v>
      </c>
      <c r="B188" s="12" t="n">
        <v>394.084259</v>
      </c>
      <c r="C188" s="12" t="n">
        <v>57.117321</v>
      </c>
      <c r="D188" s="12" t="n">
        <v>37.366913</v>
      </c>
      <c r="E188" s="12" t="n">
        <v>57.724911</v>
      </c>
      <c r="F188" s="12" t="n">
        <v>15.44129</v>
      </c>
      <c r="G188" s="12" t="n">
        <v>67.339294</v>
      </c>
      <c r="H188" s="13">
        <f>100*B188/B$7</f>
        <v/>
      </c>
      <c r="I188" s="13">
        <f>100*C188/C$7</f>
        <v/>
      </c>
      <c r="J188" s="13">
        <f>100*D188/D$7</f>
        <v/>
      </c>
      <c r="K188" s="13">
        <f>100*E188/E$7</f>
        <v/>
      </c>
      <c r="L188" s="13">
        <f>100*F188/F$7</f>
        <v/>
      </c>
      <c r="M188" s="13">
        <f>100*G188/G$7</f>
        <v/>
      </c>
    </row>
    <row r="189">
      <c r="A189" s="11" t="n">
        <v>45182</v>
      </c>
      <c r="B189" s="12" t="n">
        <v>394.545746</v>
      </c>
      <c r="C189" s="12" t="n">
        <v>57.089821</v>
      </c>
      <c r="D189" s="12" t="n">
        <v>37.589039</v>
      </c>
      <c r="E189" s="12" t="n">
        <v>57.743526</v>
      </c>
      <c r="F189" s="12" t="n">
        <v>15.432561</v>
      </c>
      <c r="G189" s="12" t="n">
        <v>66.94470200000001</v>
      </c>
      <c r="H189" s="13">
        <f>100*B189/B$7</f>
        <v/>
      </c>
      <c r="I189" s="13">
        <f>100*C189/C$7</f>
        <v/>
      </c>
      <c r="J189" s="13">
        <f>100*D189/D$7</f>
        <v/>
      </c>
      <c r="K189" s="13">
        <f>100*E189/E$7</f>
        <v/>
      </c>
      <c r="L189" s="13">
        <f>100*F189/F$7</f>
        <v/>
      </c>
      <c r="M189" s="13">
        <f>100*G189/G$7</f>
        <v/>
      </c>
    </row>
    <row r="190">
      <c r="A190" s="11" t="n">
        <v>45183</v>
      </c>
      <c r="B190" s="12" t="n">
        <v>397.959045</v>
      </c>
      <c r="C190" s="12" t="n">
        <v>58.061485</v>
      </c>
      <c r="D190" s="12" t="n">
        <v>38.05798</v>
      </c>
      <c r="E190" s="12" t="n">
        <v>58.497559</v>
      </c>
      <c r="F190" s="12" t="n">
        <v>15.388915</v>
      </c>
      <c r="G190" s="12" t="n">
        <v>67.320961</v>
      </c>
      <c r="H190" s="13">
        <f>100*B190/B$7</f>
        <v/>
      </c>
      <c r="I190" s="13">
        <f>100*C190/C$7</f>
        <v/>
      </c>
      <c r="J190" s="13">
        <f>100*D190/D$7</f>
        <v/>
      </c>
      <c r="K190" s="13">
        <f>100*E190/E$7</f>
        <v/>
      </c>
      <c r="L190" s="13">
        <f>100*F190/F$7</f>
        <v/>
      </c>
      <c r="M190" s="13">
        <f>100*G190/G$7</f>
        <v/>
      </c>
    </row>
    <row r="191">
      <c r="A191" s="11" t="n">
        <v>45184</v>
      </c>
      <c r="B191" s="12" t="n">
        <v>392.997742</v>
      </c>
      <c r="C191" s="12" t="n">
        <v>57.740654</v>
      </c>
      <c r="D191" s="12" t="n">
        <v>37.860531</v>
      </c>
      <c r="E191" s="12" t="n">
        <v>58.758205</v>
      </c>
      <c r="F191" s="12" t="n">
        <v>15.310358</v>
      </c>
      <c r="G191" s="12" t="n">
        <v>66.715279</v>
      </c>
      <c r="H191" s="13">
        <f>100*B191/B$7</f>
        <v/>
      </c>
      <c r="I191" s="13">
        <f>100*C191/C$7</f>
        <v/>
      </c>
      <c r="J191" s="13">
        <f>100*D191/D$7</f>
        <v/>
      </c>
      <c r="K191" s="13">
        <f>100*E191/E$7</f>
        <v/>
      </c>
      <c r="L191" s="13">
        <f>100*F191/F$7</f>
        <v/>
      </c>
      <c r="M191" s="13">
        <f>100*G191/G$7</f>
        <v/>
      </c>
    </row>
    <row r="192">
      <c r="A192" s="11" t="n">
        <v>45187</v>
      </c>
      <c r="B192" s="12" t="n">
        <v>393.430481</v>
      </c>
      <c r="C192" s="12" t="n">
        <v>57.878151</v>
      </c>
      <c r="D192" s="12" t="n">
        <v>37.819397</v>
      </c>
      <c r="E192" s="12" t="n">
        <v>58.879227</v>
      </c>
      <c r="F192" s="12" t="n">
        <v>15.240528</v>
      </c>
      <c r="G192" s="12" t="n">
        <v>66.816216</v>
      </c>
      <c r="H192" s="13">
        <f>100*B192/B$7</f>
        <v/>
      </c>
      <c r="I192" s="13">
        <f>100*C192/C$7</f>
        <v/>
      </c>
      <c r="J192" s="13">
        <f>100*D192/D$7</f>
        <v/>
      </c>
      <c r="K192" s="13">
        <f>100*E192/E$7</f>
        <v/>
      </c>
      <c r="L192" s="13">
        <f>100*F192/F$7</f>
        <v/>
      </c>
      <c r="M192" s="13">
        <f>100*G192/G$7</f>
        <v/>
      </c>
    </row>
    <row r="193">
      <c r="A193" s="11" t="n">
        <v>45188</v>
      </c>
      <c r="B193" s="12" t="n">
        <v>392.642059</v>
      </c>
      <c r="C193" s="12" t="n">
        <v>58.162319</v>
      </c>
      <c r="D193" s="12" t="n">
        <v>37.465637</v>
      </c>
      <c r="E193" s="12" t="n">
        <v>58.255524</v>
      </c>
      <c r="F193" s="12" t="n">
        <v>15.249254</v>
      </c>
      <c r="G193" s="12" t="n">
        <v>66.403267</v>
      </c>
      <c r="H193" s="13">
        <f>100*B193/B$7</f>
        <v/>
      </c>
      <c r="I193" s="13">
        <f>100*C193/C$7</f>
        <v/>
      </c>
      <c r="J193" s="13">
        <f>100*D193/D$7</f>
        <v/>
      </c>
      <c r="K193" s="13">
        <f>100*E193/E$7</f>
        <v/>
      </c>
      <c r="L193" s="13">
        <f>100*F193/F$7</f>
        <v/>
      </c>
      <c r="M193" s="13">
        <f>100*G193/G$7</f>
        <v/>
      </c>
    </row>
    <row r="194">
      <c r="A194" s="11" t="n">
        <v>45189</v>
      </c>
      <c r="B194" s="12" t="n">
        <v>388.969208</v>
      </c>
      <c r="C194" s="12" t="n">
        <v>57.383152</v>
      </c>
      <c r="D194" s="12" t="n">
        <v>37.227055</v>
      </c>
      <c r="E194" s="12" t="n">
        <v>57.845928</v>
      </c>
      <c r="F194" s="12" t="n">
        <v>15.196884</v>
      </c>
      <c r="G194" s="12" t="n">
        <v>65.880188</v>
      </c>
      <c r="H194" s="13">
        <f>100*B194/B$7</f>
        <v/>
      </c>
      <c r="I194" s="13">
        <f>100*C194/C$7</f>
        <v/>
      </c>
      <c r="J194" s="13">
        <f>100*D194/D$7</f>
        <v/>
      </c>
      <c r="K194" s="13">
        <f>100*E194/E$7</f>
        <v/>
      </c>
      <c r="L194" s="13">
        <f>100*F194/F$7</f>
        <v/>
      </c>
      <c r="M194" s="13">
        <f>100*G194/G$7</f>
        <v/>
      </c>
    </row>
    <row r="195">
      <c r="A195" s="11" t="n">
        <v>45190</v>
      </c>
      <c r="B195" s="12" t="n">
        <v>382.594452</v>
      </c>
      <c r="C195" s="12" t="n">
        <v>56.493992</v>
      </c>
      <c r="D195" s="12" t="n">
        <v>36.478397</v>
      </c>
      <c r="E195" s="12" t="n">
        <v>56.319256</v>
      </c>
      <c r="F195" s="12" t="n">
        <v>14.952476</v>
      </c>
      <c r="G195" s="12" t="n">
        <v>64.733086</v>
      </c>
      <c r="H195" s="13">
        <f>100*B195/B$7</f>
        <v/>
      </c>
      <c r="I195" s="13">
        <f>100*C195/C$7</f>
        <v/>
      </c>
      <c r="J195" s="13">
        <f>100*D195/D$7</f>
        <v/>
      </c>
      <c r="K195" s="13">
        <f>100*E195/E$7</f>
        <v/>
      </c>
      <c r="L195" s="13">
        <f>100*F195/F$7</f>
        <v/>
      </c>
      <c r="M195" s="13">
        <f>100*G195/G$7</f>
        <v/>
      </c>
    </row>
    <row r="196">
      <c r="A196" s="11" t="n">
        <v>45191</v>
      </c>
      <c r="B196" s="12" t="n">
        <v>381.671509</v>
      </c>
      <c r="C196" s="12" t="n">
        <v>56.649818</v>
      </c>
      <c r="D196" s="12" t="n">
        <v>36.774567</v>
      </c>
      <c r="E196" s="12" t="n">
        <v>56.598526</v>
      </c>
      <c r="F196" s="12" t="n">
        <v>15.266712</v>
      </c>
      <c r="G196" s="12" t="n">
        <v>66.61432600000001</v>
      </c>
      <c r="H196" s="13">
        <f>100*B196/B$7</f>
        <v/>
      </c>
      <c r="I196" s="13">
        <f>100*C196/C$7</f>
        <v/>
      </c>
      <c r="J196" s="13">
        <f>100*D196/D$7</f>
        <v/>
      </c>
      <c r="K196" s="13">
        <f>100*E196/E$7</f>
        <v/>
      </c>
      <c r="L196" s="13">
        <f>100*F196/F$7</f>
        <v/>
      </c>
      <c r="M196" s="13">
        <f>100*G196/G$7</f>
        <v/>
      </c>
    </row>
    <row r="197">
      <c r="A197" s="11" t="n">
        <v>45194</v>
      </c>
      <c r="B197" s="12" t="n">
        <v>383.257935</v>
      </c>
      <c r="C197" s="12" t="n">
        <v>56.576488</v>
      </c>
      <c r="D197" s="12" t="n">
        <v>36.930882</v>
      </c>
      <c r="E197" s="12" t="n">
        <v>56.430962</v>
      </c>
      <c r="F197" s="12" t="n">
        <v>14.987391</v>
      </c>
      <c r="G197" s="12" t="n">
        <v>65.760895</v>
      </c>
      <c r="H197" s="13">
        <f>100*B197/B$7</f>
        <v/>
      </c>
      <c r="I197" s="13">
        <f>100*C197/C$7</f>
        <v/>
      </c>
      <c r="J197" s="13">
        <f>100*D197/D$7</f>
        <v/>
      </c>
      <c r="K197" s="13">
        <f>100*E197/E$7</f>
        <v/>
      </c>
      <c r="L197" s="13">
        <f>100*F197/F$7</f>
        <v/>
      </c>
      <c r="M197" s="13">
        <f>100*G197/G$7</f>
        <v/>
      </c>
    </row>
    <row r="198">
      <c r="A198" s="11" t="n">
        <v>45195</v>
      </c>
      <c r="B198" s="12" t="n">
        <v>377.63327</v>
      </c>
      <c r="C198" s="12" t="n">
        <v>55.705654</v>
      </c>
      <c r="D198" s="12" t="n">
        <v>36.32209</v>
      </c>
      <c r="E198" s="12" t="n">
        <v>54.643642</v>
      </c>
      <c r="F198" s="12" t="n">
        <v>14.751713</v>
      </c>
      <c r="G198" s="12" t="n">
        <v>65.054276</v>
      </c>
      <c r="H198" s="13">
        <f>100*B198/B$7</f>
        <v/>
      </c>
      <c r="I198" s="13">
        <f>100*C198/C$7</f>
        <v/>
      </c>
      <c r="J198" s="13">
        <f>100*D198/D$7</f>
        <v/>
      </c>
      <c r="K198" s="13">
        <f>100*E198/E$7</f>
        <v/>
      </c>
      <c r="L198" s="13">
        <f>100*F198/F$7</f>
        <v/>
      </c>
      <c r="M198" s="13">
        <f>100*G198/G$7</f>
        <v/>
      </c>
    </row>
    <row r="199">
      <c r="A199" s="11" t="n">
        <v>45196</v>
      </c>
      <c r="B199" s="12" t="n">
        <v>377.719818</v>
      </c>
      <c r="C199" s="12" t="n">
        <v>55.943993</v>
      </c>
      <c r="D199" s="12" t="n">
        <v>36.412582</v>
      </c>
      <c r="E199" s="12" t="n">
        <v>54.662262</v>
      </c>
      <c r="F199" s="12" t="n">
        <v>14.891373</v>
      </c>
      <c r="G199" s="12" t="n">
        <v>65.27452099999999</v>
      </c>
      <c r="H199" s="13">
        <f>100*B199/B$7</f>
        <v/>
      </c>
      <c r="I199" s="13">
        <f>100*C199/C$7</f>
        <v/>
      </c>
      <c r="J199" s="13">
        <f>100*D199/D$7</f>
        <v/>
      </c>
      <c r="K199" s="13">
        <f>100*E199/E$7</f>
        <v/>
      </c>
      <c r="L199" s="13">
        <f>100*F199/F$7</f>
        <v/>
      </c>
      <c r="M199" s="13">
        <f>100*G199/G$7</f>
        <v/>
      </c>
    </row>
    <row r="200">
      <c r="A200" s="11" t="n">
        <v>45197</v>
      </c>
      <c r="B200" s="12" t="n">
        <v>379.923218</v>
      </c>
      <c r="C200" s="12" t="n">
        <v>56.053993</v>
      </c>
      <c r="D200" s="12" t="n">
        <v>36.823929</v>
      </c>
      <c r="E200" s="12" t="n">
        <v>55.174255</v>
      </c>
      <c r="F200" s="12" t="n">
        <v>14.821542</v>
      </c>
      <c r="G200" s="12" t="n">
        <v>65.109337</v>
      </c>
      <c r="H200" s="13">
        <f>100*B200/B$7</f>
        <v/>
      </c>
      <c r="I200" s="13">
        <f>100*C200/C$7</f>
        <v/>
      </c>
      <c r="J200" s="13">
        <f>100*D200/D$7</f>
        <v/>
      </c>
      <c r="K200" s="13">
        <f>100*E200/E$7</f>
        <v/>
      </c>
      <c r="L200" s="13">
        <f>100*F200/F$7</f>
        <v/>
      </c>
      <c r="M200" s="13">
        <f>100*G200/G$7</f>
        <v/>
      </c>
    </row>
    <row r="201">
      <c r="A201" s="11" t="n">
        <v>45198</v>
      </c>
      <c r="B201" s="12" t="n">
        <v>379.016052</v>
      </c>
      <c r="C201" s="12" t="n">
        <v>55.265663</v>
      </c>
      <c r="D201" s="12" t="n">
        <v>36.651165</v>
      </c>
      <c r="E201" s="12" t="n">
        <v>54.867058</v>
      </c>
      <c r="F201" s="12" t="n">
        <v>14.969933</v>
      </c>
      <c r="G201" s="12" t="n">
        <v>65.659958</v>
      </c>
      <c r="H201" s="13">
        <f>100*B201/B$7</f>
        <v/>
      </c>
      <c r="I201" s="13">
        <f>100*C201/C$7</f>
        <v/>
      </c>
      <c r="J201" s="13">
        <f>100*D201/D$7</f>
        <v/>
      </c>
      <c r="K201" s="13">
        <f>100*E201/E$7</f>
        <v/>
      </c>
      <c r="L201" s="13">
        <f>100*F201/F$7</f>
        <v/>
      </c>
      <c r="M201" s="13">
        <f>100*G201/G$7</f>
        <v/>
      </c>
    </row>
    <row r="202">
      <c r="A202" s="11" t="n">
        <v>45201</v>
      </c>
      <c r="B202" s="12" t="n">
        <v>378.987061</v>
      </c>
      <c r="C202" s="12" t="n">
        <v>54.788994</v>
      </c>
      <c r="D202" s="12" t="n">
        <v>36.692299</v>
      </c>
      <c r="E202" s="12" t="n">
        <v>54.410915</v>
      </c>
      <c r="F202" s="12" t="n">
        <v>14.908832</v>
      </c>
      <c r="G202" s="12" t="n">
        <v>65.448883</v>
      </c>
      <c r="H202" s="13">
        <f>100*B202/B$7</f>
        <v/>
      </c>
      <c r="I202" s="13">
        <f>100*C202/C$7</f>
        <v/>
      </c>
      <c r="J202" s="13">
        <f>100*D202/D$7</f>
        <v/>
      </c>
      <c r="K202" s="13">
        <f>100*E202/E$7</f>
        <v/>
      </c>
      <c r="L202" s="13">
        <f>100*F202/F$7</f>
        <v/>
      </c>
      <c r="M202" s="13">
        <f>100*G202/G$7</f>
        <v/>
      </c>
    </row>
    <row r="203">
      <c r="A203" s="11" t="n">
        <v>45202</v>
      </c>
      <c r="B203" s="12" t="n">
        <v>373.891022</v>
      </c>
      <c r="C203" s="12" t="n">
        <v>53.835659</v>
      </c>
      <c r="D203" s="12" t="n">
        <v>36.305634</v>
      </c>
      <c r="E203" s="12" t="n">
        <v>53.861687</v>
      </c>
      <c r="F203" s="12" t="n">
        <v>14.708069</v>
      </c>
      <c r="G203" s="12" t="n">
        <v>64.210014</v>
      </c>
      <c r="H203" s="13">
        <f>100*B203/B$7</f>
        <v/>
      </c>
      <c r="I203" s="13">
        <f>100*C203/C$7</f>
        <v/>
      </c>
      <c r="J203" s="13">
        <f>100*D203/D$7</f>
        <v/>
      </c>
      <c r="K203" s="13">
        <f>100*E203/E$7</f>
        <v/>
      </c>
      <c r="L203" s="13">
        <f>100*F203/F$7</f>
        <v/>
      </c>
      <c r="M203" s="13">
        <f>100*G203/G$7</f>
        <v/>
      </c>
    </row>
    <row r="204">
      <c r="A204" s="11" t="n">
        <v>45203</v>
      </c>
      <c r="B204" s="12" t="n">
        <v>376.641632</v>
      </c>
      <c r="C204" s="12" t="n">
        <v>53.248993</v>
      </c>
      <c r="D204" s="12" t="n">
        <v>36.39613</v>
      </c>
      <c r="E204" s="12" t="n">
        <v>53.759293</v>
      </c>
      <c r="F204" s="12" t="n">
        <v>14.7779</v>
      </c>
      <c r="G204" s="12" t="n">
        <v>63.778702</v>
      </c>
      <c r="H204" s="13">
        <f>100*B204/B$7</f>
        <v/>
      </c>
      <c r="I204" s="13">
        <f>100*C204/C$7</f>
        <v/>
      </c>
      <c r="J204" s="13">
        <f>100*D204/D$7</f>
        <v/>
      </c>
      <c r="K204" s="13">
        <f>100*E204/E$7</f>
        <v/>
      </c>
      <c r="L204" s="13">
        <f>100*F204/F$7</f>
        <v/>
      </c>
      <c r="M204" s="13">
        <f>100*G204/G$7</f>
        <v/>
      </c>
    </row>
    <row r="205">
      <c r="A205" s="11" t="n">
        <v>45204</v>
      </c>
      <c r="B205" s="12" t="n">
        <v>376.323181</v>
      </c>
      <c r="C205" s="12" t="n">
        <v>54.293995</v>
      </c>
      <c r="D205" s="12" t="n">
        <v>36.86507</v>
      </c>
      <c r="E205" s="12" t="n">
        <v>53.9734</v>
      </c>
      <c r="F205" s="12" t="n">
        <v>14.873919</v>
      </c>
      <c r="G205" s="12" t="n">
        <v>64.00812500000001</v>
      </c>
      <c r="H205" s="13">
        <f>100*B205/B$7</f>
        <v/>
      </c>
      <c r="I205" s="13">
        <f>100*C205/C$7</f>
        <v/>
      </c>
      <c r="J205" s="13">
        <f>100*D205/D$7</f>
        <v/>
      </c>
      <c r="K205" s="13">
        <f>100*E205/E$7</f>
        <v/>
      </c>
      <c r="L205" s="13">
        <f>100*F205/F$7</f>
        <v/>
      </c>
      <c r="M205" s="13">
        <f>100*G205/G$7</f>
        <v/>
      </c>
    </row>
    <row r="206">
      <c r="A206" s="11" t="n">
        <v>45205</v>
      </c>
      <c r="B206" s="12" t="n">
        <v>380.811127</v>
      </c>
      <c r="C206" s="12" t="n">
        <v>54.431496</v>
      </c>
      <c r="D206" s="12" t="n">
        <v>37.490318</v>
      </c>
      <c r="E206" s="12" t="n">
        <v>54.55986</v>
      </c>
      <c r="F206" s="12" t="n">
        <v>15.135782</v>
      </c>
      <c r="G206" s="12" t="n">
        <v>65.48558800000001</v>
      </c>
      <c r="H206" s="13">
        <f>100*B206/B$7</f>
        <v/>
      </c>
      <c r="I206" s="13">
        <f>100*C206/C$7</f>
        <v/>
      </c>
      <c r="J206" s="13">
        <f>100*D206/D$7</f>
        <v/>
      </c>
      <c r="K206" s="13">
        <f>100*E206/E$7</f>
        <v/>
      </c>
      <c r="L206" s="13">
        <f>100*F206/F$7</f>
        <v/>
      </c>
      <c r="M206" s="13">
        <f>100*G206/G$7</f>
        <v/>
      </c>
    </row>
    <row r="207">
      <c r="A207" s="11" t="n">
        <v>45208</v>
      </c>
      <c r="B207" s="12" t="n">
        <v>383.349518</v>
      </c>
      <c r="C207" s="12" t="n">
        <v>54.587326</v>
      </c>
      <c r="D207" s="12" t="n">
        <v>37.375137</v>
      </c>
      <c r="E207" s="12" t="n">
        <v>54.429539</v>
      </c>
      <c r="F207" s="12" t="n">
        <v>15.074679</v>
      </c>
      <c r="G207" s="12" t="n">
        <v>65.38464399999999</v>
      </c>
      <c r="H207" s="13">
        <f>100*B207/B$7</f>
        <v/>
      </c>
      <c r="I207" s="13">
        <f>100*C207/C$7</f>
        <v/>
      </c>
      <c r="J207" s="13">
        <f>100*D207/D$7</f>
        <v/>
      </c>
      <c r="K207" s="13">
        <f>100*E207/E$7</f>
        <v/>
      </c>
      <c r="L207" s="13">
        <f>100*F207/F$7</f>
        <v/>
      </c>
      <c r="M207" s="13">
        <f>100*G207/G$7</f>
        <v/>
      </c>
    </row>
    <row r="208">
      <c r="A208" s="11" t="n">
        <v>45209</v>
      </c>
      <c r="B208" s="12" t="n">
        <v>385.328033</v>
      </c>
      <c r="C208" s="12" t="n">
        <v>55.302322</v>
      </c>
      <c r="D208" s="12" t="n">
        <v>37.695992</v>
      </c>
      <c r="E208" s="12" t="n">
        <v>54.504009</v>
      </c>
      <c r="F208" s="12" t="n">
        <v>15.284172</v>
      </c>
      <c r="G208" s="12" t="n">
        <v>66.403267</v>
      </c>
      <c r="H208" s="13">
        <f>100*B208/B$7</f>
        <v/>
      </c>
      <c r="I208" s="13">
        <f>100*C208/C$7</f>
        <v/>
      </c>
      <c r="J208" s="13">
        <f>100*D208/D$7</f>
        <v/>
      </c>
      <c r="K208" s="13">
        <f>100*E208/E$7</f>
        <v/>
      </c>
      <c r="L208" s="13">
        <f>100*F208/F$7</f>
        <v/>
      </c>
      <c r="M208" s="13">
        <f>100*G208/G$7</f>
        <v/>
      </c>
    </row>
    <row r="209">
      <c r="A209" s="11" t="n">
        <v>45210</v>
      </c>
      <c r="B209" s="12" t="n">
        <v>386.959229</v>
      </c>
      <c r="C209" s="12" t="n">
        <v>55.164829</v>
      </c>
      <c r="D209" s="12" t="n">
        <v>37.745354</v>
      </c>
      <c r="E209" s="12" t="n">
        <v>55.444218</v>
      </c>
      <c r="F209" s="12" t="n">
        <v>15.371459</v>
      </c>
      <c r="G209" s="12" t="n">
        <v>66.83457199999999</v>
      </c>
      <c r="H209" s="13">
        <f>100*B209/B$7</f>
        <v/>
      </c>
      <c r="I209" s="13">
        <f>100*C209/C$7</f>
        <v/>
      </c>
      <c r="J209" s="13">
        <f>100*D209/D$7</f>
        <v/>
      </c>
      <c r="K209" s="13">
        <f>100*E209/E$7</f>
        <v/>
      </c>
      <c r="L209" s="13">
        <f>100*F209/F$7</f>
        <v/>
      </c>
      <c r="M209" s="13">
        <f>100*G209/G$7</f>
        <v/>
      </c>
    </row>
    <row r="210">
      <c r="A210" s="11" t="n">
        <v>45211</v>
      </c>
      <c r="B210" s="12" t="n">
        <v>384.633148</v>
      </c>
      <c r="C210" s="12" t="n">
        <v>55.302322</v>
      </c>
      <c r="D210" s="12" t="n">
        <v>37.572586</v>
      </c>
      <c r="E210" s="12" t="n">
        <v>54.950836</v>
      </c>
      <c r="F210" s="12" t="n">
        <v>15.30163</v>
      </c>
      <c r="G210" s="12" t="n">
        <v>65.86183200000001</v>
      </c>
      <c r="H210" s="13">
        <f>100*B210/B$7</f>
        <v/>
      </c>
      <c r="I210" s="13">
        <f>100*C210/C$7</f>
        <v/>
      </c>
      <c r="J210" s="13">
        <f>100*D210/D$7</f>
        <v/>
      </c>
      <c r="K210" s="13">
        <f>100*E210/E$7</f>
        <v/>
      </c>
      <c r="L210" s="13">
        <f>100*F210/F$7</f>
        <v/>
      </c>
      <c r="M210" s="13">
        <f>100*G210/G$7</f>
        <v/>
      </c>
    </row>
    <row r="211">
      <c r="A211" s="11" t="n">
        <v>45212</v>
      </c>
      <c r="B211" s="12" t="n">
        <v>382.606354</v>
      </c>
      <c r="C211" s="12" t="n">
        <v>54.61483</v>
      </c>
      <c r="D211" s="12" t="n">
        <v>37.440956</v>
      </c>
      <c r="E211" s="12" t="n">
        <v>54.699493</v>
      </c>
      <c r="F211" s="12" t="n">
        <v>15.074679</v>
      </c>
      <c r="G211" s="12" t="n">
        <v>65.430527</v>
      </c>
      <c r="H211" s="13">
        <f>100*B211/B$7</f>
        <v/>
      </c>
      <c r="I211" s="13">
        <f>100*C211/C$7</f>
        <v/>
      </c>
      <c r="J211" s="13">
        <f>100*D211/D$7</f>
        <v/>
      </c>
      <c r="K211" s="13">
        <f>100*E211/E$7</f>
        <v/>
      </c>
      <c r="L211" s="13">
        <f>100*F211/F$7</f>
        <v/>
      </c>
      <c r="M211" s="13">
        <f>100*G211/G$7</f>
        <v/>
      </c>
    </row>
    <row r="212">
      <c r="A212" s="11" t="n">
        <v>45215</v>
      </c>
      <c r="B212" s="12" t="n">
        <v>386.611725</v>
      </c>
      <c r="C212" s="12" t="n">
        <v>54.788994</v>
      </c>
      <c r="D212" s="12" t="n">
        <v>37.63018</v>
      </c>
      <c r="E212" s="12" t="n">
        <v>55.006691</v>
      </c>
      <c r="F212" s="12" t="n">
        <v>15.170695</v>
      </c>
      <c r="G212" s="12" t="n">
        <v>65.47641</v>
      </c>
      <c r="H212" s="13">
        <f>100*B212/B$7</f>
        <v/>
      </c>
      <c r="I212" s="13">
        <f>100*C212/C$7</f>
        <v/>
      </c>
      <c r="J212" s="13">
        <f>100*D212/D$7</f>
        <v/>
      </c>
      <c r="K212" s="13">
        <f>100*E212/E$7</f>
        <v/>
      </c>
      <c r="L212" s="13">
        <f>100*F212/F$7</f>
        <v/>
      </c>
      <c r="M212" s="13">
        <f>100*G212/G$7</f>
        <v/>
      </c>
    </row>
    <row r="213">
      <c r="A213" s="11" t="n">
        <v>45216</v>
      </c>
      <c r="B213" s="12" t="n">
        <v>386.621368</v>
      </c>
      <c r="C213" s="12" t="n">
        <v>54.898987</v>
      </c>
      <c r="D213" s="12" t="n">
        <v>37.235283</v>
      </c>
      <c r="E213" s="12" t="n">
        <v>54.960148</v>
      </c>
      <c r="F213" s="12" t="n">
        <v>15.153239</v>
      </c>
      <c r="G213" s="12" t="n">
        <v>65.118515</v>
      </c>
      <c r="H213" s="13">
        <f>100*B213/B$7</f>
        <v/>
      </c>
      <c r="I213" s="13">
        <f>100*C213/C$7</f>
        <v/>
      </c>
      <c r="J213" s="13">
        <f>100*D213/D$7</f>
        <v/>
      </c>
      <c r="K213" s="13">
        <f>100*E213/E$7</f>
        <v/>
      </c>
      <c r="L213" s="13">
        <f>100*F213/F$7</f>
        <v/>
      </c>
      <c r="M213" s="13">
        <f>100*G213/G$7</f>
        <v/>
      </c>
    </row>
    <row r="214">
      <c r="A214" s="11" t="n">
        <v>45217</v>
      </c>
      <c r="B214" s="12" t="n">
        <v>381.448181</v>
      </c>
      <c r="C214" s="12" t="n">
        <v>54.037334</v>
      </c>
      <c r="D214" s="12" t="n">
        <v>36.494854</v>
      </c>
      <c r="E214" s="12" t="n">
        <v>54.429539</v>
      </c>
      <c r="F214" s="12" t="n">
        <v>14.917561</v>
      </c>
      <c r="G214" s="12" t="n">
        <v>63.898006</v>
      </c>
      <c r="H214" s="13">
        <f>100*B214/B$7</f>
        <v/>
      </c>
      <c r="I214" s="13">
        <f>100*C214/C$7</f>
        <v/>
      </c>
      <c r="J214" s="13">
        <f>100*D214/D$7</f>
        <v/>
      </c>
      <c r="K214" s="13">
        <f>100*E214/E$7</f>
        <v/>
      </c>
      <c r="L214" s="13">
        <f>100*F214/F$7</f>
        <v/>
      </c>
      <c r="M214" s="13">
        <f>100*G214/G$7</f>
        <v/>
      </c>
    </row>
    <row r="215">
      <c r="A215" s="11" t="n">
        <v>45218</v>
      </c>
      <c r="B215" s="12" t="n">
        <v>378.214935</v>
      </c>
      <c r="C215" s="12" t="n">
        <v>53.643162</v>
      </c>
      <c r="D215" s="12" t="n">
        <v>36.840385</v>
      </c>
      <c r="E215" s="12" t="n">
        <v>53.722054</v>
      </c>
      <c r="F215" s="12" t="n">
        <v>14.673152</v>
      </c>
      <c r="G215" s="12" t="n">
        <v>63.007858</v>
      </c>
      <c r="H215" s="13">
        <f>100*B215/B$7</f>
        <v/>
      </c>
      <c r="I215" s="13">
        <f>100*C215/C$7</f>
        <v/>
      </c>
      <c r="J215" s="13">
        <f>100*D215/D$7</f>
        <v/>
      </c>
      <c r="K215" s="13">
        <f>100*E215/E$7</f>
        <v/>
      </c>
      <c r="L215" s="13">
        <f>100*F215/F$7</f>
        <v/>
      </c>
      <c r="M215" s="13">
        <f>100*G215/G$7</f>
        <v/>
      </c>
    </row>
    <row r="216">
      <c r="A216" s="11" t="n">
        <v>45219</v>
      </c>
      <c r="B216" s="12" t="n">
        <v>373.504944</v>
      </c>
      <c r="C216" s="12" t="n">
        <v>53.285664</v>
      </c>
      <c r="D216" s="12" t="n">
        <v>36.371449</v>
      </c>
      <c r="E216" s="12" t="n">
        <v>52.949413</v>
      </c>
      <c r="F216" s="12" t="n">
        <v>14.62078</v>
      </c>
      <c r="G216" s="12" t="n">
        <v>62.025936</v>
      </c>
      <c r="H216" s="13">
        <f>100*B216/B$7</f>
        <v/>
      </c>
      <c r="I216" s="13">
        <f>100*C216/C$7</f>
        <v/>
      </c>
      <c r="J216" s="13">
        <f>100*D216/D$7</f>
        <v/>
      </c>
      <c r="K216" s="13">
        <f>100*E216/E$7</f>
        <v/>
      </c>
      <c r="L216" s="13">
        <f>100*F216/F$7</f>
        <v/>
      </c>
      <c r="M216" s="13">
        <f>100*G216/G$7</f>
        <v/>
      </c>
    </row>
    <row r="217">
      <c r="A217" s="11" t="n">
        <v>45222</v>
      </c>
      <c r="B217" s="12" t="n">
        <v>372.848572</v>
      </c>
      <c r="C217" s="12" t="n">
        <v>53.157333</v>
      </c>
      <c r="D217" s="12" t="n">
        <v>36.289177</v>
      </c>
      <c r="E217" s="12" t="n">
        <v>53.163517</v>
      </c>
      <c r="F217" s="12" t="n">
        <v>14.646968</v>
      </c>
      <c r="G217" s="12" t="n">
        <v>62.181942</v>
      </c>
      <c r="H217" s="13">
        <f>100*B217/B$7</f>
        <v/>
      </c>
      <c r="I217" s="13">
        <f>100*C217/C$7</f>
        <v/>
      </c>
      <c r="J217" s="13">
        <f>100*D217/D$7</f>
        <v/>
      </c>
      <c r="K217" s="13">
        <f>100*E217/E$7</f>
        <v/>
      </c>
      <c r="L217" s="13">
        <f>100*F217/F$7</f>
        <v/>
      </c>
      <c r="M217" s="13">
        <f>100*G217/G$7</f>
        <v/>
      </c>
    </row>
    <row r="218">
      <c r="A218" s="11" t="n">
        <v>45223</v>
      </c>
      <c r="B218" s="12" t="n">
        <v>375.637939</v>
      </c>
      <c r="C218" s="12" t="n">
        <v>53.496502</v>
      </c>
      <c r="D218" s="12" t="n">
        <v>36.58535</v>
      </c>
      <c r="E218" s="12" t="n">
        <v>53.861687</v>
      </c>
      <c r="F218" s="12" t="n">
        <v>14.891373</v>
      </c>
      <c r="G218" s="12" t="n">
        <v>63.879646</v>
      </c>
      <c r="H218" s="13">
        <f>100*B218/B$7</f>
        <v/>
      </c>
      <c r="I218" s="13">
        <f>100*C218/C$7</f>
        <v/>
      </c>
      <c r="J218" s="13">
        <f>100*D218/D$7</f>
        <v/>
      </c>
      <c r="K218" s="13">
        <f>100*E218/E$7</f>
        <v/>
      </c>
      <c r="L218" s="13">
        <f>100*F218/F$7</f>
        <v/>
      </c>
      <c r="M218" s="13">
        <f>100*G218/G$7</f>
        <v/>
      </c>
    </row>
    <row r="219">
      <c r="A219" s="11" t="n">
        <v>45224</v>
      </c>
      <c r="B219" s="12" t="n">
        <v>370.339172</v>
      </c>
      <c r="C219" s="12" t="n">
        <v>53.285664</v>
      </c>
      <c r="D219" s="12" t="n">
        <v>36.058826</v>
      </c>
      <c r="E219" s="12" t="n">
        <v>52.493271</v>
      </c>
      <c r="F219" s="12" t="n">
        <v>14.612051</v>
      </c>
      <c r="G219" s="12" t="n">
        <v>62.961967</v>
      </c>
      <c r="H219" s="13">
        <f>100*B219/B$7</f>
        <v/>
      </c>
      <c r="I219" s="13">
        <f>100*C219/C$7</f>
        <v/>
      </c>
      <c r="J219" s="13">
        <f>100*D219/D$7</f>
        <v/>
      </c>
      <c r="K219" s="13">
        <f>100*E219/E$7</f>
        <v/>
      </c>
      <c r="L219" s="13">
        <f>100*F219/F$7</f>
        <v/>
      </c>
      <c r="M219" s="13">
        <f>100*G219/G$7</f>
        <v/>
      </c>
    </row>
    <row r="220">
      <c r="A220" s="11" t="n">
        <v>45225</v>
      </c>
      <c r="B220" s="12" t="n">
        <v>365.793335</v>
      </c>
      <c r="C220" s="12" t="n">
        <v>52.561501</v>
      </c>
      <c r="D220" s="12" t="n">
        <v>35.779106</v>
      </c>
      <c r="E220" s="12" t="n">
        <v>51.357574</v>
      </c>
      <c r="F220" s="12" t="n">
        <v>14.55095</v>
      </c>
      <c r="G220" s="12" t="n">
        <v>62.906914</v>
      </c>
      <c r="H220" s="13">
        <f>100*B220/B$7</f>
        <v/>
      </c>
      <c r="I220" s="13">
        <f>100*C220/C$7</f>
        <v/>
      </c>
      <c r="J220" s="13">
        <f>100*D220/D$7</f>
        <v/>
      </c>
      <c r="K220" s="13">
        <f>100*E220/E$7</f>
        <v/>
      </c>
      <c r="L220" s="13">
        <f>100*F220/F$7</f>
        <v/>
      </c>
      <c r="M220" s="13">
        <f>100*G220/G$7</f>
        <v/>
      </c>
    </row>
    <row r="221">
      <c r="A221" s="11" t="n">
        <v>45226</v>
      </c>
      <c r="B221" s="12" t="n">
        <v>364.171844</v>
      </c>
      <c r="C221" s="12" t="n">
        <v>53.001499</v>
      </c>
      <c r="D221" s="12" t="n">
        <v>35.754425</v>
      </c>
      <c r="E221" s="12" t="n">
        <v>50.864201</v>
      </c>
      <c r="F221" s="12" t="n">
        <v>14.673152</v>
      </c>
      <c r="G221" s="12" t="n">
        <v>63.475864</v>
      </c>
      <c r="H221" s="13">
        <f>100*B221/B$7</f>
        <v/>
      </c>
      <c r="I221" s="13">
        <f>100*C221/C$7</f>
        <v/>
      </c>
      <c r="J221" s="13">
        <f>100*D221/D$7</f>
        <v/>
      </c>
      <c r="K221" s="13">
        <f>100*E221/E$7</f>
        <v/>
      </c>
      <c r="L221" s="13">
        <f>100*F221/F$7</f>
        <v/>
      </c>
      <c r="M221" s="13">
        <f>100*G221/G$7</f>
        <v/>
      </c>
    </row>
    <row r="222">
      <c r="A222" s="11" t="n">
        <v>45229</v>
      </c>
      <c r="B222" s="12" t="n">
        <v>368.55365</v>
      </c>
      <c r="C222" s="12" t="n">
        <v>53.395672</v>
      </c>
      <c r="D222" s="12" t="n">
        <v>36.050598</v>
      </c>
      <c r="E222" s="12" t="n">
        <v>52.083675</v>
      </c>
      <c r="F222" s="12" t="n">
        <v>14.795356</v>
      </c>
      <c r="G222" s="12" t="n">
        <v>64.200844</v>
      </c>
      <c r="H222" s="13">
        <f>100*B222/B$7</f>
        <v/>
      </c>
      <c r="I222" s="13">
        <f>100*C222/C$7</f>
        <v/>
      </c>
      <c r="J222" s="13">
        <f>100*D222/D$7</f>
        <v/>
      </c>
      <c r="K222" s="13">
        <f>100*E222/E$7</f>
        <v/>
      </c>
      <c r="L222" s="13">
        <f>100*F222/F$7</f>
        <v/>
      </c>
      <c r="M222" s="13">
        <f>100*G222/G$7</f>
        <v/>
      </c>
    </row>
    <row r="223">
      <c r="A223" s="11" t="n">
        <v>45230</v>
      </c>
      <c r="B223" s="12" t="n">
        <v>370.783203</v>
      </c>
      <c r="C223" s="12" t="n">
        <v>54.046497</v>
      </c>
      <c r="D223" s="12" t="n">
        <v>35.803787</v>
      </c>
      <c r="E223" s="12" t="n">
        <v>51.152779</v>
      </c>
      <c r="F223" s="12" t="n">
        <v>14.646968</v>
      </c>
      <c r="G223" s="12" t="n">
        <v>63.365757</v>
      </c>
      <c r="H223" s="13">
        <f>100*B223/B$7</f>
        <v/>
      </c>
      <c r="I223" s="13">
        <f>100*C223/C$7</f>
        <v/>
      </c>
      <c r="J223" s="13">
        <f>100*D223/D$7</f>
        <v/>
      </c>
      <c r="K223" s="13">
        <f>100*E223/E$7</f>
        <v/>
      </c>
      <c r="L223" s="13">
        <f>100*F223/F$7</f>
        <v/>
      </c>
      <c r="M223" s="13">
        <f>100*G223/G$7</f>
        <v/>
      </c>
    </row>
    <row r="224">
      <c r="A224" s="11" t="n">
        <v>45231</v>
      </c>
      <c r="B224" s="12" t="n">
        <v>374.865814</v>
      </c>
      <c r="C224" s="12" t="n">
        <v>54.972332</v>
      </c>
      <c r="D224" s="12" t="n">
        <v>36.231594</v>
      </c>
      <c r="E224" s="12" t="n">
        <v>52.362946</v>
      </c>
      <c r="F224" s="12" t="n">
        <v>14.664424</v>
      </c>
      <c r="G224" s="12" t="n">
        <v>63.347393</v>
      </c>
      <c r="H224" s="13">
        <f>100*B224/B$7</f>
        <v/>
      </c>
      <c r="I224" s="13">
        <f>100*C224/C$7</f>
        <v/>
      </c>
      <c r="J224" s="13">
        <f>100*D224/D$7</f>
        <v/>
      </c>
      <c r="K224" s="13">
        <f>100*E224/E$7</f>
        <v/>
      </c>
      <c r="L224" s="13">
        <f>100*F224/F$7</f>
        <v/>
      </c>
      <c r="M224" s="13">
        <f>100*G224/G$7</f>
        <v/>
      </c>
    </row>
    <row r="225">
      <c r="A225" s="11" t="n">
        <v>45232</v>
      </c>
      <c r="B225" s="12" t="n">
        <v>381.988617</v>
      </c>
      <c r="C225" s="12" t="n">
        <v>55.870663</v>
      </c>
      <c r="D225" s="12" t="n">
        <v>37.013153</v>
      </c>
      <c r="E225" s="12" t="n">
        <v>54.038559</v>
      </c>
      <c r="F225" s="12" t="n">
        <v>14.952476</v>
      </c>
      <c r="G225" s="12" t="n">
        <v>63.723656</v>
      </c>
      <c r="H225" s="13">
        <f>100*B225/B$7</f>
        <v/>
      </c>
      <c r="I225" s="13">
        <f>100*C225/C$7</f>
        <v/>
      </c>
      <c r="J225" s="13">
        <f>100*D225/D$7</f>
        <v/>
      </c>
      <c r="K225" s="13">
        <f>100*E225/E$7</f>
        <v/>
      </c>
      <c r="L225" s="13">
        <f>100*F225/F$7</f>
        <v/>
      </c>
      <c r="M225" s="13">
        <f>100*G225/G$7</f>
        <v/>
      </c>
    </row>
    <row r="226">
      <c r="A226" s="11" t="n">
        <v>45233</v>
      </c>
      <c r="B226" s="12" t="n">
        <v>385.521088</v>
      </c>
      <c r="C226" s="12" t="n">
        <v>56.833153</v>
      </c>
      <c r="D226" s="12" t="n">
        <v>37.63018</v>
      </c>
      <c r="E226" s="12" t="n">
        <v>55.546608</v>
      </c>
      <c r="F226" s="12" t="n">
        <v>15.310358</v>
      </c>
      <c r="G226" s="12" t="n">
        <v>65.494766</v>
      </c>
      <c r="H226" s="13">
        <f>100*B226/B$7</f>
        <v/>
      </c>
      <c r="I226" s="13">
        <f>100*C226/C$7</f>
        <v/>
      </c>
      <c r="J226" s="13">
        <f>100*D226/D$7</f>
        <v/>
      </c>
      <c r="K226" s="13">
        <f>100*E226/E$7</f>
        <v/>
      </c>
      <c r="L226" s="13">
        <f>100*F226/F$7</f>
        <v/>
      </c>
      <c r="M226" s="13">
        <f>100*G226/G$7</f>
        <v/>
      </c>
    </row>
    <row r="227">
      <c r="A227" s="11" t="n">
        <v>45236</v>
      </c>
      <c r="B227" s="12" t="n">
        <v>386.264221</v>
      </c>
      <c r="C227" s="12" t="n">
        <v>56.099827</v>
      </c>
      <c r="D227" s="12" t="n">
        <v>37.712444</v>
      </c>
      <c r="E227" s="12" t="n">
        <v>58.348614</v>
      </c>
      <c r="F227" s="12" t="n">
        <v>15.362733</v>
      </c>
      <c r="G227" s="12" t="n">
        <v>65.751717</v>
      </c>
      <c r="H227" s="13">
        <f>100*B227/B$7</f>
        <v/>
      </c>
      <c r="I227" s="13">
        <f>100*C227/C$7</f>
        <v/>
      </c>
      <c r="J227" s="13">
        <f>100*D227/D$7</f>
        <v/>
      </c>
      <c r="K227" s="13">
        <f>100*E227/E$7</f>
        <v/>
      </c>
      <c r="L227" s="13">
        <f>100*F227/F$7</f>
        <v/>
      </c>
      <c r="M227" s="13">
        <f>100*G227/G$7</f>
        <v/>
      </c>
    </row>
    <row r="228">
      <c r="A228" s="11" t="n">
        <v>45237</v>
      </c>
      <c r="B228" s="12" t="n">
        <v>387.354919</v>
      </c>
      <c r="C228" s="12" t="n">
        <v>55.586491</v>
      </c>
      <c r="D228" s="12" t="n">
        <v>37.712444</v>
      </c>
      <c r="E228" s="12" t="n">
        <v>57.38979</v>
      </c>
      <c r="F228" s="12" t="n">
        <v>15.135782</v>
      </c>
      <c r="G228" s="12" t="n">
        <v>65.788422</v>
      </c>
      <c r="H228" s="13">
        <f>100*B228/B$7</f>
        <v/>
      </c>
      <c r="I228" s="13">
        <f>100*C228/C$7</f>
        <v/>
      </c>
      <c r="J228" s="13">
        <f>100*D228/D$7</f>
        <v/>
      </c>
      <c r="K228" s="13">
        <f>100*E228/E$7</f>
        <v/>
      </c>
      <c r="L228" s="13">
        <f>100*F228/F$7</f>
        <v/>
      </c>
      <c r="M228" s="13">
        <f>100*G228/G$7</f>
        <v/>
      </c>
    </row>
    <row r="229">
      <c r="A229" s="11" t="n">
        <v>45238</v>
      </c>
      <c r="B229" s="12" t="n">
        <v>387.673431</v>
      </c>
      <c r="C229" s="12" t="n">
        <v>54.66983</v>
      </c>
      <c r="D229" s="12" t="n">
        <v>37.556137</v>
      </c>
      <c r="E229" s="12" t="n">
        <v>56.291332</v>
      </c>
      <c r="F229" s="12" t="n">
        <v>14.961204</v>
      </c>
      <c r="G229" s="12" t="n">
        <v>65.54064200000001</v>
      </c>
      <c r="H229" s="13">
        <f>100*B229/B$7</f>
        <v/>
      </c>
      <c r="I229" s="13">
        <f>100*C229/C$7</f>
        <v/>
      </c>
      <c r="J229" s="13">
        <f>100*D229/D$7</f>
        <v/>
      </c>
      <c r="K229" s="13">
        <f>100*E229/E$7</f>
        <v/>
      </c>
      <c r="L229" s="13">
        <f>100*F229/F$7</f>
        <v/>
      </c>
      <c r="M229" s="13">
        <f>100*G229/G$7</f>
        <v/>
      </c>
    </row>
    <row r="230">
      <c r="A230" s="11" t="n">
        <v>45239</v>
      </c>
      <c r="B230" s="12" t="n">
        <v>384.749023</v>
      </c>
      <c r="C230" s="12" t="n">
        <v>54.898987</v>
      </c>
      <c r="D230" s="12" t="n">
        <v>37.440956</v>
      </c>
      <c r="E230" s="12" t="n">
        <v>55.732792</v>
      </c>
      <c r="F230" s="12" t="n">
        <v>14.86519</v>
      </c>
      <c r="G230" s="12" t="n">
        <v>64.56791699999999</v>
      </c>
      <c r="H230" s="13">
        <f>100*B230/B$7</f>
        <v/>
      </c>
      <c r="I230" s="13">
        <f>100*C230/C$7</f>
        <v/>
      </c>
      <c r="J230" s="13">
        <f>100*D230/D$7</f>
        <v/>
      </c>
      <c r="K230" s="13">
        <f>100*E230/E$7</f>
        <v/>
      </c>
      <c r="L230" s="13">
        <f>100*F230/F$7</f>
        <v/>
      </c>
      <c r="M230" s="13">
        <f>100*G230/G$7</f>
        <v/>
      </c>
    </row>
    <row r="231">
      <c r="A231" s="11" t="n">
        <v>45240</v>
      </c>
      <c r="B231" s="12" t="n">
        <v>390.752228</v>
      </c>
      <c r="C231" s="12" t="n">
        <v>55.430664</v>
      </c>
      <c r="D231" s="12" t="n">
        <v>38.041527</v>
      </c>
      <c r="E231" s="12" t="n">
        <v>56.13308</v>
      </c>
      <c r="F231" s="12" t="n">
        <v>14.804084</v>
      </c>
      <c r="G231" s="12" t="n">
        <v>64.43026</v>
      </c>
      <c r="H231" s="13">
        <f>100*B231/B$7</f>
        <v/>
      </c>
      <c r="I231" s="13">
        <f>100*C231/C$7</f>
        <v/>
      </c>
      <c r="J231" s="13">
        <f>100*D231/D$7</f>
        <v/>
      </c>
      <c r="K231" s="13">
        <f>100*E231/E$7</f>
        <v/>
      </c>
      <c r="L231" s="13">
        <f>100*F231/F$7</f>
        <v/>
      </c>
      <c r="M231" s="13">
        <f>100*G231/G$7</f>
        <v/>
      </c>
    </row>
    <row r="232">
      <c r="A232" s="11" t="n">
        <v>45243</v>
      </c>
      <c r="B232" s="12" t="n">
        <v>390.356537</v>
      </c>
      <c r="C232" s="12" t="n">
        <v>55.403152</v>
      </c>
      <c r="D232" s="12" t="n">
        <v>37.876984</v>
      </c>
      <c r="E232" s="12" t="n">
        <v>55.565228</v>
      </c>
      <c r="F232" s="12" t="n">
        <v>14.996121</v>
      </c>
      <c r="G232" s="12" t="n">
        <v>65.21946</v>
      </c>
      <c r="H232" s="13">
        <f>100*B232/B$7</f>
        <v/>
      </c>
      <c r="I232" s="13">
        <f>100*C232/C$7</f>
        <v/>
      </c>
      <c r="J232" s="13">
        <f>100*D232/D$7</f>
        <v/>
      </c>
      <c r="K232" s="13">
        <f>100*E232/E$7</f>
        <v/>
      </c>
      <c r="L232" s="13">
        <f>100*F232/F$7</f>
        <v/>
      </c>
      <c r="M232" s="13">
        <f>100*G232/G$7</f>
        <v/>
      </c>
    </row>
    <row r="233">
      <c r="A233" s="11" t="n">
        <v>45244</v>
      </c>
      <c r="B233" s="12" t="n">
        <v>397.855804</v>
      </c>
      <c r="C233" s="12" t="n">
        <v>56.503155</v>
      </c>
      <c r="D233" s="12" t="n">
        <v>38.823086</v>
      </c>
      <c r="E233" s="12" t="n">
        <v>57.613201</v>
      </c>
      <c r="F233" s="12" t="n">
        <v>15.319087</v>
      </c>
      <c r="G233" s="12" t="n">
        <v>66.485855</v>
      </c>
      <c r="H233" s="13">
        <f>100*B233/B$7</f>
        <v/>
      </c>
      <c r="I233" s="13">
        <f>100*C233/C$7</f>
        <v/>
      </c>
      <c r="J233" s="13">
        <f>100*D233/D$7</f>
        <v/>
      </c>
      <c r="K233" s="13">
        <f>100*E233/E$7</f>
        <v/>
      </c>
      <c r="L233" s="13">
        <f>100*F233/F$7</f>
        <v/>
      </c>
      <c r="M233" s="13">
        <f>100*G233/G$7</f>
        <v/>
      </c>
    </row>
    <row r="234">
      <c r="A234" s="11" t="n">
        <v>45245</v>
      </c>
      <c r="B234" s="12" t="n">
        <v>398.724396</v>
      </c>
      <c r="C234" s="12" t="n">
        <v>56.08149</v>
      </c>
      <c r="D234" s="12" t="n">
        <v>38.979401</v>
      </c>
      <c r="E234" s="12" t="n">
        <v>58.032108</v>
      </c>
      <c r="F234" s="12" t="n">
        <v>15.624594</v>
      </c>
      <c r="G234" s="12" t="n">
        <v>67.48612199999999</v>
      </c>
      <c r="H234" s="13">
        <f>100*B234/B$7</f>
        <v/>
      </c>
      <c r="I234" s="13">
        <f>100*C234/C$7</f>
        <v/>
      </c>
      <c r="J234" s="13">
        <f>100*D234/D$7</f>
        <v/>
      </c>
      <c r="K234" s="13">
        <f>100*E234/E$7</f>
        <v/>
      </c>
      <c r="L234" s="13">
        <f>100*F234/F$7</f>
        <v/>
      </c>
      <c r="M234" s="13">
        <f>100*G234/G$7</f>
        <v/>
      </c>
    </row>
    <row r="235">
      <c r="A235" s="11" t="n">
        <v>45246</v>
      </c>
      <c r="B235" s="12" t="n">
        <v>399.284241</v>
      </c>
      <c r="C235" s="12" t="n">
        <v>56.273991</v>
      </c>
      <c r="D235" s="12" t="n">
        <v>39.028759</v>
      </c>
      <c r="E235" s="12" t="n">
        <v>58.4417</v>
      </c>
      <c r="F235" s="12" t="n">
        <v>15.319087</v>
      </c>
      <c r="G235" s="12" t="n">
        <v>65.292885</v>
      </c>
      <c r="H235" s="13">
        <f>100*B235/B$7</f>
        <v/>
      </c>
      <c r="I235" s="13">
        <f>100*C235/C$7</f>
        <v/>
      </c>
      <c r="J235" s="13">
        <f>100*D235/D$7</f>
        <v/>
      </c>
      <c r="K235" s="13">
        <f>100*E235/E$7</f>
        <v/>
      </c>
      <c r="L235" s="13">
        <f>100*F235/F$7</f>
        <v/>
      </c>
      <c r="M235" s="13">
        <f>100*G235/G$7</f>
        <v/>
      </c>
    </row>
    <row r="236">
      <c r="A236" s="11" t="n">
        <v>45247</v>
      </c>
      <c r="B236" s="12" t="n">
        <v>399.872925</v>
      </c>
      <c r="C236" s="12" t="n">
        <v>57.153984</v>
      </c>
      <c r="D236" s="12" t="n">
        <v>39.349617</v>
      </c>
      <c r="E236" s="12" t="n">
        <v>57.948326</v>
      </c>
      <c r="F236" s="12" t="n">
        <v>15.388915</v>
      </c>
      <c r="G236" s="12" t="n">
        <v>65.760895</v>
      </c>
      <c r="H236" s="13">
        <f>100*B236/B$7</f>
        <v/>
      </c>
      <c r="I236" s="13">
        <f>100*C236/C$7</f>
        <v/>
      </c>
      <c r="J236" s="13">
        <f>100*D236/D$7</f>
        <v/>
      </c>
      <c r="K236" s="13">
        <f>100*E236/E$7</f>
        <v/>
      </c>
      <c r="L236" s="13">
        <f>100*F236/F$7</f>
        <v/>
      </c>
      <c r="M236" s="13">
        <f>100*G236/G$7</f>
        <v/>
      </c>
    </row>
    <row r="237">
      <c r="A237" s="11" t="n">
        <v>45250</v>
      </c>
      <c r="B237" s="12" t="n">
        <v>402.884247</v>
      </c>
      <c r="C237" s="12" t="n">
        <v>57.163151</v>
      </c>
      <c r="D237" s="12" t="n">
        <v>39.744511</v>
      </c>
      <c r="E237" s="12" t="n">
        <v>59.121258</v>
      </c>
      <c r="F237" s="12" t="n">
        <v>15.58968</v>
      </c>
      <c r="G237" s="12" t="n">
        <v>67.15576900000001</v>
      </c>
      <c r="H237" s="13">
        <f>100*B237/B$7</f>
        <v/>
      </c>
      <c r="I237" s="13">
        <f>100*C237/C$7</f>
        <v/>
      </c>
      <c r="J237" s="13">
        <f>100*D237/D$7</f>
        <v/>
      </c>
      <c r="K237" s="13">
        <f>100*E237/E$7</f>
        <v/>
      </c>
      <c r="L237" s="13">
        <f>100*F237/F$7</f>
        <v/>
      </c>
      <c r="M237" s="13">
        <f>100*G237/G$7</f>
        <v/>
      </c>
    </row>
    <row r="238">
      <c r="A238" s="11" t="n">
        <v>45251</v>
      </c>
      <c r="B238" s="12" t="n">
        <v>401.832245</v>
      </c>
      <c r="C238" s="12" t="n">
        <v>56.924816</v>
      </c>
      <c r="D238" s="12" t="n">
        <v>40.048904</v>
      </c>
      <c r="E238" s="12" t="n">
        <v>58.534794</v>
      </c>
      <c r="F238" s="12" t="n">
        <v>15.423832</v>
      </c>
      <c r="G238" s="12" t="n">
        <v>66.063721</v>
      </c>
      <c r="H238" s="13">
        <f>100*B238/B$7</f>
        <v/>
      </c>
      <c r="I238" s="13">
        <f>100*C238/C$7</f>
        <v/>
      </c>
      <c r="J238" s="13">
        <f>100*D238/D$7</f>
        <v/>
      </c>
      <c r="K238" s="13">
        <f>100*E238/E$7</f>
        <v/>
      </c>
      <c r="L238" s="13">
        <f>100*F238/F$7</f>
        <v/>
      </c>
      <c r="M238" s="13">
        <f>100*G238/G$7</f>
        <v/>
      </c>
    </row>
    <row r="239">
      <c r="A239" s="11" t="n">
        <v>45252</v>
      </c>
      <c r="B239" s="12" t="n">
        <v>403.569519</v>
      </c>
      <c r="C239" s="12" t="n">
        <v>57.282322</v>
      </c>
      <c r="D239" s="12" t="n">
        <v>39.670467</v>
      </c>
      <c r="E239" s="12" t="n">
        <v>58.562717</v>
      </c>
      <c r="F239" s="12" t="n">
        <v>15.458746</v>
      </c>
      <c r="G239" s="12" t="n">
        <v>65.696648</v>
      </c>
      <c r="H239" s="13">
        <f>100*B239/B$7</f>
        <v/>
      </c>
      <c r="I239" s="13">
        <f>100*C239/C$7</f>
        <v/>
      </c>
      <c r="J239" s="13">
        <f>100*D239/D$7</f>
        <v/>
      </c>
      <c r="K239" s="13">
        <f>100*E239/E$7</f>
        <v/>
      </c>
      <c r="L239" s="13">
        <f>100*F239/F$7</f>
        <v/>
      </c>
      <c r="M239" s="13">
        <f>100*G239/G$7</f>
        <v/>
      </c>
    </row>
    <row r="240">
      <c r="A240" s="11" t="n">
        <v>45253</v>
      </c>
      <c r="B240" s="12" t="n">
        <v>403.569519</v>
      </c>
      <c r="C240" s="12" t="n">
        <v>57.282322</v>
      </c>
      <c r="D240" s="12" t="n">
        <v>39.670467</v>
      </c>
      <c r="E240" s="12" t="n">
        <v>58.562717</v>
      </c>
      <c r="F240" s="12" t="n">
        <v>15.458746</v>
      </c>
      <c r="G240" s="12" t="n">
        <v>65.696648</v>
      </c>
      <c r="H240" s="13">
        <f>100*B240/B$7</f>
        <v/>
      </c>
      <c r="I240" s="13">
        <f>100*C240/C$7</f>
        <v/>
      </c>
      <c r="J240" s="13">
        <f>100*D240/D$7</f>
        <v/>
      </c>
      <c r="K240" s="13">
        <f>100*E240/E$7</f>
        <v/>
      </c>
      <c r="L240" s="13">
        <f>100*F240/F$7</f>
        <v/>
      </c>
      <c r="M240" s="13">
        <f>100*G240/G$7</f>
        <v/>
      </c>
    </row>
    <row r="241">
      <c r="A241" s="11" t="n">
        <v>45254</v>
      </c>
      <c r="B241" s="12" t="n">
        <v>403.791443</v>
      </c>
      <c r="C241" s="12" t="n">
        <v>57.392323</v>
      </c>
      <c r="D241" s="12" t="n">
        <v>39.59642</v>
      </c>
      <c r="E241" s="12" t="n">
        <v>58.013489</v>
      </c>
      <c r="F241" s="12" t="n">
        <v>15.388915</v>
      </c>
      <c r="G241" s="12" t="n">
        <v>66.12795300000001</v>
      </c>
      <c r="H241" s="13">
        <f>100*B241/B$7</f>
        <v/>
      </c>
      <c r="I241" s="13">
        <f>100*C241/C$7</f>
        <v/>
      </c>
      <c r="J241" s="13">
        <f>100*D241/D$7</f>
        <v/>
      </c>
      <c r="K241" s="13">
        <f>100*E241/E$7</f>
        <v/>
      </c>
      <c r="L241" s="13">
        <f>100*F241/F$7</f>
        <v/>
      </c>
      <c r="M241" s="13">
        <f>100*G241/G$7</f>
        <v/>
      </c>
    </row>
    <row r="242">
      <c r="A242" s="11" t="n">
        <v>45257</v>
      </c>
      <c r="B242" s="12" t="n">
        <v>403.086914</v>
      </c>
      <c r="C242" s="12" t="n">
        <v>57.346485</v>
      </c>
      <c r="D242" s="12" t="n">
        <v>39.571743</v>
      </c>
      <c r="E242" s="12" t="n">
        <v>58.236904</v>
      </c>
      <c r="F242" s="12" t="n">
        <v>15.196884</v>
      </c>
      <c r="G242" s="12" t="n">
        <v>65.41216300000001</v>
      </c>
      <c r="H242" s="13">
        <f>100*B242/B$7</f>
        <v/>
      </c>
      <c r="I242" s="13">
        <f>100*C242/C$7</f>
        <v/>
      </c>
      <c r="J242" s="13">
        <f>100*D242/D$7</f>
        <v/>
      </c>
      <c r="K242" s="13">
        <f>100*E242/E$7</f>
        <v/>
      </c>
      <c r="L242" s="13">
        <f>100*F242/F$7</f>
        <v/>
      </c>
      <c r="M242" s="13">
        <f>100*G242/G$7</f>
        <v/>
      </c>
    </row>
    <row r="243">
      <c r="A243" s="11" t="n">
        <v>45258</v>
      </c>
      <c r="B243" s="12" t="n">
        <v>403.482605</v>
      </c>
      <c r="C243" s="12" t="n">
        <v>57.337315</v>
      </c>
      <c r="D243" s="12" t="n">
        <v>40.106495</v>
      </c>
      <c r="E243" s="12" t="n">
        <v>59.102638</v>
      </c>
      <c r="F243" s="12" t="n">
        <v>15.100865</v>
      </c>
      <c r="G243" s="12" t="n">
        <v>65.63241600000001</v>
      </c>
      <c r="H243" s="13">
        <f>100*B243/B$7</f>
        <v/>
      </c>
      <c r="I243" s="13">
        <f>100*C243/C$7</f>
        <v/>
      </c>
      <c r="J243" s="13">
        <f>100*D243/D$7</f>
        <v/>
      </c>
      <c r="K243" s="13">
        <f>100*E243/E$7</f>
        <v/>
      </c>
      <c r="L243" s="13">
        <f>100*F243/F$7</f>
        <v/>
      </c>
      <c r="M243" s="13">
        <f>100*G243/G$7</f>
        <v/>
      </c>
    </row>
    <row r="244">
      <c r="A244" s="11" t="n">
        <v>45259</v>
      </c>
      <c r="B244" s="12" t="n">
        <v>403.222046</v>
      </c>
      <c r="C244" s="12" t="n">
        <v>57.282322</v>
      </c>
      <c r="D244" s="12" t="n">
        <v>40.295715</v>
      </c>
      <c r="E244" s="12" t="n">
        <v>59.000244</v>
      </c>
      <c r="F244" s="12" t="n">
        <v>14.812815</v>
      </c>
      <c r="G244" s="12" t="n">
        <v>64.558723</v>
      </c>
      <c r="H244" s="13">
        <f>100*B244/B$7</f>
        <v/>
      </c>
      <c r="I244" s="13">
        <f>100*C244/C$7</f>
        <v/>
      </c>
      <c r="J244" s="13">
        <f>100*D244/D$7</f>
        <v/>
      </c>
      <c r="K244" s="13">
        <f>100*E244/E$7</f>
        <v/>
      </c>
      <c r="L244" s="13">
        <f>100*F244/F$7</f>
        <v/>
      </c>
      <c r="M244" s="13">
        <f>100*G244/G$7</f>
        <v/>
      </c>
    </row>
    <row r="245">
      <c r="A245" s="11" t="n">
        <v>45260</v>
      </c>
      <c r="B245" s="12" t="n">
        <v>404.785583</v>
      </c>
      <c r="C245" s="12" t="n">
        <v>57.392323</v>
      </c>
      <c r="D245" s="12" t="n">
        <v>40.065361</v>
      </c>
      <c r="E245" s="12" t="n">
        <v>58.683735</v>
      </c>
      <c r="F245" s="12" t="n">
        <v>14.673152</v>
      </c>
      <c r="G245" s="12" t="n">
        <v>64.89827699999999</v>
      </c>
      <c r="H245" s="13">
        <f>100*B245/B$7</f>
        <v/>
      </c>
      <c r="I245" s="13">
        <f>100*C245/C$7</f>
        <v/>
      </c>
      <c r="J245" s="13">
        <f>100*D245/D$7</f>
        <v/>
      </c>
      <c r="K245" s="13">
        <f>100*E245/E$7</f>
        <v/>
      </c>
      <c r="L245" s="13">
        <f>100*F245/F$7</f>
        <v/>
      </c>
      <c r="M245" s="13">
        <f>100*G245/G$7</f>
        <v/>
      </c>
    </row>
    <row r="246">
      <c r="A246" s="11" t="n">
        <v>45261</v>
      </c>
      <c r="B246" s="12" t="n">
        <v>407.159851</v>
      </c>
      <c r="C246" s="12" t="n">
        <v>57.942318</v>
      </c>
      <c r="D246" s="12" t="n">
        <v>40.328625</v>
      </c>
      <c r="E246" s="12" t="n">
        <v>58.944386</v>
      </c>
      <c r="F246" s="12" t="n">
        <v>14.716798</v>
      </c>
      <c r="G246" s="12" t="n">
        <v>64.466965</v>
      </c>
      <c r="H246" s="13">
        <f>100*B246/B$7</f>
        <v/>
      </c>
      <c r="I246" s="13">
        <f>100*C246/C$7</f>
        <v/>
      </c>
      <c r="J246" s="13">
        <f>100*D246/D$7</f>
        <v/>
      </c>
      <c r="K246" s="13">
        <f>100*E246/E$7</f>
        <v/>
      </c>
      <c r="L246" s="13">
        <f>100*F246/F$7</f>
        <v/>
      </c>
      <c r="M246" s="13">
        <f>100*G246/G$7</f>
        <v/>
      </c>
    </row>
    <row r="247">
      <c r="A247" s="11" t="n">
        <v>45264</v>
      </c>
      <c r="B247" s="12" t="n">
        <v>405.113708</v>
      </c>
      <c r="C247" s="12" t="n">
        <v>57.062321</v>
      </c>
      <c r="D247" s="12" t="n">
        <v>39.703369</v>
      </c>
      <c r="E247" s="12" t="n">
        <v>57.762146</v>
      </c>
      <c r="F247" s="12" t="n">
        <v>14.577139</v>
      </c>
      <c r="G247" s="12" t="n">
        <v>63.567635</v>
      </c>
      <c r="H247" s="13">
        <f>100*B247/B$7</f>
        <v/>
      </c>
      <c r="I247" s="13">
        <f>100*C247/C$7</f>
        <v/>
      </c>
      <c r="J247" s="13">
        <f>100*D247/D$7</f>
        <v/>
      </c>
      <c r="K247" s="13">
        <f>100*E247/E$7</f>
        <v/>
      </c>
      <c r="L247" s="13">
        <f>100*F247/F$7</f>
        <v/>
      </c>
      <c r="M247" s="13">
        <f>100*G247/G$7</f>
        <v/>
      </c>
    </row>
    <row r="248">
      <c r="A248" s="11" t="n">
        <v>45265</v>
      </c>
      <c r="B248" s="12" t="n">
        <v>404.98822</v>
      </c>
      <c r="C248" s="12" t="n">
        <v>56.851486</v>
      </c>
      <c r="D248" s="12" t="n">
        <v>39.654011</v>
      </c>
      <c r="E248" s="12" t="n">
        <v>57.287388</v>
      </c>
      <c r="F248" s="12" t="n">
        <v>14.25417</v>
      </c>
      <c r="G248" s="12" t="n">
        <v>62.457237</v>
      </c>
      <c r="H248" s="13">
        <f>100*B248/B$7</f>
        <v/>
      </c>
      <c r="I248" s="13">
        <f>100*C248/C$7</f>
        <v/>
      </c>
      <c r="J248" s="13">
        <f>100*D248/D$7</f>
        <v/>
      </c>
      <c r="K248" s="13">
        <f>100*E248/E$7</f>
        <v/>
      </c>
      <c r="L248" s="13">
        <f>100*F248/F$7</f>
        <v/>
      </c>
      <c r="M248" s="13">
        <f>100*G248/G$7</f>
        <v/>
      </c>
    </row>
    <row r="249">
      <c r="A249" s="11" t="n">
        <v>45266</v>
      </c>
      <c r="B249" s="12" t="n">
        <v>403.299225</v>
      </c>
      <c r="C249" s="12" t="n">
        <v>57.447319</v>
      </c>
      <c r="D249" s="12" t="n">
        <v>39.579967</v>
      </c>
      <c r="E249" s="12" t="n">
        <v>56.915031</v>
      </c>
      <c r="F249" s="12" t="n">
        <v>14.323999</v>
      </c>
      <c r="G249" s="12" t="n">
        <v>62.567375</v>
      </c>
      <c r="H249" s="13">
        <f>100*B249/B$7</f>
        <v/>
      </c>
      <c r="I249" s="13">
        <f>100*C249/C$7</f>
        <v/>
      </c>
      <c r="J249" s="13">
        <f>100*D249/D$7</f>
        <v/>
      </c>
      <c r="K249" s="13">
        <f>100*E249/E$7</f>
        <v/>
      </c>
      <c r="L249" s="13">
        <f>100*F249/F$7</f>
        <v/>
      </c>
      <c r="M249" s="13">
        <f>100*G249/G$7</f>
        <v/>
      </c>
    </row>
    <row r="250">
      <c r="A250" s="11" t="n">
        <v>45267</v>
      </c>
      <c r="B250" s="12" t="n">
        <v>406.455353</v>
      </c>
      <c r="C250" s="12" t="n">
        <v>57.887314</v>
      </c>
      <c r="D250" s="12" t="n">
        <v>40.015995</v>
      </c>
      <c r="E250" s="12" t="n">
        <v>57.529423</v>
      </c>
      <c r="F250" s="12" t="n">
        <v>14.358916</v>
      </c>
      <c r="G250" s="12" t="n">
        <v>62.631611</v>
      </c>
      <c r="H250" s="13">
        <f>100*B250/B$7</f>
        <v/>
      </c>
      <c r="I250" s="13">
        <f>100*C250/C$7</f>
        <v/>
      </c>
      <c r="J250" s="13">
        <f>100*D250/D$7</f>
        <v/>
      </c>
      <c r="K250" s="13">
        <f>100*E250/E$7</f>
        <v/>
      </c>
      <c r="L250" s="13">
        <f>100*F250/F$7</f>
        <v/>
      </c>
      <c r="M250" s="13">
        <f>100*G250/G$7</f>
        <v/>
      </c>
    </row>
    <row r="251">
      <c r="A251" s="11" t="n">
        <v>45268</v>
      </c>
      <c r="B251" s="12" t="n">
        <v>408.182892</v>
      </c>
      <c r="C251" s="12" t="n">
        <v>57.548153</v>
      </c>
      <c r="D251" s="12" t="n">
        <v>39.941952</v>
      </c>
      <c r="E251" s="12" t="n">
        <v>57.864548</v>
      </c>
      <c r="F251" s="12" t="n">
        <v>14.367644</v>
      </c>
      <c r="G251" s="12" t="n">
        <v>61.869934</v>
      </c>
      <c r="H251" s="13">
        <f>100*B251/B$7</f>
        <v/>
      </c>
      <c r="I251" s="13">
        <f>100*C251/C$7</f>
        <v/>
      </c>
      <c r="J251" s="13">
        <f>100*D251/D$7</f>
        <v/>
      </c>
      <c r="K251" s="13">
        <f>100*E251/E$7</f>
        <v/>
      </c>
      <c r="L251" s="13">
        <f>100*F251/F$7</f>
        <v/>
      </c>
      <c r="M251" s="13">
        <f>100*G251/G$7</f>
        <v/>
      </c>
    </row>
    <row r="252">
      <c r="A252" s="11" t="n">
        <v>45271</v>
      </c>
      <c r="B252" s="12" t="n">
        <v>409.765808</v>
      </c>
      <c r="C252" s="12" t="n">
        <v>57.878151</v>
      </c>
      <c r="D252" s="12" t="n">
        <v>40.188763</v>
      </c>
      <c r="E252" s="12" t="n">
        <v>58.376537</v>
      </c>
      <c r="F252" s="12" t="n">
        <v>14.446204</v>
      </c>
      <c r="G252" s="12" t="n">
        <v>62.539845</v>
      </c>
      <c r="H252" s="13">
        <f>100*B252/B$7</f>
        <v/>
      </c>
      <c r="I252" s="13">
        <f>100*C252/C$7</f>
        <v/>
      </c>
      <c r="J252" s="13">
        <f>100*D252/D$7</f>
        <v/>
      </c>
      <c r="K252" s="13">
        <f>100*E252/E$7</f>
        <v/>
      </c>
      <c r="L252" s="13">
        <f>100*F252/F$7</f>
        <v/>
      </c>
      <c r="M252" s="13">
        <f>100*G252/G$7</f>
        <v/>
      </c>
    </row>
    <row r="253">
      <c r="A253" s="11" t="n">
        <v>45272</v>
      </c>
      <c r="B253" s="12" t="n">
        <v>411.802277</v>
      </c>
      <c r="C253" s="12" t="n">
        <v>57.79565</v>
      </c>
      <c r="D253" s="12" t="n">
        <v>40.139404</v>
      </c>
      <c r="E253" s="12" t="n">
        <v>58.693043</v>
      </c>
      <c r="F253" s="12" t="n">
        <v>14.420019</v>
      </c>
      <c r="G253" s="12" t="n">
        <v>62.649956</v>
      </c>
      <c r="H253" s="13">
        <f>100*B253/B$7</f>
        <v/>
      </c>
      <c r="I253" s="13">
        <f>100*C253/C$7</f>
        <v/>
      </c>
      <c r="J253" s="13">
        <f>100*D253/D$7</f>
        <v/>
      </c>
      <c r="K253" s="13">
        <f>100*E253/E$7</f>
        <v/>
      </c>
      <c r="L253" s="13">
        <f>100*F253/F$7</f>
        <v/>
      </c>
      <c r="M253" s="13">
        <f>100*G253/G$7</f>
        <v/>
      </c>
    </row>
    <row r="254">
      <c r="A254" s="11" t="n">
        <v>45273</v>
      </c>
      <c r="B254" s="12" t="n">
        <v>417.409821</v>
      </c>
      <c r="C254" s="12" t="n">
        <v>58.675652</v>
      </c>
      <c r="D254" s="12" t="n">
        <v>40.690609</v>
      </c>
      <c r="E254" s="12" t="n">
        <v>59.400524</v>
      </c>
      <c r="F254" s="12" t="n">
        <v>14.524762</v>
      </c>
      <c r="G254" s="12" t="n">
        <v>62.521481</v>
      </c>
      <c r="H254" s="13">
        <f>100*B254/B$7</f>
        <v/>
      </c>
      <c r="I254" s="13">
        <f>100*C254/C$7</f>
        <v/>
      </c>
      <c r="J254" s="13">
        <f>100*D254/D$7</f>
        <v/>
      </c>
      <c r="K254" s="13">
        <f>100*E254/E$7</f>
        <v/>
      </c>
      <c r="L254" s="13">
        <f>100*F254/F$7</f>
        <v/>
      </c>
      <c r="M254" s="13">
        <f>100*G254/G$7</f>
        <v/>
      </c>
    </row>
    <row r="255">
      <c r="A255" s="11" t="n">
        <v>45274</v>
      </c>
      <c r="B255" s="12" t="n">
        <v>418.635559</v>
      </c>
      <c r="C255" s="12" t="n">
        <v>58.409817</v>
      </c>
      <c r="D255" s="12" t="n">
        <v>41.266502</v>
      </c>
      <c r="E255" s="12" t="n">
        <v>60.18248</v>
      </c>
      <c r="F255" s="12" t="n">
        <v>14.943748</v>
      </c>
      <c r="G255" s="12" t="n">
        <v>63.338207</v>
      </c>
      <c r="H255" s="13">
        <f>100*B255/B$7</f>
        <v/>
      </c>
      <c r="I255" s="13">
        <f>100*C255/C$7</f>
        <v/>
      </c>
      <c r="J255" s="13">
        <f>100*D255/D$7</f>
        <v/>
      </c>
      <c r="K255" s="13">
        <f>100*E255/E$7</f>
        <v/>
      </c>
      <c r="L255" s="13">
        <f>100*F255/F$7</f>
        <v/>
      </c>
      <c r="M255" s="13">
        <f>100*G255/G$7</f>
        <v/>
      </c>
    </row>
    <row r="256">
      <c r="A256" s="11" t="n">
        <v>45275</v>
      </c>
      <c r="B256" s="12" t="n">
        <v>417.998596</v>
      </c>
      <c r="C256" s="12" t="n">
        <v>57.905651</v>
      </c>
      <c r="D256" s="12" t="n">
        <v>40.723518</v>
      </c>
      <c r="E256" s="12" t="n">
        <v>59.521538</v>
      </c>
      <c r="F256" s="12" t="n">
        <v>15.074679</v>
      </c>
      <c r="G256" s="12" t="n">
        <v>62.980316</v>
      </c>
      <c r="H256" s="13">
        <f>100*B256/B$7</f>
        <v/>
      </c>
      <c r="I256" s="13">
        <f>100*C256/C$7</f>
        <v/>
      </c>
      <c r="J256" s="13">
        <f>100*D256/D$7</f>
        <v/>
      </c>
      <c r="K256" s="13">
        <f>100*E256/E$7</f>
        <v/>
      </c>
      <c r="L256" s="13">
        <f>100*F256/F$7</f>
        <v/>
      </c>
      <c r="M256" s="13">
        <f>100*G256/G$7</f>
        <v/>
      </c>
    </row>
    <row r="257">
      <c r="A257" s="11" t="n">
        <v>45278</v>
      </c>
      <c r="B257" s="12" t="n">
        <v>420.363159</v>
      </c>
      <c r="C257" s="12" t="n">
        <v>57.79565</v>
      </c>
      <c r="D257" s="12" t="n">
        <v>40.674156</v>
      </c>
      <c r="E257" s="12" t="n">
        <v>59.754269</v>
      </c>
      <c r="F257" s="12" t="n">
        <v>15.039764</v>
      </c>
      <c r="G257" s="12" t="n">
        <v>62.422428</v>
      </c>
      <c r="H257" s="13">
        <f>100*B257/B$7</f>
        <v/>
      </c>
      <c r="I257" s="13">
        <f>100*C257/C$7</f>
        <v/>
      </c>
      <c r="J257" s="13">
        <f>100*D257/D$7</f>
        <v/>
      </c>
      <c r="K257" s="13">
        <f>100*E257/E$7</f>
        <v/>
      </c>
      <c r="L257" s="13">
        <f>100*F257/F$7</f>
        <v/>
      </c>
      <c r="M257" s="13">
        <f>100*G257/G$7</f>
        <v/>
      </c>
    </row>
    <row r="258">
      <c r="A258" s="11" t="n">
        <v>45279</v>
      </c>
      <c r="B258" s="12" t="n">
        <v>422.920776</v>
      </c>
      <c r="C258" s="12" t="n">
        <v>57.969822</v>
      </c>
      <c r="D258" s="12" t="n">
        <v>40.789333</v>
      </c>
      <c r="E258" s="12" t="n">
        <v>60.424515</v>
      </c>
      <c r="F258" s="12" t="n">
        <v>15.153239</v>
      </c>
      <c r="G258" s="12" t="n">
        <v>62.96809</v>
      </c>
      <c r="H258" s="13">
        <f>100*B258/B$7</f>
        <v/>
      </c>
      <c r="I258" s="13">
        <f>100*C258/C$7</f>
        <v/>
      </c>
      <c r="J258" s="13">
        <f>100*D258/D$7</f>
        <v/>
      </c>
      <c r="K258" s="13">
        <f>100*E258/E$7</f>
        <v/>
      </c>
      <c r="L258" s="13">
        <f>100*F258/F$7</f>
        <v/>
      </c>
      <c r="M258" s="13">
        <f>100*G258/G$7</f>
        <v/>
      </c>
    </row>
    <row r="259">
      <c r="A259" s="11" t="n">
        <v>45280</v>
      </c>
      <c r="B259" s="12" t="n">
        <v>416.816254</v>
      </c>
      <c r="C259" s="12" t="n">
        <v>57.677021</v>
      </c>
      <c r="D259" s="12" t="n">
        <v>40.21249</v>
      </c>
      <c r="E259" s="12" t="n">
        <v>60.291737</v>
      </c>
      <c r="F259" s="12" t="n">
        <v>14.822069</v>
      </c>
      <c r="G259" s="12" t="n">
        <v>61.359314</v>
      </c>
      <c r="H259" s="13">
        <f>100*B259/B$7</f>
        <v/>
      </c>
      <c r="I259" s="13">
        <f>100*C259/C$7</f>
        <v/>
      </c>
      <c r="J259" s="13">
        <f>100*D259/D$7</f>
        <v/>
      </c>
      <c r="K259" s="13">
        <f>100*E259/E$7</f>
        <v/>
      </c>
      <c r="L259" s="13">
        <f>100*F259/F$7</f>
        <v/>
      </c>
      <c r="M259" s="13">
        <f>100*G259/G$7</f>
        <v/>
      </c>
    </row>
    <row r="260">
      <c r="A260" s="11" t="n">
        <v>45281</v>
      </c>
      <c r="B260" s="12" t="n">
        <v>420.876953</v>
      </c>
      <c r="C260" s="12" t="n">
        <v>58.680908</v>
      </c>
      <c r="D260" s="12" t="n">
        <v>41.027298</v>
      </c>
      <c r="E260" s="12" t="n">
        <v>61.246933</v>
      </c>
      <c r="F260" s="12" t="n">
        <v>15.242746</v>
      </c>
      <c r="G260" s="12" t="n">
        <v>62.930454</v>
      </c>
      <c r="H260" s="13">
        <f>100*B260/B$7</f>
        <v/>
      </c>
      <c r="I260" s="13">
        <f>100*C260/C$7</f>
        <v/>
      </c>
      <c r="J260" s="13">
        <f>100*D260/D$7</f>
        <v/>
      </c>
      <c r="K260" s="13">
        <f>100*E260/E$7</f>
        <v/>
      </c>
      <c r="L260" s="13">
        <f>100*F260/F$7</f>
        <v/>
      </c>
      <c r="M260" s="13">
        <f>100*G260/G$7</f>
        <v/>
      </c>
    </row>
    <row r="261">
      <c r="A261" s="11" t="n">
        <v>45282</v>
      </c>
      <c r="B261" s="12" t="n">
        <v>421.855774</v>
      </c>
      <c r="C261" s="12" t="n">
        <v>58.86681</v>
      </c>
      <c r="D261" s="12" t="n">
        <v>41.175442</v>
      </c>
      <c r="E261" s="12" t="n">
        <v>61.103657</v>
      </c>
      <c r="F261" s="12" t="n">
        <v>15.189041</v>
      </c>
      <c r="G261" s="12" t="n">
        <v>61.585106</v>
      </c>
      <c r="H261" s="13">
        <f>100*B261/B$7</f>
        <v/>
      </c>
      <c r="I261" s="13">
        <f>100*C261/C$7</f>
        <v/>
      </c>
      <c r="J261" s="13">
        <f>100*D261/D$7</f>
        <v/>
      </c>
      <c r="K261" s="13">
        <f>100*E261/E$7</f>
        <v/>
      </c>
      <c r="L261" s="13">
        <f>100*F261/F$7</f>
        <v/>
      </c>
      <c r="M261" s="13">
        <f>100*G261/G$7</f>
        <v/>
      </c>
    </row>
    <row r="262">
      <c r="A262" s="11" t="n">
        <v>45285</v>
      </c>
      <c r="B262" s="12" t="n">
        <v>421.855774</v>
      </c>
      <c r="C262" s="12" t="n">
        <v>58.86681</v>
      </c>
      <c r="D262" s="12" t="n">
        <v>41.175442</v>
      </c>
      <c r="E262" s="12" t="n">
        <v>61.103657</v>
      </c>
      <c r="F262" s="12" t="n">
        <v>15.189041</v>
      </c>
      <c r="G262" s="12" t="n">
        <v>61.585106</v>
      </c>
      <c r="H262" s="13">
        <f>100*B262/B$7</f>
        <v/>
      </c>
      <c r="I262" s="13">
        <f>100*C262/C$7</f>
        <v/>
      </c>
      <c r="J262" s="13">
        <f>100*D262/D$7</f>
        <v/>
      </c>
      <c r="K262" s="13">
        <f>100*E262/E$7</f>
        <v/>
      </c>
      <c r="L262" s="13">
        <f>100*F262/F$7</f>
        <v/>
      </c>
      <c r="M262" s="13">
        <f>100*G262/G$7</f>
        <v/>
      </c>
    </row>
    <row r="263">
      <c r="A263" s="11" t="n">
        <v>45286</v>
      </c>
      <c r="B263" s="12" t="n">
        <v>423.609894</v>
      </c>
      <c r="C263" s="12" t="n">
        <v>58.848217</v>
      </c>
      <c r="D263" s="12" t="n">
        <v>42.045799</v>
      </c>
      <c r="E263" s="12" t="n">
        <v>61.390205</v>
      </c>
      <c r="F263" s="12" t="n">
        <v>15.224845</v>
      </c>
      <c r="G263" s="12" t="n">
        <v>61.914394</v>
      </c>
      <c r="H263" s="13">
        <f>100*B263/B$7</f>
        <v/>
      </c>
      <c r="I263" s="13">
        <f>100*C263/C$7</f>
        <v/>
      </c>
      <c r="J263" s="13">
        <f>100*D263/D$7</f>
        <v/>
      </c>
      <c r="K263" s="13">
        <f>100*E263/E$7</f>
        <v/>
      </c>
      <c r="L263" s="13">
        <f>100*F263/F$7</f>
        <v/>
      </c>
      <c r="M263" s="13">
        <f>100*G263/G$7</f>
        <v/>
      </c>
    </row>
    <row r="264">
      <c r="A264" s="11" t="n">
        <v>45287</v>
      </c>
      <c r="B264" s="12" t="n">
        <v>424.385193</v>
      </c>
      <c r="C264" s="12" t="n">
        <v>59.173553</v>
      </c>
      <c r="D264" s="12" t="n">
        <v>42.462463</v>
      </c>
      <c r="E264" s="12" t="n">
        <v>61.944218</v>
      </c>
      <c r="F264" s="12" t="n">
        <v>15.323299</v>
      </c>
      <c r="G264" s="12" t="n">
        <v>62.064922</v>
      </c>
      <c r="H264" s="13">
        <f>100*B264/B$7</f>
        <v/>
      </c>
      <c r="I264" s="13">
        <f>100*C264/C$7</f>
        <v/>
      </c>
      <c r="J264" s="13">
        <f>100*D264/D$7</f>
        <v/>
      </c>
      <c r="K264" s="13">
        <f>100*E264/E$7</f>
        <v/>
      </c>
      <c r="L264" s="13">
        <f>100*F264/F$7</f>
        <v/>
      </c>
      <c r="M264" s="13">
        <f>100*G264/G$7</f>
        <v/>
      </c>
    </row>
    <row r="265">
      <c r="A265" s="11" t="n">
        <v>45288</v>
      </c>
      <c r="B265" s="12" t="n">
        <v>424.453033</v>
      </c>
      <c r="C265" s="12" t="n">
        <v>59.526775</v>
      </c>
      <c r="D265" s="12" t="n">
        <v>42.619865</v>
      </c>
      <c r="E265" s="12" t="n">
        <v>63.02359</v>
      </c>
      <c r="F265" s="12" t="n">
        <v>15.529162</v>
      </c>
      <c r="G265" s="12" t="n">
        <v>63.626656</v>
      </c>
      <c r="H265" s="13">
        <f>100*B265/B$7</f>
        <v/>
      </c>
      <c r="I265" s="13">
        <f>100*C265/C$7</f>
        <v/>
      </c>
      <c r="J265" s="13">
        <f>100*D265/D$7</f>
        <v/>
      </c>
      <c r="K265" s="13">
        <f>100*E265/E$7</f>
        <v/>
      </c>
      <c r="L265" s="13">
        <f>100*F265/F$7</f>
        <v/>
      </c>
      <c r="M265" s="13">
        <f>100*G265/G$7</f>
        <v/>
      </c>
    </row>
    <row r="266">
      <c r="A266" s="11" t="n">
        <v>45289</v>
      </c>
      <c r="B266" s="12" t="n">
        <v>423.319092</v>
      </c>
      <c r="C266" s="12" t="n">
        <v>59.619724</v>
      </c>
      <c r="D266" s="12" t="n">
        <v>42.619865</v>
      </c>
      <c r="E266" s="12" t="n">
        <v>62.59375</v>
      </c>
      <c r="F266" s="12" t="n">
        <v>15.547064</v>
      </c>
      <c r="G266" s="12" t="n">
        <v>64.08764600000001</v>
      </c>
      <c r="H266" s="13">
        <f>100*B266/B$7</f>
        <v/>
      </c>
      <c r="I266" s="13">
        <f>100*C266/C$7</f>
        <v/>
      </c>
      <c r="J266" s="13">
        <f>100*D266/D$7</f>
        <v/>
      </c>
      <c r="K266" s="13">
        <f>100*E266/E$7</f>
        <v/>
      </c>
      <c r="L266" s="13">
        <f>100*F266/F$7</f>
        <v/>
      </c>
      <c r="M266" s="13">
        <f>100*G266/G$7</f>
        <v/>
      </c>
    </row>
    <row r="267">
      <c r="A267" s="11" t="n">
        <v>45292</v>
      </c>
      <c r="B267" s="12" t="n">
        <v>423.319092</v>
      </c>
      <c r="C267" s="12" t="n">
        <v>59.619724</v>
      </c>
      <c r="D267" s="12" t="n">
        <v>42.619865</v>
      </c>
      <c r="E267" s="12" t="n">
        <v>62.59375</v>
      </c>
      <c r="F267" s="12" t="n">
        <v>15.547064</v>
      </c>
      <c r="G267" s="12" t="n">
        <v>64.08764600000001</v>
      </c>
      <c r="H267" s="13">
        <f>100*B267/B$7</f>
        <v/>
      </c>
      <c r="I267" s="13">
        <f>100*C267/C$7</f>
        <v/>
      </c>
      <c r="J267" s="13">
        <f>100*D267/D$7</f>
        <v/>
      </c>
      <c r="K267" s="13">
        <f>100*E267/E$7</f>
        <v/>
      </c>
      <c r="L267" s="13">
        <f>100*F267/F$7</f>
        <v/>
      </c>
      <c r="M267" s="13">
        <f>100*G267/G$7</f>
        <v/>
      </c>
    </row>
    <row r="268">
      <c r="A268" s="11" t="n">
        <v>45293</v>
      </c>
      <c r="B268" s="12" t="n">
        <v>420.615265</v>
      </c>
      <c r="C268" s="12" t="n">
        <v>59.080605</v>
      </c>
      <c r="D268" s="12" t="n">
        <v>41.638401</v>
      </c>
      <c r="E268" s="12" t="n">
        <v>61.839149</v>
      </c>
      <c r="F268" s="12" t="n">
        <v>15.153239</v>
      </c>
      <c r="G268" s="12" t="n">
        <v>62.582363</v>
      </c>
      <c r="H268" s="13">
        <f>100*B268/B$7</f>
        <v/>
      </c>
      <c r="I268" s="13">
        <f>100*C268/C$7</f>
        <v/>
      </c>
      <c r="J268" s="13">
        <f>100*D268/D$7</f>
        <v/>
      </c>
      <c r="K268" s="13">
        <f>100*E268/E$7</f>
        <v/>
      </c>
      <c r="L268" s="13">
        <f>100*F268/F$7</f>
        <v/>
      </c>
      <c r="M268" s="13">
        <f>100*G268/G$7</f>
        <v/>
      </c>
    </row>
    <row r="269">
      <c r="A269" s="11" t="n">
        <v>45294</v>
      </c>
      <c r="B269" s="12" t="n">
        <v>417.494629</v>
      </c>
      <c r="C269" s="12" t="n">
        <v>58.755264</v>
      </c>
      <c r="D269" s="12" t="n">
        <v>41.018036</v>
      </c>
      <c r="E269" s="12" t="n">
        <v>60.511433</v>
      </c>
      <c r="F269" s="12" t="n">
        <v>15.117435</v>
      </c>
      <c r="G269" s="12" t="n">
        <v>63.005718</v>
      </c>
      <c r="H269" s="13">
        <f>100*B269/B$7</f>
        <v/>
      </c>
      <c r="I269" s="13">
        <f>100*C269/C$7</f>
        <v/>
      </c>
      <c r="J269" s="13">
        <f>100*D269/D$7</f>
        <v/>
      </c>
      <c r="K269" s="13">
        <f>100*E269/E$7</f>
        <v/>
      </c>
      <c r="L269" s="13">
        <f>100*F269/F$7</f>
        <v/>
      </c>
      <c r="M269" s="13">
        <f>100*G269/G$7</f>
        <v/>
      </c>
    </row>
    <row r="270">
      <c r="A270" s="11" t="n">
        <v>45295</v>
      </c>
      <c r="B270" s="12" t="n">
        <v>416.176636</v>
      </c>
      <c r="C270" s="12" t="n">
        <v>58.615841</v>
      </c>
      <c r="D270" s="12" t="n">
        <v>41.036552</v>
      </c>
      <c r="E270" s="12" t="n">
        <v>59.909664</v>
      </c>
      <c r="F270" s="12" t="n">
        <v>14.911575</v>
      </c>
      <c r="G270" s="12" t="n">
        <v>62.337749</v>
      </c>
      <c r="H270" s="13">
        <f>100*B270/B$7</f>
        <v/>
      </c>
      <c r="I270" s="13">
        <f>100*C270/C$7</f>
        <v/>
      </c>
      <c r="J270" s="13">
        <f>100*D270/D$7</f>
        <v/>
      </c>
      <c r="K270" s="13">
        <f>100*E270/E$7</f>
        <v/>
      </c>
      <c r="L270" s="13">
        <f>100*F270/F$7</f>
        <v/>
      </c>
      <c r="M270" s="13">
        <f>100*G270/G$7</f>
        <v/>
      </c>
    </row>
    <row r="271">
      <c r="A271" s="11" t="n">
        <v>45296</v>
      </c>
      <c r="B271" s="12" t="n">
        <v>416.709595</v>
      </c>
      <c r="C271" s="12" t="n">
        <v>59.052715</v>
      </c>
      <c r="D271" s="12" t="n">
        <v>41.101364</v>
      </c>
      <c r="E271" s="12" t="n">
        <v>60.062496</v>
      </c>
      <c r="F271" s="12" t="n">
        <v>14.920526</v>
      </c>
      <c r="G271" s="12" t="n">
        <v>61.820312</v>
      </c>
      <c r="H271" s="13">
        <f>100*B271/B$7</f>
        <v/>
      </c>
      <c r="I271" s="13">
        <f>100*C271/C$7</f>
        <v/>
      </c>
      <c r="J271" s="13">
        <f>100*D271/D$7</f>
        <v/>
      </c>
      <c r="K271" s="13">
        <f>100*E271/E$7</f>
        <v/>
      </c>
      <c r="L271" s="13">
        <f>100*F271/F$7</f>
        <v/>
      </c>
      <c r="M271" s="13">
        <f>100*G271/G$7</f>
        <v/>
      </c>
    </row>
    <row r="272">
      <c r="A272" s="11" t="n">
        <v>45299</v>
      </c>
      <c r="B272" s="12" t="n">
        <v>422.66983</v>
      </c>
      <c r="C272" s="12" t="n">
        <v>59.917175</v>
      </c>
      <c r="D272" s="12" t="n">
        <v>41.74025</v>
      </c>
      <c r="E272" s="12" t="n">
        <v>60.377705</v>
      </c>
      <c r="F272" s="12" t="n">
        <v>14.83102</v>
      </c>
      <c r="G272" s="12" t="n">
        <v>61.086483</v>
      </c>
      <c r="H272" s="13">
        <f>100*B272/B$7</f>
        <v/>
      </c>
      <c r="I272" s="13">
        <f>100*C272/C$7</f>
        <v/>
      </c>
      <c r="J272" s="13">
        <f>100*D272/D$7</f>
        <v/>
      </c>
      <c r="K272" s="13">
        <f>100*E272/E$7</f>
        <v/>
      </c>
      <c r="L272" s="13">
        <f>100*F272/F$7</f>
        <v/>
      </c>
      <c r="M272" s="13">
        <f>100*G272/G$7</f>
        <v/>
      </c>
    </row>
    <row r="273">
      <c r="A273" s="11" t="n">
        <v>45300</v>
      </c>
      <c r="B273" s="12" t="n">
        <v>421.642548</v>
      </c>
      <c r="C273" s="12" t="n">
        <v>59.554657</v>
      </c>
      <c r="D273" s="12" t="n">
        <v>40.869888</v>
      </c>
      <c r="E273" s="12" t="n">
        <v>59.01178</v>
      </c>
      <c r="F273" s="12" t="n">
        <v>14.64306</v>
      </c>
      <c r="G273" s="12" t="n">
        <v>60.41851</v>
      </c>
      <c r="H273" s="13">
        <f>100*B273/B$7</f>
        <v/>
      </c>
      <c r="I273" s="13">
        <f>100*C273/C$7</f>
        <v/>
      </c>
      <c r="J273" s="13">
        <f>100*D273/D$7</f>
        <v/>
      </c>
      <c r="K273" s="13">
        <f>100*E273/E$7</f>
        <v/>
      </c>
      <c r="L273" s="13">
        <f>100*F273/F$7</f>
        <v/>
      </c>
      <c r="M273" s="13">
        <f>100*G273/G$7</f>
        <v/>
      </c>
    </row>
    <row r="274">
      <c r="A274" s="11" t="n">
        <v>45301</v>
      </c>
      <c r="B274" s="12" t="n">
        <v>424.423981</v>
      </c>
      <c r="C274" s="12" t="n">
        <v>60.623611</v>
      </c>
      <c r="D274" s="12" t="n">
        <v>40.675446</v>
      </c>
      <c r="E274" s="12" t="n">
        <v>58.667912</v>
      </c>
      <c r="F274" s="12" t="n">
        <v>14.625157</v>
      </c>
      <c r="G274" s="12" t="n">
        <v>60.277393</v>
      </c>
      <c r="H274" s="13">
        <f>100*B274/B$7</f>
        <v/>
      </c>
      <c r="I274" s="13">
        <f>100*C274/C$7</f>
        <v/>
      </c>
      <c r="J274" s="13">
        <f>100*D274/D$7</f>
        <v/>
      </c>
      <c r="K274" s="13">
        <f>100*E274/E$7</f>
        <v/>
      </c>
      <c r="L274" s="13">
        <f>100*F274/F$7</f>
        <v/>
      </c>
      <c r="M274" s="13">
        <f>100*G274/G$7</f>
        <v/>
      </c>
    </row>
    <row r="275">
      <c r="A275" s="11" t="n">
        <v>45302</v>
      </c>
      <c r="B275" s="12" t="n">
        <v>424.278656</v>
      </c>
      <c r="C275" s="12" t="n">
        <v>61.162735</v>
      </c>
      <c r="D275" s="12" t="n">
        <v>40.740257</v>
      </c>
      <c r="E275" s="12" t="n">
        <v>58.77298</v>
      </c>
      <c r="F275" s="12" t="n">
        <v>14.705713</v>
      </c>
      <c r="G275" s="12" t="n">
        <v>60.898319</v>
      </c>
      <c r="H275" s="13">
        <f>100*B275/B$7</f>
        <v/>
      </c>
      <c r="I275" s="13">
        <f>100*C275/C$7</f>
        <v/>
      </c>
      <c r="J275" s="13">
        <f>100*D275/D$7</f>
        <v/>
      </c>
      <c r="K275" s="13">
        <f>100*E275/E$7</f>
        <v/>
      </c>
      <c r="L275" s="13">
        <f>100*F275/F$7</f>
        <v/>
      </c>
      <c r="M275" s="13">
        <f>100*G275/G$7</f>
        <v/>
      </c>
    </row>
    <row r="276">
      <c r="A276" s="11" t="n">
        <v>45303</v>
      </c>
      <c r="B276" s="12" t="n">
        <v>424.472351</v>
      </c>
      <c r="C276" s="12" t="n">
        <v>61.748337</v>
      </c>
      <c r="D276" s="12" t="n">
        <v>40.832851</v>
      </c>
      <c r="E276" s="12" t="n">
        <v>58.6106</v>
      </c>
      <c r="F276" s="12" t="n">
        <v>14.777317</v>
      </c>
      <c r="G276" s="12" t="n">
        <v>60.681934</v>
      </c>
      <c r="H276" s="13">
        <f>100*B276/B$7</f>
        <v/>
      </c>
      <c r="I276" s="13">
        <f>100*C276/C$7</f>
        <v/>
      </c>
      <c r="J276" s="13">
        <f>100*D276/D$7</f>
        <v/>
      </c>
      <c r="K276" s="13">
        <f>100*E276/E$7</f>
        <v/>
      </c>
      <c r="L276" s="13">
        <f>100*F276/F$7</f>
        <v/>
      </c>
      <c r="M276" s="13">
        <f>100*G276/G$7</f>
        <v/>
      </c>
    </row>
    <row r="277">
      <c r="A277" s="11" t="n">
        <v>45306</v>
      </c>
      <c r="B277" s="12" t="n">
        <v>424.472351</v>
      </c>
      <c r="C277" s="12" t="n">
        <v>61.748337</v>
      </c>
      <c r="D277" s="12" t="n">
        <v>40.832851</v>
      </c>
      <c r="E277" s="12" t="n">
        <v>58.6106</v>
      </c>
      <c r="F277" s="12" t="n">
        <v>14.777317</v>
      </c>
      <c r="G277" s="12" t="n">
        <v>60.681934</v>
      </c>
      <c r="H277" s="13">
        <f>100*B277/B$7</f>
        <v/>
      </c>
      <c r="I277" s="13">
        <f>100*C277/C$7</f>
        <v/>
      </c>
      <c r="J277" s="13">
        <f>100*D277/D$7</f>
        <v/>
      </c>
      <c r="K277" s="13">
        <f>100*E277/E$7</f>
        <v/>
      </c>
      <c r="L277" s="13">
        <f>100*F277/F$7</f>
        <v/>
      </c>
      <c r="M277" s="13">
        <f>100*G277/G$7</f>
        <v/>
      </c>
    </row>
    <row r="278">
      <c r="A278" s="11" t="n">
        <v>45307</v>
      </c>
      <c r="B278" s="12" t="n">
        <v>423.028412</v>
      </c>
      <c r="C278" s="12" t="n">
        <v>61.292877</v>
      </c>
      <c r="D278" s="12" t="n">
        <v>39.721756</v>
      </c>
      <c r="E278" s="12" t="n">
        <v>56.346794</v>
      </c>
      <c r="F278" s="12" t="n">
        <v>14.329792</v>
      </c>
      <c r="G278" s="12" t="n">
        <v>59.091976</v>
      </c>
      <c r="H278" s="13">
        <f>100*B278/B$7</f>
        <v/>
      </c>
      <c r="I278" s="13">
        <f>100*C278/C$7</f>
        <v/>
      </c>
      <c r="J278" s="13">
        <f>100*D278/D$7</f>
        <v/>
      </c>
      <c r="K278" s="13">
        <f>100*E278/E$7</f>
        <v/>
      </c>
      <c r="L278" s="13">
        <f>100*F278/F$7</f>
        <v/>
      </c>
      <c r="M278" s="13">
        <f>100*G278/G$7</f>
        <v/>
      </c>
    </row>
    <row r="279">
      <c r="A279" s="11" t="n">
        <v>45308</v>
      </c>
      <c r="B279" s="12" t="n">
        <v>420.673401</v>
      </c>
      <c r="C279" s="12" t="n">
        <v>60.530659</v>
      </c>
      <c r="D279" s="12" t="n">
        <v>39.212498</v>
      </c>
      <c r="E279" s="12" t="n">
        <v>54.885349</v>
      </c>
      <c r="F279" s="12" t="n">
        <v>13.918067</v>
      </c>
      <c r="G279" s="12" t="n">
        <v>57.74662</v>
      </c>
      <c r="H279" s="13">
        <f>100*B279/B$7</f>
        <v/>
      </c>
      <c r="I279" s="13">
        <f>100*C279/C$7</f>
        <v/>
      </c>
      <c r="J279" s="13">
        <f>100*D279/D$7</f>
        <v/>
      </c>
      <c r="K279" s="13">
        <f>100*E279/E$7</f>
        <v/>
      </c>
      <c r="L279" s="13">
        <f>100*F279/F$7</f>
        <v/>
      </c>
      <c r="M279" s="13">
        <f>100*G279/G$7</f>
        <v/>
      </c>
    </row>
    <row r="280">
      <c r="A280" s="11" t="n">
        <v>45309</v>
      </c>
      <c r="B280" s="12" t="n">
        <v>424.414246</v>
      </c>
      <c r="C280" s="12" t="n">
        <v>61.097675</v>
      </c>
      <c r="D280" s="12" t="n">
        <v>39.934715</v>
      </c>
      <c r="E280" s="12" t="n">
        <v>55.907406</v>
      </c>
      <c r="F280" s="12" t="n">
        <v>13.998621</v>
      </c>
      <c r="G280" s="12" t="n">
        <v>57.91597</v>
      </c>
      <c r="H280" s="13">
        <f>100*B280/B$7</f>
        <v/>
      </c>
      <c r="I280" s="13">
        <f>100*C280/C$7</f>
        <v/>
      </c>
      <c r="J280" s="13">
        <f>100*D280/D$7</f>
        <v/>
      </c>
      <c r="K280" s="13">
        <f>100*E280/E$7</f>
        <v/>
      </c>
      <c r="L280" s="13">
        <f>100*F280/F$7</f>
        <v/>
      </c>
      <c r="M280" s="13">
        <f>100*G280/G$7</f>
        <v/>
      </c>
    </row>
    <row r="281">
      <c r="A281" s="11" t="n">
        <v>45310</v>
      </c>
      <c r="B281" s="12" t="n">
        <v>429.608856</v>
      </c>
      <c r="C281" s="12" t="n">
        <v>61.255695</v>
      </c>
      <c r="D281" s="12" t="n">
        <v>40.916183</v>
      </c>
      <c r="E281" s="12" t="n">
        <v>56.604694</v>
      </c>
      <c r="F281" s="12" t="n">
        <v>14.106029</v>
      </c>
      <c r="G281" s="12" t="n">
        <v>58.094723</v>
      </c>
      <c r="H281" s="13">
        <f>100*B281/B$7</f>
        <v/>
      </c>
      <c r="I281" s="13">
        <f>100*C281/C$7</f>
        <v/>
      </c>
      <c r="J281" s="13">
        <f>100*D281/D$7</f>
        <v/>
      </c>
      <c r="K281" s="13">
        <f>100*E281/E$7</f>
        <v/>
      </c>
      <c r="L281" s="13">
        <f>100*F281/F$7</f>
        <v/>
      </c>
      <c r="M281" s="13">
        <f>100*G281/G$7</f>
        <v/>
      </c>
    </row>
    <row r="282">
      <c r="A282" s="11" t="n">
        <v>45313</v>
      </c>
      <c r="B282" s="12" t="n">
        <v>430.587677</v>
      </c>
      <c r="C282" s="12" t="n">
        <v>61.980728</v>
      </c>
      <c r="D282" s="12" t="n">
        <v>40.999516</v>
      </c>
      <c r="E282" s="12" t="n">
        <v>55.907406</v>
      </c>
      <c r="F282" s="12" t="n">
        <v>13.748006</v>
      </c>
      <c r="G282" s="12" t="n">
        <v>56.485947</v>
      </c>
      <c r="H282" s="13">
        <f>100*B282/B$7</f>
        <v/>
      </c>
      <c r="I282" s="13">
        <f>100*C282/C$7</f>
        <v/>
      </c>
      <c r="J282" s="13">
        <f>100*D282/D$7</f>
        <v/>
      </c>
      <c r="K282" s="13">
        <f>100*E282/E$7</f>
        <v/>
      </c>
      <c r="L282" s="13">
        <f>100*F282/F$7</f>
        <v/>
      </c>
      <c r="M282" s="13">
        <f>100*G282/G$7</f>
        <v/>
      </c>
    </row>
    <row r="283">
      <c r="A283" s="11" t="n">
        <v>45314</v>
      </c>
      <c r="B283" s="12" t="n">
        <v>431.867004</v>
      </c>
      <c r="C283" s="12" t="n">
        <v>61.432301</v>
      </c>
      <c r="D283" s="12" t="n">
        <v>41.258774</v>
      </c>
      <c r="E283" s="12" t="n">
        <v>56.27993</v>
      </c>
      <c r="F283" s="12" t="n">
        <v>14.14183</v>
      </c>
      <c r="G283" s="12" t="n">
        <v>58.245247</v>
      </c>
      <c r="H283" s="13">
        <f>100*B283/B$7</f>
        <v/>
      </c>
      <c r="I283" s="13">
        <f>100*C283/C$7</f>
        <v/>
      </c>
      <c r="J283" s="13">
        <f>100*D283/D$7</f>
        <v/>
      </c>
      <c r="K283" s="13">
        <f>100*E283/E$7</f>
        <v/>
      </c>
      <c r="L283" s="13">
        <f>100*F283/F$7</f>
        <v/>
      </c>
      <c r="M283" s="13">
        <f>100*G283/G$7</f>
        <v/>
      </c>
    </row>
    <row r="284">
      <c r="A284" s="11" t="n">
        <v>45315</v>
      </c>
      <c r="B284" s="12" t="n">
        <v>432.225525</v>
      </c>
      <c r="C284" s="12" t="n">
        <v>61.50666</v>
      </c>
      <c r="D284" s="12" t="n">
        <v>41.629139</v>
      </c>
      <c r="E284" s="12" t="n">
        <v>56.47097</v>
      </c>
      <c r="F284" s="12" t="n">
        <v>14.464048</v>
      </c>
      <c r="G284" s="12" t="n">
        <v>59.976334</v>
      </c>
      <c r="H284" s="13">
        <f>100*B284/B$7</f>
        <v/>
      </c>
      <c r="I284" s="13">
        <f>100*C284/C$7</f>
        <v/>
      </c>
      <c r="J284" s="13">
        <f>100*D284/D$7</f>
        <v/>
      </c>
      <c r="K284" s="13">
        <f>100*E284/E$7</f>
        <v/>
      </c>
      <c r="L284" s="13">
        <f>100*F284/F$7</f>
        <v/>
      </c>
      <c r="M284" s="13">
        <f>100*G284/G$7</f>
        <v/>
      </c>
    </row>
    <row r="285">
      <c r="A285" s="11" t="n">
        <v>45316</v>
      </c>
      <c r="B285" s="12" t="n">
        <v>434.658051</v>
      </c>
      <c r="C285" s="12" t="n">
        <v>61.274277</v>
      </c>
      <c r="D285" s="12" t="n">
        <v>41.647655</v>
      </c>
      <c r="E285" s="12" t="n">
        <v>56.260826</v>
      </c>
      <c r="F285" s="12" t="n">
        <v>14.455098</v>
      </c>
      <c r="G285" s="12" t="n">
        <v>59.976334</v>
      </c>
      <c r="H285" s="13">
        <f>100*B285/B$7</f>
        <v/>
      </c>
      <c r="I285" s="13">
        <f>100*C285/C$7</f>
        <v/>
      </c>
      <c r="J285" s="13">
        <f>100*D285/D$7</f>
        <v/>
      </c>
      <c r="K285" s="13">
        <f>100*E285/E$7</f>
        <v/>
      </c>
      <c r="L285" s="13">
        <f>100*F285/F$7</f>
        <v/>
      </c>
      <c r="M285" s="13">
        <f>100*G285/G$7</f>
        <v/>
      </c>
    </row>
    <row r="286">
      <c r="A286" s="11" t="n">
        <v>45317</v>
      </c>
      <c r="B286" s="12" t="n">
        <v>434.396393</v>
      </c>
      <c r="C286" s="12" t="n">
        <v>60.781635</v>
      </c>
      <c r="D286" s="12" t="n">
        <v>41.666176</v>
      </c>
      <c r="E286" s="12" t="n">
        <v>56.833942</v>
      </c>
      <c r="F286" s="12" t="n">
        <v>14.553554</v>
      </c>
      <c r="G286" s="12" t="n">
        <v>59.712906</v>
      </c>
      <c r="H286" s="13">
        <f>100*B286/B$7</f>
        <v/>
      </c>
      <c r="I286" s="13">
        <f>100*C286/C$7</f>
        <v/>
      </c>
      <c r="J286" s="13">
        <f>100*D286/D$7</f>
        <v/>
      </c>
      <c r="K286" s="13">
        <f>100*E286/E$7</f>
        <v/>
      </c>
      <c r="L286" s="13">
        <f>100*F286/F$7</f>
        <v/>
      </c>
      <c r="M286" s="13">
        <f>100*G286/G$7</f>
        <v/>
      </c>
    </row>
    <row r="287">
      <c r="A287" s="11" t="n">
        <v>45320</v>
      </c>
      <c r="B287" s="12" t="n">
        <v>437.555695</v>
      </c>
      <c r="C287" s="12" t="n">
        <v>61.50666</v>
      </c>
      <c r="D287" s="12" t="n">
        <v>42.036545</v>
      </c>
      <c r="E287" s="12" t="n">
        <v>57.464371</v>
      </c>
      <c r="F287" s="12" t="n">
        <v>14.464048</v>
      </c>
      <c r="G287" s="12" t="n">
        <v>58.687428</v>
      </c>
      <c r="H287" s="13">
        <f>100*B287/B$7</f>
        <v/>
      </c>
      <c r="I287" s="13">
        <f>100*C287/C$7</f>
        <v/>
      </c>
      <c r="J287" s="13">
        <f>100*D287/D$7</f>
        <v/>
      </c>
      <c r="K287" s="13">
        <f>100*E287/E$7</f>
        <v/>
      </c>
      <c r="L287" s="13">
        <f>100*F287/F$7</f>
        <v/>
      </c>
      <c r="M287" s="13">
        <f>100*G287/G$7</f>
        <v/>
      </c>
    </row>
    <row r="288">
      <c r="A288" s="11" t="n">
        <v>45321</v>
      </c>
      <c r="B288" s="12" t="n">
        <v>437.245667</v>
      </c>
      <c r="C288" s="12" t="n">
        <v>61.283569</v>
      </c>
      <c r="D288" s="12" t="n">
        <v>41.805061</v>
      </c>
      <c r="E288" s="12" t="n">
        <v>57.225571</v>
      </c>
      <c r="F288" s="12" t="n">
        <v>14.168681</v>
      </c>
      <c r="G288" s="12" t="n">
        <v>57.492607</v>
      </c>
      <c r="H288" s="13">
        <f>100*B288/B$7</f>
        <v/>
      </c>
      <c r="I288" s="13">
        <f>100*C288/C$7</f>
        <v/>
      </c>
      <c r="J288" s="13">
        <f>100*D288/D$7</f>
        <v/>
      </c>
      <c r="K288" s="13">
        <f>100*E288/E$7</f>
        <v/>
      </c>
      <c r="L288" s="13">
        <f>100*F288/F$7</f>
        <v/>
      </c>
      <c r="M288" s="13">
        <f>100*G288/G$7</f>
        <v/>
      </c>
    </row>
    <row r="289">
      <c r="A289" s="11" t="n">
        <v>45322</v>
      </c>
      <c r="B289" s="12" t="n">
        <v>430.122498</v>
      </c>
      <c r="C289" s="12" t="n">
        <v>61.543839</v>
      </c>
      <c r="D289" s="12" t="n">
        <v>41.342106</v>
      </c>
      <c r="E289" s="12" t="n">
        <v>56.80529</v>
      </c>
      <c r="F289" s="12" t="n">
        <v>14.034425</v>
      </c>
      <c r="G289" s="12" t="n">
        <v>57.106876</v>
      </c>
      <c r="H289" s="13">
        <f>100*B289/B$7</f>
        <v/>
      </c>
      <c r="I289" s="13">
        <f>100*C289/C$7</f>
        <v/>
      </c>
      <c r="J289" s="13">
        <f>100*D289/D$7</f>
        <v/>
      </c>
      <c r="K289" s="13">
        <f>100*E289/E$7</f>
        <v/>
      </c>
      <c r="L289" s="13">
        <f>100*F289/F$7</f>
        <v/>
      </c>
      <c r="M289" s="13">
        <f>100*G289/G$7</f>
        <v/>
      </c>
    </row>
    <row r="290">
      <c r="A290" s="11" t="n">
        <v>45323</v>
      </c>
      <c r="B290" s="12" t="n">
        <v>435.782257</v>
      </c>
      <c r="C290" s="12" t="n">
        <v>62.203804</v>
      </c>
      <c r="D290" s="12" t="n">
        <v>41.629139</v>
      </c>
      <c r="E290" s="12" t="n">
        <v>58.553288</v>
      </c>
      <c r="F290" s="12" t="n">
        <v>14.204484</v>
      </c>
      <c r="G290" s="12" t="n">
        <v>57.247993</v>
      </c>
      <c r="H290" s="13">
        <f>100*B290/B$7</f>
        <v/>
      </c>
      <c r="I290" s="13">
        <f>100*C290/C$7</f>
        <v/>
      </c>
      <c r="J290" s="13">
        <f>100*D290/D$7</f>
        <v/>
      </c>
      <c r="K290" s="13">
        <f>100*E290/E$7</f>
        <v/>
      </c>
      <c r="L290" s="13">
        <f>100*F290/F$7</f>
        <v/>
      </c>
      <c r="M290" s="13">
        <f>100*G290/G$7</f>
        <v/>
      </c>
    </row>
    <row r="291">
      <c r="A291" s="11" t="n">
        <v>45324</v>
      </c>
      <c r="B291" s="12" t="n">
        <v>440.259674</v>
      </c>
      <c r="C291" s="12" t="n">
        <v>61.822701</v>
      </c>
      <c r="D291" s="12" t="n">
        <v>41.443954</v>
      </c>
      <c r="E291" s="12" t="n">
        <v>59.804592</v>
      </c>
      <c r="F291" s="12" t="n">
        <v>13.98072</v>
      </c>
      <c r="G291" s="12" t="n">
        <v>56.147251</v>
      </c>
      <c r="H291" s="13">
        <f>100*B291/B$7</f>
        <v/>
      </c>
      <c r="I291" s="13">
        <f>100*C291/C$7</f>
        <v/>
      </c>
      <c r="J291" s="13">
        <f>100*D291/D$7</f>
        <v/>
      </c>
      <c r="K291" s="13">
        <f>100*E291/E$7</f>
        <v/>
      </c>
      <c r="L291" s="13">
        <f>100*F291/F$7</f>
        <v/>
      </c>
      <c r="M291" s="13">
        <f>100*G291/G$7</f>
        <v/>
      </c>
    </row>
    <row r="292">
      <c r="A292" s="11" t="n">
        <v>45327</v>
      </c>
      <c r="B292" s="12" t="n">
        <v>438.650909</v>
      </c>
      <c r="C292" s="12" t="n">
        <v>61.525253</v>
      </c>
      <c r="D292" s="12" t="n">
        <v>41.518028</v>
      </c>
      <c r="E292" s="12" t="n">
        <v>59.3461</v>
      </c>
      <c r="F292" s="12" t="n">
        <v>14.043374</v>
      </c>
      <c r="G292" s="12" t="n">
        <v>56.542393</v>
      </c>
      <c r="H292" s="13">
        <f>100*B292/B$7</f>
        <v/>
      </c>
      <c r="I292" s="13">
        <f>100*C292/C$7</f>
        <v/>
      </c>
      <c r="J292" s="13">
        <f>100*D292/D$7</f>
        <v/>
      </c>
      <c r="K292" s="13">
        <f>100*E292/E$7</f>
        <v/>
      </c>
      <c r="L292" s="13">
        <f>100*F292/F$7</f>
        <v/>
      </c>
      <c r="M292" s="13">
        <f>100*G292/G$7</f>
        <v/>
      </c>
    </row>
    <row r="293">
      <c r="A293" s="11" t="n">
        <v>45328</v>
      </c>
      <c r="B293" s="12" t="n">
        <v>440.017395</v>
      </c>
      <c r="C293" s="12" t="n">
        <v>61.515957</v>
      </c>
      <c r="D293" s="12" t="n">
        <v>42.305058</v>
      </c>
      <c r="E293" s="12" t="n">
        <v>59.39386</v>
      </c>
      <c r="F293" s="12" t="n">
        <v>14.48195</v>
      </c>
      <c r="G293" s="12" t="n">
        <v>59.421253</v>
      </c>
      <c r="H293" s="13">
        <f>100*B293/B$7</f>
        <v/>
      </c>
      <c r="I293" s="13">
        <f>100*C293/C$7</f>
        <v/>
      </c>
      <c r="J293" s="13">
        <f>100*D293/D$7</f>
        <v/>
      </c>
      <c r="K293" s="13">
        <f>100*E293/E$7</f>
        <v/>
      </c>
      <c r="L293" s="13">
        <f>100*F293/F$7</f>
        <v/>
      </c>
      <c r="M293" s="13">
        <f>100*G293/G$7</f>
        <v/>
      </c>
    </row>
    <row r="294">
      <c r="A294" s="11" t="n">
        <v>45329</v>
      </c>
      <c r="B294" s="12" t="n">
        <v>443.632294</v>
      </c>
      <c r="C294" s="12" t="n">
        <v>61.869171</v>
      </c>
      <c r="D294" s="12" t="n">
        <v>42.601349</v>
      </c>
      <c r="E294" s="12" t="n">
        <v>60.444569</v>
      </c>
      <c r="F294" s="12" t="n">
        <v>14.437197</v>
      </c>
      <c r="G294" s="12" t="n">
        <v>59.044933</v>
      </c>
      <c r="H294" s="13">
        <f>100*B294/B$7</f>
        <v/>
      </c>
      <c r="I294" s="13">
        <f>100*C294/C$7</f>
        <v/>
      </c>
      <c r="J294" s="13">
        <f>100*D294/D$7</f>
        <v/>
      </c>
      <c r="K294" s="13">
        <f>100*E294/E$7</f>
        <v/>
      </c>
      <c r="L294" s="13">
        <f>100*F294/F$7</f>
        <v/>
      </c>
      <c r="M294" s="13">
        <f>100*G294/G$7</f>
        <v/>
      </c>
    </row>
    <row r="295">
      <c r="A295" s="11" t="n">
        <v>45330</v>
      </c>
      <c r="B295" s="12" t="n">
        <v>443.932739</v>
      </c>
      <c r="C295" s="12" t="n">
        <v>61.711151</v>
      </c>
      <c r="D295" s="12" t="n">
        <v>43.082825</v>
      </c>
      <c r="E295" s="12" t="n">
        <v>60.444569</v>
      </c>
      <c r="F295" s="12" t="n">
        <v>14.285039</v>
      </c>
      <c r="G295" s="12" t="n">
        <v>58.21703</v>
      </c>
      <c r="H295" s="13">
        <f>100*B295/B$7</f>
        <v/>
      </c>
      <c r="I295" s="13">
        <f>100*C295/C$7</f>
        <v/>
      </c>
      <c r="J295" s="13">
        <f>100*D295/D$7</f>
        <v/>
      </c>
      <c r="K295" s="13">
        <f>100*E295/E$7</f>
        <v/>
      </c>
      <c r="L295" s="13">
        <f>100*F295/F$7</f>
        <v/>
      </c>
      <c r="M295" s="13">
        <f>100*G295/G$7</f>
        <v/>
      </c>
    </row>
    <row r="296">
      <c r="A296" s="11" t="n">
        <v>45331</v>
      </c>
      <c r="B296" s="12" t="n">
        <v>446.452484</v>
      </c>
      <c r="C296" s="12" t="n">
        <v>61.934235</v>
      </c>
      <c r="D296" s="12" t="n">
        <v>43.230968</v>
      </c>
      <c r="E296" s="12" t="n">
        <v>60.817093</v>
      </c>
      <c r="F296" s="12" t="n">
        <v>14.347692</v>
      </c>
      <c r="G296" s="12" t="n">
        <v>58.659206</v>
      </c>
      <c r="H296" s="13">
        <f>100*B296/B$7</f>
        <v/>
      </c>
      <c r="I296" s="13">
        <f>100*C296/C$7</f>
        <v/>
      </c>
      <c r="J296" s="13">
        <f>100*D296/D$7</f>
        <v/>
      </c>
      <c r="K296" s="13">
        <f>100*E296/E$7</f>
        <v/>
      </c>
      <c r="L296" s="13">
        <f>100*F296/F$7</f>
        <v/>
      </c>
      <c r="M296" s="13">
        <f>100*G296/G$7</f>
        <v/>
      </c>
    </row>
    <row r="297">
      <c r="A297" s="11" t="n">
        <v>45334</v>
      </c>
      <c r="B297" s="12" t="n">
        <v>446.248932</v>
      </c>
      <c r="C297" s="12" t="n">
        <v>62.25029</v>
      </c>
      <c r="D297" s="12" t="n">
        <v>43.388378</v>
      </c>
      <c r="E297" s="12" t="n">
        <v>61.562141</v>
      </c>
      <c r="F297" s="12" t="n">
        <v>14.49985</v>
      </c>
      <c r="G297" s="12" t="n">
        <v>59.487114</v>
      </c>
      <c r="H297" s="13">
        <f>100*B297/B$7</f>
        <v/>
      </c>
      <c r="I297" s="13">
        <f>100*C297/C$7</f>
        <v/>
      </c>
      <c r="J297" s="13">
        <f>100*D297/D$7</f>
        <v/>
      </c>
      <c r="K297" s="13">
        <f>100*E297/E$7</f>
        <v/>
      </c>
      <c r="L297" s="13">
        <f>100*F297/F$7</f>
        <v/>
      </c>
      <c r="M297" s="13">
        <f>100*G297/G$7</f>
        <v/>
      </c>
    </row>
    <row r="298">
      <c r="A298" s="11" t="n">
        <v>45335</v>
      </c>
      <c r="B298" s="12" t="n">
        <v>439.959259</v>
      </c>
      <c r="C298" s="12" t="n">
        <v>62.03648</v>
      </c>
      <c r="D298" s="12" t="n">
        <v>42.212467</v>
      </c>
      <c r="E298" s="12" t="n">
        <v>59.900108</v>
      </c>
      <c r="F298" s="12" t="n">
        <v>14.249237</v>
      </c>
      <c r="G298" s="12" t="n">
        <v>58.424004</v>
      </c>
      <c r="H298" s="13">
        <f>100*B298/B$7</f>
        <v/>
      </c>
      <c r="I298" s="13">
        <f>100*C298/C$7</f>
        <v/>
      </c>
      <c r="J298" s="13">
        <f>100*D298/D$7</f>
        <v/>
      </c>
      <c r="K298" s="13">
        <f>100*E298/E$7</f>
        <v/>
      </c>
      <c r="L298" s="13">
        <f>100*F298/F$7</f>
        <v/>
      </c>
      <c r="M298" s="13">
        <f>100*G298/G$7</f>
        <v/>
      </c>
    </row>
    <row r="299">
      <c r="A299" s="11" t="n">
        <v>45336</v>
      </c>
      <c r="B299" s="12" t="n">
        <v>444.145874</v>
      </c>
      <c r="C299" s="12" t="n">
        <v>62.278164</v>
      </c>
      <c r="D299" s="12" t="n">
        <v>42.879128</v>
      </c>
      <c r="E299" s="12" t="n">
        <v>61.008133</v>
      </c>
      <c r="F299" s="12" t="n">
        <v>14.374543</v>
      </c>
      <c r="G299" s="12" t="n">
        <v>59.101383</v>
      </c>
      <c r="H299" s="13">
        <f>100*B299/B$7</f>
        <v/>
      </c>
      <c r="I299" s="13">
        <f>100*C299/C$7</f>
        <v/>
      </c>
      <c r="J299" s="13">
        <f>100*D299/D$7</f>
        <v/>
      </c>
      <c r="K299" s="13">
        <f>100*E299/E$7</f>
        <v/>
      </c>
      <c r="L299" s="13">
        <f>100*F299/F$7</f>
        <v/>
      </c>
      <c r="M299" s="13">
        <f>100*G299/G$7</f>
        <v/>
      </c>
    </row>
    <row r="300">
      <c r="A300" s="11" t="n">
        <v>45337</v>
      </c>
      <c r="B300" s="12" t="n">
        <v>447.150238</v>
      </c>
      <c r="C300" s="12" t="n">
        <v>62.873055</v>
      </c>
      <c r="D300" s="12" t="n">
        <v>42.943939</v>
      </c>
      <c r="E300" s="12" t="n">
        <v>60.931721</v>
      </c>
      <c r="F300" s="12" t="n">
        <v>14.455098</v>
      </c>
      <c r="G300" s="12" t="n">
        <v>59.317764</v>
      </c>
      <c r="H300" s="13">
        <f>100*B300/B$7</f>
        <v/>
      </c>
      <c r="I300" s="13">
        <f>100*C300/C$7</f>
        <v/>
      </c>
      <c r="J300" s="13">
        <f>100*D300/D$7</f>
        <v/>
      </c>
      <c r="K300" s="13">
        <f>100*E300/E$7</f>
        <v/>
      </c>
      <c r="L300" s="13">
        <f>100*F300/F$7</f>
        <v/>
      </c>
      <c r="M300" s="13">
        <f>100*G300/G$7</f>
        <v/>
      </c>
    </row>
    <row r="301">
      <c r="A301" s="11" t="n">
        <v>45338</v>
      </c>
      <c r="B301" s="12" t="n">
        <v>444.863098</v>
      </c>
      <c r="C301" s="12" t="n">
        <v>62.863766</v>
      </c>
      <c r="D301" s="12" t="n">
        <v>42.675423</v>
      </c>
      <c r="E301" s="12" t="n">
        <v>61.313797</v>
      </c>
      <c r="F301" s="12" t="n">
        <v>14.616208</v>
      </c>
      <c r="G301" s="12" t="n">
        <v>60.230347</v>
      </c>
      <c r="H301" s="13">
        <f>100*B301/B$7</f>
        <v/>
      </c>
      <c r="I301" s="13">
        <f>100*C301/C$7</f>
        <v/>
      </c>
      <c r="J301" s="13">
        <f>100*D301/D$7</f>
        <v/>
      </c>
      <c r="K301" s="13">
        <f>100*E301/E$7</f>
        <v/>
      </c>
      <c r="L301" s="13">
        <f>100*F301/F$7</f>
        <v/>
      </c>
      <c r="M301" s="13">
        <f>100*G301/G$7</f>
        <v/>
      </c>
    </row>
    <row r="302">
      <c r="A302" s="11" t="n">
        <v>45341</v>
      </c>
      <c r="B302" s="12" t="n">
        <v>444.863098</v>
      </c>
      <c r="C302" s="12" t="n">
        <v>62.863766</v>
      </c>
      <c r="D302" s="12" t="n">
        <v>42.675423</v>
      </c>
      <c r="E302" s="12" t="n">
        <v>61.313797</v>
      </c>
      <c r="F302" s="12" t="n">
        <v>14.616208</v>
      </c>
      <c r="G302" s="12" t="n">
        <v>60.230347</v>
      </c>
      <c r="H302" s="13">
        <f>100*B302/B$7</f>
        <v/>
      </c>
      <c r="I302" s="13">
        <f>100*C302/C$7</f>
        <v/>
      </c>
      <c r="J302" s="13">
        <f>100*D302/D$7</f>
        <v/>
      </c>
      <c r="K302" s="13">
        <f>100*E302/E$7</f>
        <v/>
      </c>
      <c r="L302" s="13">
        <f>100*F302/F$7</f>
        <v/>
      </c>
      <c r="M302" s="13">
        <f>100*G302/G$7</f>
        <v/>
      </c>
    </row>
    <row r="303">
      <c r="A303" s="11" t="n">
        <v>45342</v>
      </c>
      <c r="B303" s="12" t="n">
        <v>442.420868</v>
      </c>
      <c r="C303" s="12" t="n">
        <v>63.142624</v>
      </c>
      <c r="D303" s="12" t="n">
        <v>42.990234</v>
      </c>
      <c r="E303" s="12" t="n">
        <v>61.418869</v>
      </c>
      <c r="F303" s="12" t="n">
        <v>14.48195</v>
      </c>
      <c r="G303" s="12" t="n">
        <v>59.844616</v>
      </c>
      <c r="H303" s="13">
        <f>100*B303/B$7</f>
        <v/>
      </c>
      <c r="I303" s="13">
        <f>100*C303/C$7</f>
        <v/>
      </c>
      <c r="J303" s="13">
        <f>100*D303/D$7</f>
        <v/>
      </c>
      <c r="K303" s="13">
        <f>100*E303/E$7</f>
        <v/>
      </c>
      <c r="L303" s="13">
        <f>100*F303/F$7</f>
        <v/>
      </c>
      <c r="M303" s="13">
        <f>100*G303/G$7</f>
        <v/>
      </c>
    </row>
    <row r="304">
      <c r="A304" s="11" t="n">
        <v>45343</v>
      </c>
      <c r="B304" s="12" t="n">
        <v>442.866608</v>
      </c>
      <c r="C304" s="12" t="n">
        <v>63.012489</v>
      </c>
      <c r="D304" s="12" t="n">
        <v>42.582832</v>
      </c>
      <c r="E304" s="12" t="n">
        <v>61.418869</v>
      </c>
      <c r="F304" s="12" t="n">
        <v>14.875774</v>
      </c>
      <c r="G304" s="12" t="n">
        <v>60.870094</v>
      </c>
      <c r="H304" s="13">
        <f>100*B304/B$7</f>
        <v/>
      </c>
      <c r="I304" s="13">
        <f>100*C304/C$7</f>
        <v/>
      </c>
      <c r="J304" s="13">
        <f>100*D304/D$7</f>
        <v/>
      </c>
      <c r="K304" s="13">
        <f>100*E304/E$7</f>
        <v/>
      </c>
      <c r="L304" s="13">
        <f>100*F304/F$7</f>
        <v/>
      </c>
      <c r="M304" s="13">
        <f>100*G304/G$7</f>
        <v/>
      </c>
    </row>
    <row r="305">
      <c r="A305" s="11" t="n">
        <v>45344</v>
      </c>
      <c r="B305" s="12" t="n">
        <v>452.17038</v>
      </c>
      <c r="C305" s="12" t="n">
        <v>64.04426599999999</v>
      </c>
      <c r="D305" s="12" t="n">
        <v>43.221714</v>
      </c>
      <c r="E305" s="12" t="n">
        <v>62.211674</v>
      </c>
      <c r="F305" s="12" t="n">
        <v>14.911575</v>
      </c>
      <c r="G305" s="12" t="n">
        <v>61.735634</v>
      </c>
      <c r="H305" s="13">
        <f>100*B305/B$7</f>
        <v/>
      </c>
      <c r="I305" s="13">
        <f>100*C305/C$7</f>
        <v/>
      </c>
      <c r="J305" s="13">
        <f>100*D305/D$7</f>
        <v/>
      </c>
      <c r="K305" s="13">
        <f>100*E305/E$7</f>
        <v/>
      </c>
      <c r="L305" s="13">
        <f>100*F305/F$7</f>
        <v/>
      </c>
      <c r="M305" s="13">
        <f>100*G305/G$7</f>
        <v/>
      </c>
    </row>
    <row r="306">
      <c r="A306" s="11" t="n">
        <v>45345</v>
      </c>
      <c r="B306" s="12" t="n">
        <v>452.373901</v>
      </c>
      <c r="C306" s="12" t="n">
        <v>64.146523</v>
      </c>
      <c r="D306" s="12" t="n">
        <v>42.971718</v>
      </c>
      <c r="E306" s="12" t="n">
        <v>62.240334</v>
      </c>
      <c r="F306" s="12" t="n">
        <v>14.866824</v>
      </c>
      <c r="G306" s="12" t="n">
        <v>61.961433</v>
      </c>
      <c r="H306" s="13">
        <f>100*B306/B$7</f>
        <v/>
      </c>
      <c r="I306" s="13">
        <f>100*C306/C$7</f>
        <v/>
      </c>
      <c r="J306" s="13">
        <f>100*D306/D$7</f>
        <v/>
      </c>
      <c r="K306" s="13">
        <f>100*E306/E$7</f>
        <v/>
      </c>
      <c r="L306" s="13">
        <f>100*F306/F$7</f>
        <v/>
      </c>
      <c r="M306" s="13">
        <f>100*G306/G$7</f>
        <v/>
      </c>
    </row>
    <row r="307">
      <c r="A307" s="11" t="n">
        <v>45348</v>
      </c>
      <c r="B307" s="12" t="n">
        <v>450.716644</v>
      </c>
      <c r="C307" s="12" t="n">
        <v>64.137207</v>
      </c>
      <c r="D307" s="12" t="n">
        <v>42.962456</v>
      </c>
      <c r="E307" s="12" t="n">
        <v>61.323345</v>
      </c>
      <c r="F307" s="12" t="n">
        <v>14.795218</v>
      </c>
      <c r="G307" s="12" t="n">
        <v>61.585106</v>
      </c>
      <c r="H307" s="13">
        <f>100*B307/B$7</f>
        <v/>
      </c>
      <c r="I307" s="13">
        <f>100*C307/C$7</f>
        <v/>
      </c>
      <c r="J307" s="13">
        <f>100*D307/D$7</f>
        <v/>
      </c>
      <c r="K307" s="13">
        <f>100*E307/E$7</f>
        <v/>
      </c>
      <c r="L307" s="13">
        <f>100*F307/F$7</f>
        <v/>
      </c>
      <c r="M307" s="13">
        <f>100*G307/G$7</f>
        <v/>
      </c>
    </row>
    <row r="308">
      <c r="A308" s="11" t="n">
        <v>45349</v>
      </c>
      <c r="B308" s="12" t="n">
        <v>451.550171</v>
      </c>
      <c r="C308" s="12" t="n">
        <v>64.304543</v>
      </c>
      <c r="D308" s="12" t="n">
        <v>42.721722</v>
      </c>
      <c r="E308" s="12" t="n">
        <v>60.769333</v>
      </c>
      <c r="F308" s="12" t="n">
        <v>14.795218</v>
      </c>
      <c r="G308" s="12" t="n">
        <v>62.478882</v>
      </c>
      <c r="H308" s="13">
        <f>100*B308/B$7</f>
        <v/>
      </c>
      <c r="I308" s="13">
        <f>100*C308/C$7</f>
        <v/>
      </c>
      <c r="J308" s="13">
        <f>100*D308/D$7</f>
        <v/>
      </c>
      <c r="K308" s="13">
        <f>100*E308/E$7</f>
        <v/>
      </c>
      <c r="L308" s="13">
        <f>100*F308/F$7</f>
        <v/>
      </c>
      <c r="M308" s="13">
        <f>100*G308/G$7</f>
        <v/>
      </c>
    </row>
    <row r="309">
      <c r="A309" s="11" t="n">
        <v>45350</v>
      </c>
      <c r="B309" s="12" t="n">
        <v>450.852264</v>
      </c>
      <c r="C309" s="12" t="n">
        <v>63.830463</v>
      </c>
      <c r="D309" s="12" t="n">
        <v>42.462463</v>
      </c>
      <c r="E309" s="12" t="n">
        <v>61.275589</v>
      </c>
      <c r="F309" s="12" t="n">
        <v>14.607257</v>
      </c>
      <c r="G309" s="12" t="n">
        <v>60.625484</v>
      </c>
      <c r="H309" s="13">
        <f>100*B309/B$7</f>
        <v/>
      </c>
      <c r="I309" s="13">
        <f>100*C309/C$7</f>
        <v/>
      </c>
      <c r="J309" s="13">
        <f>100*D309/D$7</f>
        <v/>
      </c>
      <c r="K309" s="13">
        <f>100*E309/E$7</f>
        <v/>
      </c>
      <c r="L309" s="13">
        <f>100*F309/F$7</f>
        <v/>
      </c>
      <c r="M309" s="13">
        <f>100*G309/G$7</f>
        <v/>
      </c>
    </row>
    <row r="310">
      <c r="A310" s="11" t="n">
        <v>45351</v>
      </c>
      <c r="B310" s="12" t="n">
        <v>452.519226</v>
      </c>
      <c r="C310" s="12" t="n">
        <v>64.24876399999999</v>
      </c>
      <c r="D310" s="12" t="n">
        <v>42.897644</v>
      </c>
      <c r="E310" s="12" t="n">
        <v>61.237381</v>
      </c>
      <c r="F310" s="12" t="n">
        <v>14.616208</v>
      </c>
      <c r="G310" s="12" t="n">
        <v>61.048847</v>
      </c>
      <c r="H310" s="13">
        <f>100*B310/B$7</f>
        <v/>
      </c>
      <c r="I310" s="13">
        <f>100*C310/C$7</f>
        <v/>
      </c>
      <c r="J310" s="13">
        <f>100*D310/D$7</f>
        <v/>
      </c>
      <c r="K310" s="13">
        <f>100*E310/E$7</f>
        <v/>
      </c>
      <c r="L310" s="13">
        <f>100*F310/F$7</f>
        <v/>
      </c>
      <c r="M310" s="13">
        <f>100*G310/G$7</f>
        <v/>
      </c>
    </row>
    <row r="311">
      <c r="A311" s="11" t="n">
        <v>45352</v>
      </c>
      <c r="B311" s="12" t="n">
        <v>456.880371</v>
      </c>
      <c r="C311" s="12" t="n">
        <v>65.373482</v>
      </c>
      <c r="D311" s="12" t="n">
        <v>43.388378</v>
      </c>
      <c r="E311" s="12" t="n">
        <v>62.020641</v>
      </c>
      <c r="F311" s="12" t="n">
        <v>14.553554</v>
      </c>
      <c r="G311" s="12" t="n">
        <v>61.97084</v>
      </c>
      <c r="H311" s="13">
        <f>100*B311/B$7</f>
        <v/>
      </c>
      <c r="I311" s="13">
        <f>100*C311/C$7</f>
        <v/>
      </c>
      <c r="J311" s="13">
        <f>100*D311/D$7</f>
        <v/>
      </c>
      <c r="K311" s="13">
        <f>100*E311/E$7</f>
        <v/>
      </c>
      <c r="L311" s="13">
        <f>100*F311/F$7</f>
        <v/>
      </c>
      <c r="M311" s="13">
        <f>100*G311/G$7</f>
        <v/>
      </c>
    </row>
    <row r="312">
      <c r="A312" s="11" t="n">
        <v>45355</v>
      </c>
      <c r="B312" s="12" t="n">
        <v>456.337585</v>
      </c>
      <c r="C312" s="12" t="n">
        <v>64.992378</v>
      </c>
      <c r="D312" s="12" t="n">
        <v>43.77726</v>
      </c>
      <c r="E312" s="12" t="n">
        <v>62.66061</v>
      </c>
      <c r="F312" s="12" t="n">
        <v>14.526702</v>
      </c>
      <c r="G312" s="12" t="n">
        <v>61.020626</v>
      </c>
      <c r="H312" s="13">
        <f>100*B312/B$7</f>
        <v/>
      </c>
      <c r="I312" s="13">
        <f>100*C312/C$7</f>
        <v/>
      </c>
      <c r="J312" s="13">
        <f>100*D312/D$7</f>
        <v/>
      </c>
      <c r="K312" s="13">
        <f>100*E312/E$7</f>
        <v/>
      </c>
      <c r="L312" s="13">
        <f>100*F312/F$7</f>
        <v/>
      </c>
      <c r="M312" s="13">
        <f>100*G312/G$7</f>
        <v/>
      </c>
    </row>
    <row r="313">
      <c r="A313" s="11" t="n">
        <v>45356</v>
      </c>
      <c r="B313" s="12" t="n">
        <v>451.763306</v>
      </c>
      <c r="C313" s="12" t="n">
        <v>65.345612</v>
      </c>
      <c r="D313" s="12" t="n">
        <v>43.490231</v>
      </c>
      <c r="E313" s="12" t="n">
        <v>61.428413</v>
      </c>
      <c r="F313" s="12" t="n">
        <v>14.240287</v>
      </c>
      <c r="G313" s="12" t="n">
        <v>60.362064</v>
      </c>
      <c r="H313" s="13">
        <f>100*B313/B$7</f>
        <v/>
      </c>
      <c r="I313" s="13">
        <f>100*C313/C$7</f>
        <v/>
      </c>
      <c r="J313" s="13">
        <f>100*D313/D$7</f>
        <v/>
      </c>
      <c r="K313" s="13">
        <f>100*E313/E$7</f>
        <v/>
      </c>
      <c r="L313" s="13">
        <f>100*F313/F$7</f>
        <v/>
      </c>
      <c r="M313" s="13">
        <f>100*G313/G$7</f>
        <v/>
      </c>
    </row>
    <row r="314">
      <c r="A314" s="11" t="n">
        <v>45357</v>
      </c>
      <c r="B314" s="12" t="n">
        <v>454.157074</v>
      </c>
      <c r="C314" s="12" t="n">
        <v>66.34019499999999</v>
      </c>
      <c r="D314" s="12" t="n">
        <v>44.499477</v>
      </c>
      <c r="E314" s="12" t="n">
        <v>62.163918</v>
      </c>
      <c r="F314" s="12" t="n">
        <v>14.392445</v>
      </c>
      <c r="G314" s="12" t="n">
        <v>61.208782</v>
      </c>
      <c r="H314" s="13">
        <f>100*B314/B$7</f>
        <v/>
      </c>
      <c r="I314" s="13">
        <f>100*C314/C$7</f>
        <v/>
      </c>
      <c r="J314" s="13">
        <f>100*D314/D$7</f>
        <v/>
      </c>
      <c r="K314" s="13">
        <f>100*E314/E$7</f>
        <v/>
      </c>
      <c r="L314" s="13">
        <f>100*F314/F$7</f>
        <v/>
      </c>
      <c r="M314" s="13">
        <f>100*G314/G$7</f>
        <v/>
      </c>
    </row>
    <row r="315">
      <c r="A315" s="11" t="n">
        <v>45358</v>
      </c>
      <c r="B315" s="12" t="n">
        <v>458.6539</v>
      </c>
      <c r="C315" s="12" t="n">
        <v>66.312302</v>
      </c>
      <c r="D315" s="12" t="n">
        <v>45.166134</v>
      </c>
      <c r="E315" s="12" t="n">
        <v>62.928066</v>
      </c>
      <c r="F315" s="12" t="n">
        <v>14.437197</v>
      </c>
      <c r="G315" s="12" t="n">
        <v>60.832474</v>
      </c>
      <c r="H315" s="13">
        <f>100*B315/B$7</f>
        <v/>
      </c>
      <c r="I315" s="13">
        <f>100*C315/C$7</f>
        <v/>
      </c>
      <c r="J315" s="13">
        <f>100*D315/D$7</f>
        <v/>
      </c>
      <c r="K315" s="13">
        <f>100*E315/E$7</f>
        <v/>
      </c>
      <c r="L315" s="13">
        <f>100*F315/F$7</f>
        <v/>
      </c>
      <c r="M315" s="13">
        <f>100*G315/G$7</f>
        <v/>
      </c>
    </row>
    <row r="316">
      <c r="A316" s="11" t="n">
        <v>45359</v>
      </c>
      <c r="B316" s="12" t="n">
        <v>455.872498</v>
      </c>
      <c r="C316" s="12" t="n">
        <v>66.16358200000001</v>
      </c>
      <c r="D316" s="12" t="n">
        <v>44.869843</v>
      </c>
      <c r="E316" s="12" t="n">
        <v>63.300594</v>
      </c>
      <c r="F316" s="12" t="n">
        <v>14.4909</v>
      </c>
      <c r="G316" s="12" t="n">
        <v>61.067669</v>
      </c>
      <c r="H316" s="13">
        <f>100*B316/B$7</f>
        <v/>
      </c>
      <c r="I316" s="13">
        <f>100*C316/C$7</f>
        <v/>
      </c>
      <c r="J316" s="13">
        <f>100*D316/D$7</f>
        <v/>
      </c>
      <c r="K316" s="13">
        <f>100*E316/E$7</f>
        <v/>
      </c>
      <c r="L316" s="13">
        <f>100*F316/F$7</f>
        <v/>
      </c>
      <c r="M316" s="13">
        <f>100*G316/G$7</f>
        <v/>
      </c>
    </row>
    <row r="317">
      <c r="A317" s="11" t="n">
        <v>45362</v>
      </c>
      <c r="B317" s="12" t="n">
        <v>455.494476</v>
      </c>
      <c r="C317" s="12" t="n">
        <v>64.694931</v>
      </c>
      <c r="D317" s="12" t="n">
        <v>44.758732</v>
      </c>
      <c r="E317" s="12" t="n">
        <v>63.26239</v>
      </c>
      <c r="F317" s="12" t="n">
        <v>14.768367</v>
      </c>
      <c r="G317" s="12" t="n">
        <v>62.431835</v>
      </c>
      <c r="H317" s="13">
        <f>100*B317/B$7</f>
        <v/>
      </c>
      <c r="I317" s="13">
        <f>100*C317/C$7</f>
        <v/>
      </c>
      <c r="J317" s="13">
        <f>100*D317/D$7</f>
        <v/>
      </c>
      <c r="K317" s="13">
        <f>100*E317/E$7</f>
        <v/>
      </c>
      <c r="L317" s="13">
        <f>100*F317/F$7</f>
        <v/>
      </c>
      <c r="M317" s="13">
        <f>100*G317/G$7</f>
        <v/>
      </c>
    </row>
    <row r="318">
      <c r="A318" s="11" t="n">
        <v>45363</v>
      </c>
      <c r="B318" s="12" t="n">
        <v>460.369293</v>
      </c>
      <c r="C318" s="12" t="n">
        <v>65.048157</v>
      </c>
      <c r="D318" s="12" t="n">
        <v>45.471687</v>
      </c>
      <c r="E318" s="12" t="n">
        <v>64.20803100000001</v>
      </c>
      <c r="F318" s="12" t="n">
        <v>15.027932</v>
      </c>
      <c r="G318" s="12" t="n">
        <v>63.438492</v>
      </c>
      <c r="H318" s="13">
        <f>100*B318/B$7</f>
        <v/>
      </c>
      <c r="I318" s="13">
        <f>100*C318/C$7</f>
        <v/>
      </c>
      <c r="J318" s="13">
        <f>100*D318/D$7</f>
        <v/>
      </c>
      <c r="K318" s="13">
        <f>100*E318/E$7</f>
        <v/>
      </c>
      <c r="L318" s="13">
        <f>100*F318/F$7</f>
        <v/>
      </c>
      <c r="M318" s="13">
        <f>100*G318/G$7</f>
        <v/>
      </c>
    </row>
    <row r="319">
      <c r="A319" s="11" t="n">
        <v>45364</v>
      </c>
      <c r="B319" s="12" t="n">
        <v>459.671478</v>
      </c>
      <c r="C319" s="12" t="n">
        <v>64.48114</v>
      </c>
      <c r="D319" s="12" t="n">
        <v>45.119839</v>
      </c>
      <c r="E319" s="12" t="n">
        <v>64.08384700000001</v>
      </c>
      <c r="F319" s="12" t="n">
        <v>15.072683</v>
      </c>
      <c r="G319" s="12" t="n">
        <v>63.607845</v>
      </c>
      <c r="H319" s="13">
        <f>100*B319/B$7</f>
        <v/>
      </c>
      <c r="I319" s="13">
        <f>100*C319/C$7</f>
        <v/>
      </c>
      <c r="J319" s="13">
        <f>100*D319/D$7</f>
        <v/>
      </c>
      <c r="K319" s="13">
        <f>100*E319/E$7</f>
        <v/>
      </c>
      <c r="L319" s="13">
        <f>100*F319/F$7</f>
        <v/>
      </c>
      <c r="M319" s="13">
        <f>100*G319/G$7</f>
        <v/>
      </c>
    </row>
    <row r="320">
      <c r="A320" s="11" t="n">
        <v>45365</v>
      </c>
      <c r="B320" s="12" t="n">
        <v>458.663574</v>
      </c>
      <c r="C320" s="12" t="n">
        <v>64.192986</v>
      </c>
      <c r="D320" s="12" t="n">
        <v>44.897621</v>
      </c>
      <c r="E320" s="12" t="n">
        <v>64.045647</v>
      </c>
      <c r="F320" s="12" t="n">
        <v>14.795218</v>
      </c>
      <c r="G320" s="12" t="n">
        <v>62.742302</v>
      </c>
      <c r="H320" s="13">
        <f>100*B320/B$7</f>
        <v/>
      </c>
      <c r="I320" s="13">
        <f>100*C320/C$7</f>
        <v/>
      </c>
      <c r="J320" s="13">
        <f>100*D320/D$7</f>
        <v/>
      </c>
      <c r="K320" s="13">
        <f>100*E320/E$7</f>
        <v/>
      </c>
      <c r="L320" s="13">
        <f>100*F320/F$7</f>
        <v/>
      </c>
      <c r="M320" s="13">
        <f>100*G320/G$7</f>
        <v/>
      </c>
    </row>
    <row r="321">
      <c r="A321" s="11" t="n">
        <v>45366</v>
      </c>
      <c r="B321" s="12" t="n">
        <v>455.504211</v>
      </c>
      <c r="C321" s="12" t="n">
        <v>64.667046</v>
      </c>
      <c r="D321" s="12" t="n">
        <v>44.740215</v>
      </c>
      <c r="E321" s="12" t="n">
        <v>62.651062</v>
      </c>
      <c r="F321" s="12" t="n">
        <v>14.66991</v>
      </c>
      <c r="G321" s="12" t="n">
        <v>62.657627</v>
      </c>
      <c r="H321" s="13">
        <f>100*B321/B$7</f>
        <v/>
      </c>
      <c r="I321" s="13">
        <f>100*C321/C$7</f>
        <v/>
      </c>
      <c r="J321" s="13">
        <f>100*D321/D$7</f>
        <v/>
      </c>
      <c r="K321" s="13">
        <f>100*E321/E$7</f>
        <v/>
      </c>
      <c r="L321" s="13">
        <f>100*F321/F$7</f>
        <v/>
      </c>
      <c r="M321" s="13">
        <f>100*G321/G$7</f>
        <v/>
      </c>
    </row>
    <row r="322">
      <c r="A322" s="11" t="n">
        <v>45369</v>
      </c>
      <c r="B322" s="12" t="n">
        <v>458.353424</v>
      </c>
      <c r="C322" s="12" t="n">
        <v>65.670929</v>
      </c>
      <c r="D322" s="12" t="n">
        <v>44.795773</v>
      </c>
      <c r="E322" s="12" t="n">
        <v>62.813454</v>
      </c>
      <c r="F322" s="12" t="n">
        <v>14.455098</v>
      </c>
      <c r="G322" s="12" t="n">
        <v>63.109211</v>
      </c>
      <c r="H322" s="13">
        <f>100*B322/B$7</f>
        <v/>
      </c>
      <c r="I322" s="13">
        <f>100*C322/C$7</f>
        <v/>
      </c>
      <c r="J322" s="13">
        <f>100*D322/D$7</f>
        <v/>
      </c>
      <c r="K322" s="13">
        <f>100*E322/E$7</f>
        <v/>
      </c>
      <c r="L322" s="13">
        <f>100*F322/F$7</f>
        <v/>
      </c>
      <c r="M322" s="13">
        <f>100*G322/G$7</f>
        <v/>
      </c>
    </row>
    <row r="323">
      <c r="A323" s="11" t="n">
        <v>45370</v>
      </c>
      <c r="B323" s="12" t="n">
        <v>460.921692</v>
      </c>
      <c r="C323" s="12" t="n">
        <v>65.92190600000001</v>
      </c>
      <c r="D323" s="12" t="n">
        <v>44.693916</v>
      </c>
      <c r="E323" s="12" t="n">
        <v>62.354954</v>
      </c>
      <c r="F323" s="12" t="n">
        <v>14.383494</v>
      </c>
      <c r="G323" s="12" t="n">
        <v>62.723476</v>
      </c>
      <c r="H323" s="13">
        <f>100*B323/B$7</f>
        <v/>
      </c>
      <c r="I323" s="13">
        <f>100*C323/C$7</f>
        <v/>
      </c>
      <c r="J323" s="13">
        <f>100*D323/D$7</f>
        <v/>
      </c>
      <c r="K323" s="13">
        <f>100*E323/E$7</f>
        <v/>
      </c>
      <c r="L323" s="13">
        <f>100*F323/F$7</f>
        <v/>
      </c>
      <c r="M323" s="13">
        <f>100*G323/G$7</f>
        <v/>
      </c>
    </row>
    <row r="324">
      <c r="A324" s="11" t="n">
        <v>45371</v>
      </c>
      <c r="B324" s="12" t="n">
        <v>464.943604</v>
      </c>
      <c r="C324" s="12" t="n">
        <v>66.433136</v>
      </c>
      <c r="D324" s="12" t="n">
        <v>44.869843</v>
      </c>
      <c r="E324" s="12" t="n">
        <v>63.835503</v>
      </c>
      <c r="F324" s="12" t="n">
        <v>14.356643</v>
      </c>
      <c r="G324" s="12" t="n">
        <v>63.344418</v>
      </c>
      <c r="H324" s="13">
        <f>100*B324/B$7</f>
        <v/>
      </c>
      <c r="I324" s="13">
        <f>100*C324/C$7</f>
        <v/>
      </c>
      <c r="J324" s="13">
        <f>100*D324/D$7</f>
        <v/>
      </c>
      <c r="K324" s="13">
        <f>100*E324/E$7</f>
        <v/>
      </c>
      <c r="L324" s="13">
        <f>100*F324/F$7</f>
        <v/>
      </c>
      <c r="M324" s="13">
        <f>100*G324/G$7</f>
        <v/>
      </c>
    </row>
    <row r="325">
      <c r="A325" s="11" t="n">
        <v>45372</v>
      </c>
      <c r="B325" s="12" t="n">
        <v>466.494232</v>
      </c>
      <c r="C325" s="12" t="n">
        <v>66.767769</v>
      </c>
      <c r="D325" s="12" t="n">
        <v>45.09206</v>
      </c>
      <c r="E325" s="12" t="n">
        <v>64.504143</v>
      </c>
      <c r="F325" s="12" t="n">
        <v>14.428247</v>
      </c>
      <c r="G325" s="12" t="n">
        <v>62.761112</v>
      </c>
      <c r="H325" s="13">
        <f>100*B325/B$7</f>
        <v/>
      </c>
      <c r="I325" s="13">
        <f>100*C325/C$7</f>
        <v/>
      </c>
      <c r="J325" s="13">
        <f>100*D325/D$7</f>
        <v/>
      </c>
      <c r="K325" s="13">
        <f>100*E325/E$7</f>
        <v/>
      </c>
      <c r="L325" s="13">
        <f>100*F325/F$7</f>
        <v/>
      </c>
      <c r="M325" s="13">
        <f>100*G325/G$7</f>
        <v/>
      </c>
    </row>
    <row r="326">
      <c r="A326" s="11" t="n">
        <v>45373</v>
      </c>
      <c r="B326" s="12" t="n">
        <v>465.884583</v>
      </c>
      <c r="C326" s="12" t="n">
        <v>66.758476</v>
      </c>
      <c r="D326" s="12" t="n">
        <v>45.073544</v>
      </c>
      <c r="E326" s="12" t="n">
        <v>64.045647</v>
      </c>
      <c r="F326" s="12" t="n">
        <v>14.195533</v>
      </c>
      <c r="G326" s="12" t="n">
        <v>61.792084</v>
      </c>
      <c r="H326" s="13">
        <f>100*B326/B$7</f>
        <v/>
      </c>
      <c r="I326" s="13">
        <f>100*C326/C$7</f>
        <v/>
      </c>
      <c r="J326" s="13">
        <f>100*D326/D$7</f>
        <v/>
      </c>
      <c r="K326" s="13">
        <f>100*E326/E$7</f>
        <v/>
      </c>
      <c r="L326" s="13">
        <f>100*F326/F$7</f>
        <v/>
      </c>
      <c r="M326" s="13">
        <f>100*G326/G$7</f>
        <v/>
      </c>
    </row>
    <row r="327">
      <c r="A327" s="11" t="n">
        <v>45376</v>
      </c>
      <c r="B327" s="12" t="n">
        <v>464.679016</v>
      </c>
      <c r="C327" s="12" t="n">
        <v>65.986969</v>
      </c>
      <c r="D327" s="12" t="n">
        <v>45.249466</v>
      </c>
      <c r="E327" s="12" t="n">
        <v>64.49458300000001</v>
      </c>
      <c r="F327" s="12" t="n">
        <v>14.097078</v>
      </c>
      <c r="G327" s="12" t="n">
        <v>61.641552</v>
      </c>
      <c r="H327" s="13">
        <f>100*B327/B$7</f>
        <v/>
      </c>
      <c r="I327" s="13">
        <f>100*C327/C$7</f>
        <v/>
      </c>
      <c r="J327" s="13">
        <f>100*D327/D$7</f>
        <v/>
      </c>
      <c r="K327" s="13">
        <f>100*E327/E$7</f>
        <v/>
      </c>
      <c r="L327" s="13">
        <f>100*F327/F$7</f>
        <v/>
      </c>
      <c r="M327" s="13">
        <f>100*G327/G$7</f>
        <v/>
      </c>
    </row>
    <row r="328">
      <c r="A328" s="11" t="n">
        <v>45377</v>
      </c>
      <c r="B328" s="12" t="n">
        <v>463.37616</v>
      </c>
      <c r="C328" s="12" t="n">
        <v>66.27512400000001</v>
      </c>
      <c r="D328" s="12" t="n">
        <v>44.869843</v>
      </c>
      <c r="E328" s="12" t="n">
        <v>64.37996699999999</v>
      </c>
      <c r="F328" s="12" t="n">
        <v>14.025473</v>
      </c>
      <c r="G328" s="12" t="n">
        <v>61.698002</v>
      </c>
      <c r="H328" s="13">
        <f>100*B328/B$7</f>
        <v/>
      </c>
      <c r="I328" s="13">
        <f>100*C328/C$7</f>
        <v/>
      </c>
      <c r="J328" s="13">
        <f>100*D328/D$7</f>
        <v/>
      </c>
      <c r="K328" s="13">
        <f>100*E328/E$7</f>
        <v/>
      </c>
      <c r="L328" s="13">
        <f>100*F328/F$7</f>
        <v/>
      </c>
      <c r="M328" s="13">
        <f>100*G328/G$7</f>
        <v/>
      </c>
    </row>
    <row r="329">
      <c r="A329" s="11" t="n">
        <v>45378</v>
      </c>
      <c r="B329" s="12" t="n">
        <v>467.420715</v>
      </c>
      <c r="C329" s="12" t="n">
        <v>66.563271</v>
      </c>
      <c r="D329" s="12" t="n">
        <v>44.990211</v>
      </c>
      <c r="E329" s="12" t="n">
        <v>64.284447</v>
      </c>
      <c r="F329" s="12" t="n">
        <v>14.007571</v>
      </c>
      <c r="G329" s="12" t="n">
        <v>61.453396</v>
      </c>
      <c r="H329" s="13">
        <f>100*B329/B$7</f>
        <v/>
      </c>
      <c r="I329" s="13">
        <f>100*C329/C$7</f>
        <v/>
      </c>
      <c r="J329" s="13">
        <f>100*D329/D$7</f>
        <v/>
      </c>
      <c r="K329" s="13">
        <f>100*E329/E$7</f>
        <v/>
      </c>
      <c r="L329" s="13">
        <f>100*F329/F$7</f>
        <v/>
      </c>
      <c r="M329" s="13">
        <f>100*G329/G$7</f>
        <v/>
      </c>
    </row>
    <row r="330">
      <c r="A330" s="11" t="n">
        <v>45379</v>
      </c>
      <c r="B330" s="12" t="n">
        <v>467.362427</v>
      </c>
      <c r="C330" s="12" t="n">
        <v>66.321594</v>
      </c>
      <c r="D330" s="12" t="n">
        <v>45.073544</v>
      </c>
      <c r="E330" s="12" t="n">
        <v>64.102959</v>
      </c>
      <c r="F330" s="12" t="n">
        <v>13.918067</v>
      </c>
      <c r="G330" s="12" t="n">
        <v>61.886169</v>
      </c>
      <c r="H330" s="13">
        <f>100*B330/B$7</f>
        <v/>
      </c>
      <c r="I330" s="13">
        <f>100*C330/C$7</f>
        <v/>
      </c>
      <c r="J330" s="13">
        <f>100*D330/D$7</f>
        <v/>
      </c>
      <c r="K330" s="13">
        <f>100*E330/E$7</f>
        <v/>
      </c>
      <c r="L330" s="13">
        <f>100*F330/F$7</f>
        <v/>
      </c>
      <c r="M330" s="13">
        <f>100*G330/G$7</f>
        <v/>
      </c>
    </row>
    <row r="331">
      <c r="A331" s="11" t="n">
        <v>45380</v>
      </c>
      <c r="B331" s="12" t="n">
        <v>467.362427</v>
      </c>
      <c r="C331" s="12" t="n">
        <v>66.321594</v>
      </c>
      <c r="D331" s="12" t="n">
        <v>45.073544</v>
      </c>
      <c r="E331" s="12" t="n">
        <v>64.102959</v>
      </c>
      <c r="F331" s="12" t="n">
        <v>13.918067</v>
      </c>
      <c r="G331" s="12" t="n">
        <v>61.886169</v>
      </c>
      <c r="H331" s="13">
        <f>100*B331/B$7</f>
        <v/>
      </c>
      <c r="I331" s="13">
        <f>100*C331/C$7</f>
        <v/>
      </c>
      <c r="J331" s="13">
        <f>100*D331/D$7</f>
        <v/>
      </c>
      <c r="K331" s="13">
        <f>100*E331/E$7</f>
        <v/>
      </c>
      <c r="L331" s="13">
        <f>100*F331/F$7</f>
        <v/>
      </c>
      <c r="M331" s="13">
        <f>100*G331/G$7</f>
        <v/>
      </c>
    </row>
    <row r="332">
      <c r="A332" s="11" t="n">
        <v>45383</v>
      </c>
      <c r="B332" s="12" t="n">
        <v>466.749878</v>
      </c>
      <c r="C332" s="12" t="n">
        <v>65.327003</v>
      </c>
      <c r="D332" s="12" t="n">
        <v>45.203171</v>
      </c>
      <c r="E332" s="12" t="n">
        <v>63.615803</v>
      </c>
      <c r="F332" s="12" t="n">
        <v>14.007571</v>
      </c>
      <c r="G332" s="12" t="n">
        <v>62.94928</v>
      </c>
      <c r="H332" s="13">
        <f>100*B332/B$7</f>
        <v/>
      </c>
      <c r="I332" s="13">
        <f>100*C332/C$7</f>
        <v/>
      </c>
      <c r="J332" s="13">
        <f>100*D332/D$7</f>
        <v/>
      </c>
      <c r="K332" s="13">
        <f>100*E332/E$7</f>
        <v/>
      </c>
      <c r="L332" s="13">
        <f>100*F332/F$7</f>
        <v/>
      </c>
      <c r="M332" s="13">
        <f>100*G332/G$7</f>
        <v/>
      </c>
    </row>
    <row r="333">
      <c r="A333" s="11" t="n">
        <v>45384</v>
      </c>
      <c r="B333" s="12" t="n">
        <v>463.696991</v>
      </c>
      <c r="C333" s="12" t="n">
        <v>64.992378</v>
      </c>
      <c r="D333" s="12" t="n">
        <v>45.342056</v>
      </c>
      <c r="E333" s="12" t="n">
        <v>63.682671</v>
      </c>
      <c r="F333" s="12" t="n">
        <v>14.150781</v>
      </c>
      <c r="G333" s="12" t="n">
        <v>62.996311</v>
      </c>
      <c r="H333" s="13">
        <f>100*B333/B$7</f>
        <v/>
      </c>
      <c r="I333" s="13">
        <f>100*C333/C$7</f>
        <v/>
      </c>
      <c r="J333" s="13">
        <f>100*D333/D$7</f>
        <v/>
      </c>
      <c r="K333" s="13">
        <f>100*E333/E$7</f>
        <v/>
      </c>
      <c r="L333" s="13">
        <f>100*F333/F$7</f>
        <v/>
      </c>
      <c r="M333" s="13">
        <f>100*G333/G$7</f>
        <v/>
      </c>
    </row>
    <row r="334">
      <c r="A334" s="11" t="n">
        <v>45385</v>
      </c>
      <c r="B334" s="12" t="n">
        <v>464.115082</v>
      </c>
      <c r="C334" s="12" t="n">
        <v>65.438553</v>
      </c>
      <c r="D334" s="12" t="n">
        <v>45.379093</v>
      </c>
      <c r="E334" s="12" t="n">
        <v>63.520287</v>
      </c>
      <c r="F334" s="12" t="n">
        <v>13.998621</v>
      </c>
      <c r="G334" s="12" t="n">
        <v>62.911648</v>
      </c>
      <c r="H334" s="13">
        <f>100*B334/B$7</f>
        <v/>
      </c>
      <c r="I334" s="13">
        <f>100*C334/C$7</f>
        <v/>
      </c>
      <c r="J334" s="13">
        <f>100*D334/D$7</f>
        <v/>
      </c>
      <c r="K334" s="13">
        <f>100*E334/E$7</f>
        <v/>
      </c>
      <c r="L334" s="13">
        <f>100*F334/F$7</f>
        <v/>
      </c>
      <c r="M334" s="13">
        <f>100*G334/G$7</f>
        <v/>
      </c>
    </row>
    <row r="335">
      <c r="A335" s="11" t="n">
        <v>45386</v>
      </c>
      <c r="B335" s="12" t="n">
        <v>458.398254</v>
      </c>
      <c r="C335" s="12" t="n">
        <v>64.759995</v>
      </c>
      <c r="D335" s="12" t="n">
        <v>44.990211</v>
      </c>
      <c r="E335" s="12" t="n">
        <v>63.147762</v>
      </c>
      <c r="F335" s="12" t="n">
        <v>13.900166</v>
      </c>
      <c r="G335" s="12" t="n">
        <v>62.657627</v>
      </c>
      <c r="H335" s="13">
        <f>100*B335/B$7</f>
        <v/>
      </c>
      <c r="I335" s="13">
        <f>100*C335/C$7</f>
        <v/>
      </c>
      <c r="J335" s="13">
        <f>100*D335/D$7</f>
        <v/>
      </c>
      <c r="K335" s="13">
        <f>100*E335/E$7</f>
        <v/>
      </c>
      <c r="L335" s="13">
        <f>100*F335/F$7</f>
        <v/>
      </c>
      <c r="M335" s="13">
        <f>100*G335/G$7</f>
        <v/>
      </c>
    </row>
    <row r="336">
      <c r="A336" s="11" t="n">
        <v>45387</v>
      </c>
      <c r="B336" s="12" t="n">
        <v>463.269165</v>
      </c>
      <c r="C336" s="12" t="n">
        <v>64.94589999999999</v>
      </c>
      <c r="D336" s="12" t="n">
        <v>45.017986</v>
      </c>
      <c r="E336" s="12" t="n">
        <v>63.13821</v>
      </c>
      <c r="F336" s="12" t="n">
        <v>13.98072</v>
      </c>
      <c r="G336" s="12" t="n">
        <v>62.21545</v>
      </c>
      <c r="H336" s="13">
        <f>100*B336/B$7</f>
        <v/>
      </c>
      <c r="I336" s="13">
        <f>100*C336/C$7</f>
        <v/>
      </c>
      <c r="J336" s="13">
        <f>100*D336/D$7</f>
        <v/>
      </c>
      <c r="K336" s="13">
        <f>100*E336/E$7</f>
        <v/>
      </c>
      <c r="L336" s="13">
        <f>100*F336/F$7</f>
        <v/>
      </c>
      <c r="M336" s="13">
        <f>100*G336/G$7</f>
        <v/>
      </c>
    </row>
    <row r="337">
      <c r="A337" s="11" t="n">
        <v>45390</v>
      </c>
      <c r="B337" s="12" t="n">
        <v>463.453949</v>
      </c>
      <c r="C337" s="12" t="n">
        <v>65.271248</v>
      </c>
      <c r="D337" s="12" t="n">
        <v>45.342056</v>
      </c>
      <c r="E337" s="12" t="n">
        <v>63.271935</v>
      </c>
      <c r="F337" s="12" t="n">
        <v>13.953869</v>
      </c>
      <c r="G337" s="12" t="n">
        <v>62.41301</v>
      </c>
      <c r="H337" s="13">
        <f>100*B337/B$7</f>
        <v/>
      </c>
      <c r="I337" s="13">
        <f>100*C337/C$7</f>
        <v/>
      </c>
      <c r="J337" s="13">
        <f>100*D337/D$7</f>
        <v/>
      </c>
      <c r="K337" s="13">
        <f>100*E337/E$7</f>
        <v/>
      </c>
      <c r="L337" s="13">
        <f>100*F337/F$7</f>
        <v/>
      </c>
      <c r="M337" s="13">
        <f>100*G337/G$7</f>
        <v/>
      </c>
    </row>
    <row r="338">
      <c r="A338" s="11" t="n">
        <v>45391</v>
      </c>
      <c r="B338" s="12" t="n">
        <v>464.027527</v>
      </c>
      <c r="C338" s="12" t="n">
        <v>65.51290899999999</v>
      </c>
      <c r="D338" s="12" t="n">
        <v>46.110569</v>
      </c>
      <c r="E338" s="12" t="n">
        <v>62.918522</v>
      </c>
      <c r="F338" s="12" t="n">
        <v>14.106029</v>
      </c>
      <c r="G338" s="12" t="n">
        <v>62.94928</v>
      </c>
      <c r="H338" s="13">
        <f>100*B338/B$7</f>
        <v/>
      </c>
      <c r="I338" s="13">
        <f>100*C338/C$7</f>
        <v/>
      </c>
      <c r="J338" s="13">
        <f>100*D338/D$7</f>
        <v/>
      </c>
      <c r="K338" s="13">
        <f>100*E338/E$7</f>
        <v/>
      </c>
      <c r="L338" s="13">
        <f>100*F338/F$7</f>
        <v/>
      </c>
      <c r="M338" s="13">
        <f>100*G338/G$7</f>
        <v/>
      </c>
    </row>
    <row r="339">
      <c r="A339" s="11" t="n">
        <v>45392</v>
      </c>
      <c r="B339" s="12" t="n">
        <v>459.535797</v>
      </c>
      <c r="C339" s="12" t="n">
        <v>64.49044000000001</v>
      </c>
      <c r="D339" s="12" t="n">
        <v>45.610573</v>
      </c>
      <c r="E339" s="12" t="n">
        <v>60.511433</v>
      </c>
      <c r="F339" s="12" t="n">
        <v>13.944918</v>
      </c>
      <c r="G339" s="12" t="n">
        <v>62.422428</v>
      </c>
      <c r="H339" s="13">
        <f>100*B339/B$7</f>
        <v/>
      </c>
      <c r="I339" s="13">
        <f>100*C339/C$7</f>
        <v/>
      </c>
      <c r="J339" s="13">
        <f>100*D339/D$7</f>
        <v/>
      </c>
      <c r="K339" s="13">
        <f>100*E339/E$7</f>
        <v/>
      </c>
      <c r="L339" s="13">
        <f>100*F339/F$7</f>
        <v/>
      </c>
      <c r="M339" s="13">
        <f>100*G339/G$7</f>
        <v/>
      </c>
    </row>
    <row r="340">
      <c r="A340" s="11" t="n">
        <v>45393</v>
      </c>
      <c r="B340" s="12" t="n">
        <v>462.851166</v>
      </c>
      <c r="C340" s="12" t="n">
        <v>65.05744199999999</v>
      </c>
      <c r="D340" s="12" t="n">
        <v>45.66613</v>
      </c>
      <c r="E340" s="12" t="n">
        <v>62.011086</v>
      </c>
      <c r="F340" s="12" t="n">
        <v>14.034425</v>
      </c>
      <c r="G340" s="12" t="n">
        <v>62.845791</v>
      </c>
      <c r="H340" s="13">
        <f>100*B340/B$7</f>
        <v/>
      </c>
      <c r="I340" s="13">
        <f>100*C340/C$7</f>
        <v/>
      </c>
      <c r="J340" s="13">
        <f>100*D340/D$7</f>
        <v/>
      </c>
      <c r="K340" s="13">
        <f>100*E340/E$7</f>
        <v/>
      </c>
      <c r="L340" s="13">
        <f>100*F340/F$7</f>
        <v/>
      </c>
      <c r="M340" s="13">
        <f>100*G340/G$7</f>
        <v/>
      </c>
    </row>
    <row r="341">
      <c r="A341" s="11" t="n">
        <v>45394</v>
      </c>
      <c r="B341" s="12" t="n">
        <v>456.54126</v>
      </c>
      <c r="C341" s="12" t="n">
        <v>64.192986</v>
      </c>
      <c r="D341" s="12" t="n">
        <v>44.786507</v>
      </c>
      <c r="E341" s="12" t="n">
        <v>59.804592</v>
      </c>
      <c r="F341" s="12" t="n">
        <v>13.568996</v>
      </c>
      <c r="G341" s="12" t="n">
        <v>61.218193</v>
      </c>
      <c r="H341" s="13">
        <f>100*B341/B$7</f>
        <v/>
      </c>
      <c r="I341" s="13">
        <f>100*C341/C$7</f>
        <v/>
      </c>
      <c r="J341" s="13">
        <f>100*D341/D$7</f>
        <v/>
      </c>
      <c r="K341" s="13">
        <f>100*E341/E$7</f>
        <v/>
      </c>
      <c r="L341" s="13">
        <f>100*F341/F$7</f>
        <v/>
      </c>
      <c r="M341" s="13">
        <f>100*G341/G$7</f>
        <v/>
      </c>
    </row>
    <row r="342">
      <c r="A342" s="11" t="n">
        <v>45397</v>
      </c>
      <c r="B342" s="12" t="n">
        <v>450.746552</v>
      </c>
      <c r="C342" s="12" t="n">
        <v>63.92342</v>
      </c>
      <c r="D342" s="12" t="n">
        <v>44.129112</v>
      </c>
      <c r="E342" s="12" t="n">
        <v>59.470272</v>
      </c>
      <c r="F342" s="12" t="n">
        <v>13.381035</v>
      </c>
      <c r="G342" s="12" t="n">
        <v>61.415756</v>
      </c>
      <c r="H342" s="13">
        <f>100*B342/B$7</f>
        <v/>
      </c>
      <c r="I342" s="13">
        <f>100*C342/C$7</f>
        <v/>
      </c>
      <c r="J342" s="13">
        <f>100*D342/D$7</f>
        <v/>
      </c>
      <c r="K342" s="13">
        <f>100*E342/E$7</f>
        <v/>
      </c>
      <c r="L342" s="13">
        <f>100*F342/F$7</f>
        <v/>
      </c>
      <c r="M342" s="13">
        <f>100*G342/G$7</f>
        <v/>
      </c>
    </row>
    <row r="343">
      <c r="A343" s="11" t="n">
        <v>45398</v>
      </c>
      <c r="B343" s="12" t="n">
        <v>449.939606</v>
      </c>
      <c r="C343" s="12" t="n">
        <v>63.031082</v>
      </c>
      <c r="D343" s="12" t="n">
        <v>43.129124</v>
      </c>
      <c r="E343" s="12" t="n">
        <v>58.543739</v>
      </c>
      <c r="F343" s="12" t="n">
        <v>13.130421</v>
      </c>
      <c r="G343" s="12" t="n">
        <v>60.691341</v>
      </c>
      <c r="H343" s="13">
        <f>100*B343/B$7</f>
        <v/>
      </c>
      <c r="I343" s="13">
        <f>100*C343/C$7</f>
        <v/>
      </c>
      <c r="J343" s="13">
        <f>100*D343/D$7</f>
        <v/>
      </c>
      <c r="K343" s="13">
        <f>100*E343/E$7</f>
        <v/>
      </c>
      <c r="L343" s="13">
        <f>100*F343/F$7</f>
        <v/>
      </c>
      <c r="M343" s="13">
        <f>100*G343/G$7</f>
        <v/>
      </c>
    </row>
    <row r="344">
      <c r="A344" s="11" t="n">
        <v>45399</v>
      </c>
      <c r="B344" s="12" t="n">
        <v>447.22702</v>
      </c>
      <c r="C344" s="12" t="n">
        <v>62.361816</v>
      </c>
      <c r="D344" s="12" t="n">
        <v>43.369862</v>
      </c>
      <c r="E344" s="12" t="n">
        <v>58.152111</v>
      </c>
      <c r="F344" s="12" t="n">
        <v>13.112519</v>
      </c>
      <c r="G344" s="12" t="n">
        <v>61.020626</v>
      </c>
      <c r="H344" s="13">
        <f>100*B344/B$7</f>
        <v/>
      </c>
      <c r="I344" s="13">
        <f>100*C344/C$7</f>
        <v/>
      </c>
      <c r="J344" s="13">
        <f>100*D344/D$7</f>
        <v/>
      </c>
      <c r="K344" s="13">
        <f>100*E344/E$7</f>
        <v/>
      </c>
      <c r="L344" s="13">
        <f>100*F344/F$7</f>
        <v/>
      </c>
      <c r="M344" s="13">
        <f>100*G344/G$7</f>
        <v/>
      </c>
    </row>
    <row r="345">
      <c r="A345" s="11" t="n">
        <v>45400</v>
      </c>
      <c r="B345" s="12" t="n">
        <v>446.206207</v>
      </c>
      <c r="C345" s="12" t="n">
        <v>62.175919</v>
      </c>
      <c r="D345" s="12" t="n">
        <v>43.230968</v>
      </c>
      <c r="E345" s="12" t="n">
        <v>59.030884</v>
      </c>
      <c r="F345" s="12" t="n">
        <v>13.193074</v>
      </c>
      <c r="G345" s="12" t="n">
        <v>61.641552</v>
      </c>
      <c r="H345" s="13">
        <f>100*B345/B$7</f>
        <v/>
      </c>
      <c r="I345" s="13">
        <f>100*C345/C$7</f>
        <v/>
      </c>
      <c r="J345" s="13">
        <f>100*D345/D$7</f>
        <v/>
      </c>
      <c r="K345" s="13">
        <f>100*E345/E$7</f>
        <v/>
      </c>
      <c r="L345" s="13">
        <f>100*F345/F$7</f>
        <v/>
      </c>
      <c r="M345" s="13">
        <f>100*G345/G$7</f>
        <v/>
      </c>
    </row>
    <row r="346">
      <c r="A346" s="11" t="n">
        <v>45401</v>
      </c>
      <c r="B346" s="12" t="n">
        <v>442.472717</v>
      </c>
      <c r="C346" s="12" t="n">
        <v>61.804111</v>
      </c>
      <c r="D346" s="12" t="n">
        <v>42.323574</v>
      </c>
      <c r="E346" s="12" t="n">
        <v>58.572392</v>
      </c>
      <c r="F346" s="12" t="n">
        <v>13.157271</v>
      </c>
      <c r="G346" s="12" t="n">
        <v>61.462803</v>
      </c>
      <c r="H346" s="13">
        <f>100*B346/B$7</f>
        <v/>
      </c>
      <c r="I346" s="13">
        <f>100*C346/C$7</f>
        <v/>
      </c>
      <c r="J346" s="13">
        <f>100*D346/D$7</f>
        <v/>
      </c>
      <c r="K346" s="13">
        <f>100*E346/E$7</f>
        <v/>
      </c>
      <c r="L346" s="13">
        <f>100*F346/F$7</f>
        <v/>
      </c>
      <c r="M346" s="13">
        <f>100*G346/G$7</f>
        <v/>
      </c>
    </row>
    <row r="347">
      <c r="A347" s="11" t="n">
        <v>45404</v>
      </c>
      <c r="B347" s="12" t="n">
        <v>446.31311</v>
      </c>
      <c r="C347" s="12" t="n">
        <v>62.436184</v>
      </c>
      <c r="D347" s="12" t="n">
        <v>42.453205</v>
      </c>
      <c r="E347" s="12" t="n">
        <v>59.871456</v>
      </c>
      <c r="F347" s="12" t="n">
        <v>13.416837</v>
      </c>
      <c r="G347" s="12" t="n">
        <v>62.375393</v>
      </c>
      <c r="H347" s="13">
        <f>100*B347/B$7</f>
        <v/>
      </c>
      <c r="I347" s="13">
        <f>100*C347/C$7</f>
        <v/>
      </c>
      <c r="J347" s="13">
        <f>100*D347/D$7</f>
        <v/>
      </c>
      <c r="K347" s="13">
        <f>100*E347/E$7</f>
        <v/>
      </c>
      <c r="L347" s="13">
        <f>100*F347/F$7</f>
        <v/>
      </c>
      <c r="M347" s="13">
        <f>100*G347/G$7</f>
        <v/>
      </c>
    </row>
    <row r="348">
      <c r="A348" s="11" t="n">
        <v>45405</v>
      </c>
      <c r="B348" s="12" t="n">
        <v>451.942474</v>
      </c>
      <c r="C348" s="12" t="n">
        <v>62.575611</v>
      </c>
      <c r="D348" s="12" t="n">
        <v>42.879128</v>
      </c>
      <c r="E348" s="12" t="n">
        <v>60.167564</v>
      </c>
      <c r="F348" s="12" t="n">
        <v>13.64955</v>
      </c>
      <c r="G348" s="12" t="n">
        <v>62.96809</v>
      </c>
      <c r="H348" s="13">
        <f>100*B348/B$7</f>
        <v/>
      </c>
      <c r="I348" s="13">
        <f>100*C348/C$7</f>
        <v/>
      </c>
      <c r="J348" s="13">
        <f>100*D348/D$7</f>
        <v/>
      </c>
      <c r="K348" s="13">
        <f>100*E348/E$7</f>
        <v/>
      </c>
      <c r="L348" s="13">
        <f>100*F348/F$7</f>
        <v/>
      </c>
      <c r="M348" s="13">
        <f>100*G348/G$7</f>
        <v/>
      </c>
    </row>
    <row r="349">
      <c r="A349" s="11" t="n">
        <v>45406</v>
      </c>
      <c r="B349" s="12" t="n">
        <v>451.611938</v>
      </c>
      <c r="C349" s="12" t="n">
        <v>62.845173</v>
      </c>
      <c r="D349" s="12" t="n">
        <v>43.082825</v>
      </c>
      <c r="E349" s="12" t="n">
        <v>60.329948</v>
      </c>
      <c r="F349" s="12" t="n">
        <v>13.873314</v>
      </c>
      <c r="G349" s="12" t="n">
        <v>63.748962</v>
      </c>
      <c r="H349" s="13">
        <f>100*B349/B$7</f>
        <v/>
      </c>
      <c r="I349" s="13">
        <f>100*C349/C$7</f>
        <v/>
      </c>
      <c r="J349" s="13">
        <f>100*D349/D$7</f>
        <v/>
      </c>
      <c r="K349" s="13">
        <f>100*E349/E$7</f>
        <v/>
      </c>
      <c r="L349" s="13">
        <f>100*F349/F$7</f>
        <v/>
      </c>
      <c r="M349" s="13">
        <f>100*G349/G$7</f>
        <v/>
      </c>
    </row>
    <row r="350">
      <c r="A350" s="11" t="n">
        <v>45407</v>
      </c>
      <c r="B350" s="12" t="n">
        <v>449.745117</v>
      </c>
      <c r="C350" s="12" t="n">
        <v>61.869171</v>
      </c>
      <c r="D350" s="12" t="n">
        <v>43.092087</v>
      </c>
      <c r="E350" s="12" t="n">
        <v>60.081596</v>
      </c>
      <c r="F350" s="12" t="n">
        <v>14.061275</v>
      </c>
      <c r="G350" s="12" t="n">
        <v>64.125282</v>
      </c>
      <c r="H350" s="13">
        <f>100*B350/B$7</f>
        <v/>
      </c>
      <c r="I350" s="13">
        <f>100*C350/C$7</f>
        <v/>
      </c>
      <c r="J350" s="13">
        <f>100*D350/D$7</f>
        <v/>
      </c>
      <c r="K350" s="13">
        <f>100*E350/E$7</f>
        <v/>
      </c>
      <c r="L350" s="13">
        <f>100*F350/F$7</f>
        <v/>
      </c>
      <c r="M350" s="13">
        <f>100*G350/G$7</f>
        <v/>
      </c>
    </row>
    <row r="351">
      <c r="A351" s="11" t="n">
        <v>45408</v>
      </c>
      <c r="B351" s="12" t="n">
        <v>454.246704</v>
      </c>
      <c r="C351" s="12" t="n">
        <v>62.399002</v>
      </c>
      <c r="D351" s="12" t="n">
        <v>43.610596</v>
      </c>
      <c r="E351" s="12" t="n">
        <v>60.501884</v>
      </c>
      <c r="F351" s="12" t="n">
        <v>14.302939</v>
      </c>
      <c r="G351" s="12" t="n">
        <v>65.329514</v>
      </c>
      <c r="H351" s="13">
        <f>100*B351/B$7</f>
        <v/>
      </c>
      <c r="I351" s="13">
        <f>100*C351/C$7</f>
        <v/>
      </c>
      <c r="J351" s="13">
        <f>100*D351/D$7</f>
        <v/>
      </c>
      <c r="K351" s="13">
        <f>100*E351/E$7</f>
        <v/>
      </c>
      <c r="L351" s="13">
        <f>100*F351/F$7</f>
        <v/>
      </c>
      <c r="M351" s="13">
        <f>100*G351/G$7</f>
        <v/>
      </c>
    </row>
    <row r="352">
      <c r="A352" s="11" t="n">
        <v>45411</v>
      </c>
      <c r="B352" s="12" t="n">
        <v>455.831512</v>
      </c>
      <c r="C352" s="12" t="n">
        <v>62.966011</v>
      </c>
      <c r="D352" s="12" t="n">
        <v>44.360588</v>
      </c>
      <c r="E352" s="12" t="n">
        <v>61.151409</v>
      </c>
      <c r="F352" s="12" t="n">
        <v>14.535652</v>
      </c>
      <c r="G352" s="12" t="n">
        <v>66.01630400000001</v>
      </c>
      <c r="H352" s="13">
        <f>100*B352/B$7</f>
        <v/>
      </c>
      <c r="I352" s="13">
        <f>100*C352/C$7</f>
        <v/>
      </c>
      <c r="J352" s="13">
        <f>100*D352/D$7</f>
        <v/>
      </c>
      <c r="K352" s="13">
        <f>100*E352/E$7</f>
        <v/>
      </c>
      <c r="L352" s="13">
        <f>100*F352/F$7</f>
        <v/>
      </c>
      <c r="M352" s="13">
        <f>100*G352/G$7</f>
        <v/>
      </c>
    </row>
    <row r="353">
      <c r="A353" s="11" t="n">
        <v>45412</v>
      </c>
      <c r="B353" s="12" t="n">
        <v>448.627075</v>
      </c>
      <c r="C353" s="12" t="n">
        <v>62.529133</v>
      </c>
      <c r="D353" s="12" t="n">
        <v>43.666149</v>
      </c>
      <c r="E353" s="12" t="n">
        <v>60.224876</v>
      </c>
      <c r="F353" s="12" t="n">
        <v>14.356643</v>
      </c>
      <c r="G353" s="12" t="n">
        <v>64.812073</v>
      </c>
      <c r="H353" s="13">
        <f>100*B353/B$7</f>
        <v/>
      </c>
      <c r="I353" s="13">
        <f>100*C353/C$7</f>
        <v/>
      </c>
      <c r="J353" s="13">
        <f>100*D353/D$7</f>
        <v/>
      </c>
      <c r="K353" s="13">
        <f>100*E353/E$7</f>
        <v/>
      </c>
      <c r="L353" s="13">
        <f>100*F353/F$7</f>
        <v/>
      </c>
      <c r="M353" s="13">
        <f>100*G353/G$7</f>
        <v/>
      </c>
    </row>
    <row r="354">
      <c r="A354" s="11" t="n">
        <v>45413</v>
      </c>
      <c r="B354" s="12" t="n">
        <v>447.168701</v>
      </c>
      <c r="C354" s="12" t="n">
        <v>62.380409</v>
      </c>
      <c r="D354" s="12" t="n">
        <v>43.434673</v>
      </c>
      <c r="E354" s="12" t="n">
        <v>60.263084</v>
      </c>
      <c r="F354" s="12" t="n">
        <v>14.437197</v>
      </c>
      <c r="G354" s="12" t="n">
        <v>65.11312100000001</v>
      </c>
      <c r="H354" s="13">
        <f>100*B354/B$7</f>
        <v/>
      </c>
      <c r="I354" s="13">
        <f>100*C354/C$7</f>
        <v/>
      </c>
      <c r="J354" s="13">
        <f>100*D354/D$7</f>
        <v/>
      </c>
      <c r="K354" s="13">
        <f>100*E354/E$7</f>
        <v/>
      </c>
      <c r="L354" s="13">
        <f>100*F354/F$7</f>
        <v/>
      </c>
      <c r="M354" s="13">
        <f>100*G354/G$7</f>
        <v/>
      </c>
    </row>
    <row r="355">
      <c r="A355" s="11" t="n">
        <v>45414</v>
      </c>
      <c r="B355" s="12" t="n">
        <v>451.339722</v>
      </c>
      <c r="C355" s="12" t="n">
        <v>63.644562</v>
      </c>
      <c r="D355" s="12" t="n">
        <v>44.35133</v>
      </c>
      <c r="E355" s="12" t="n">
        <v>61.571697</v>
      </c>
      <c r="F355" s="12" t="n">
        <v>15.027932</v>
      </c>
      <c r="G355" s="12" t="n">
        <v>68.42475899999999</v>
      </c>
      <c r="H355" s="13">
        <f>100*B355/B$7</f>
        <v/>
      </c>
      <c r="I355" s="13">
        <f>100*C355/C$7</f>
        <v/>
      </c>
      <c r="J355" s="13">
        <f>100*D355/D$7</f>
        <v/>
      </c>
      <c r="K355" s="13">
        <f>100*E355/E$7</f>
        <v/>
      </c>
      <c r="L355" s="13">
        <f>100*F355/F$7</f>
        <v/>
      </c>
      <c r="M355" s="13">
        <f>100*G355/G$7</f>
        <v/>
      </c>
    </row>
    <row r="356">
      <c r="A356" s="11" t="n">
        <v>45415</v>
      </c>
      <c r="B356" s="12" t="n">
        <v>456.93988</v>
      </c>
      <c r="C356" s="12" t="n">
        <v>64.378891</v>
      </c>
      <c r="D356" s="12" t="n">
        <v>45.045769</v>
      </c>
      <c r="E356" s="12" t="n">
        <v>62.259438</v>
      </c>
      <c r="F356" s="12" t="n">
        <v>15.126388</v>
      </c>
      <c r="G356" s="12" t="n">
        <v>68.73522199999999</v>
      </c>
      <c r="H356" s="13">
        <f>100*B356/B$7</f>
        <v/>
      </c>
      <c r="I356" s="13">
        <f>100*C356/C$7</f>
        <v/>
      </c>
      <c r="J356" s="13">
        <f>100*D356/D$7</f>
        <v/>
      </c>
      <c r="K356" s="13">
        <f>100*E356/E$7</f>
        <v/>
      </c>
      <c r="L356" s="13">
        <f>100*F356/F$7</f>
        <v/>
      </c>
      <c r="M356" s="13">
        <f>100*G356/G$7</f>
        <v/>
      </c>
    </row>
    <row r="357">
      <c r="A357" s="11" t="n">
        <v>45418</v>
      </c>
      <c r="B357" s="12" t="n">
        <v>461.54834</v>
      </c>
      <c r="C357" s="12" t="n">
        <v>64.759995</v>
      </c>
      <c r="D357" s="12" t="n">
        <v>45.360577</v>
      </c>
      <c r="E357" s="12" t="n">
        <v>62.803894</v>
      </c>
      <c r="F357" s="12" t="n">
        <v>15.215893</v>
      </c>
      <c r="G357" s="12" t="n">
        <v>68.744629</v>
      </c>
      <c r="H357" s="13">
        <f>100*B357/B$7</f>
        <v/>
      </c>
      <c r="I357" s="13">
        <f>100*C357/C$7</f>
        <v/>
      </c>
      <c r="J357" s="13">
        <f>100*D357/D$7</f>
        <v/>
      </c>
      <c r="K357" s="13">
        <f>100*E357/E$7</f>
        <v/>
      </c>
      <c r="L357" s="13">
        <f>100*F357/F$7</f>
        <v/>
      </c>
      <c r="M357" s="13">
        <f>100*G357/G$7</f>
        <v/>
      </c>
    </row>
    <row r="358">
      <c r="A358" s="11" t="n">
        <v>45419</v>
      </c>
      <c r="B358" s="12" t="n">
        <v>462.209442</v>
      </c>
      <c r="C358" s="12" t="n">
        <v>64.053558</v>
      </c>
      <c r="D358" s="12" t="n">
        <v>44.962433</v>
      </c>
      <c r="E358" s="12" t="n">
        <v>62.746586</v>
      </c>
      <c r="F358" s="12" t="n">
        <v>15.189041</v>
      </c>
      <c r="G358" s="12" t="n">
        <v>68.283646</v>
      </c>
      <c r="H358" s="13">
        <f>100*B358/B$7</f>
        <v/>
      </c>
      <c r="I358" s="13">
        <f>100*C358/C$7</f>
        <v/>
      </c>
      <c r="J358" s="13">
        <f>100*D358/D$7</f>
        <v/>
      </c>
      <c r="K358" s="13">
        <f>100*E358/E$7</f>
        <v/>
      </c>
      <c r="L358" s="13">
        <f>100*F358/F$7</f>
        <v/>
      </c>
      <c r="M358" s="13">
        <f>100*G358/G$7</f>
        <v/>
      </c>
    </row>
    <row r="359">
      <c r="A359" s="11" t="n">
        <v>45420</v>
      </c>
      <c r="B359" s="12" t="n">
        <v>462.228912</v>
      </c>
      <c r="C359" s="12" t="n">
        <v>63.244877</v>
      </c>
      <c r="D359" s="12" t="n">
        <v>45.240208</v>
      </c>
      <c r="E359" s="12" t="n">
        <v>62.88031</v>
      </c>
      <c r="F359" s="12" t="n">
        <v>14.965279</v>
      </c>
      <c r="G359" s="12" t="n">
        <v>67.709763</v>
      </c>
      <c r="H359" s="13">
        <f>100*B359/B$7</f>
        <v/>
      </c>
      <c r="I359" s="13">
        <f>100*C359/C$7</f>
        <v/>
      </c>
      <c r="J359" s="13">
        <f>100*D359/D$7</f>
        <v/>
      </c>
      <c r="K359" s="13">
        <f>100*E359/E$7</f>
        <v/>
      </c>
      <c r="L359" s="13">
        <f>100*F359/F$7</f>
        <v/>
      </c>
      <c r="M359" s="13">
        <f>100*G359/G$7</f>
        <v/>
      </c>
    </row>
    <row r="360">
      <c r="A360" s="11" t="n">
        <v>45421</v>
      </c>
      <c r="B360" s="12" t="n">
        <v>464.883148</v>
      </c>
      <c r="C360" s="12" t="n">
        <v>63.523727</v>
      </c>
      <c r="D360" s="12" t="n">
        <v>45.295761</v>
      </c>
      <c r="E360" s="12" t="n">
        <v>62.183018</v>
      </c>
      <c r="F360" s="12" t="n">
        <v>15.278546</v>
      </c>
      <c r="G360" s="12" t="n">
        <v>69.092743</v>
      </c>
      <c r="H360" s="13">
        <f>100*B360/B$7</f>
        <v/>
      </c>
      <c r="I360" s="13">
        <f>100*C360/C$7</f>
        <v/>
      </c>
      <c r="J360" s="13">
        <f>100*D360/D$7</f>
        <v/>
      </c>
      <c r="K360" s="13">
        <f>100*E360/E$7</f>
        <v/>
      </c>
      <c r="L360" s="13">
        <f>100*F360/F$7</f>
        <v/>
      </c>
      <c r="M360" s="13">
        <f>100*G360/G$7</f>
        <v/>
      </c>
    </row>
    <row r="361">
      <c r="A361" s="11" t="n">
        <v>45422</v>
      </c>
      <c r="B361" s="12" t="n">
        <v>465.456818</v>
      </c>
      <c r="C361" s="12" t="n">
        <v>63.161213</v>
      </c>
      <c r="D361" s="12" t="n">
        <v>45.795753</v>
      </c>
      <c r="E361" s="12" t="n">
        <v>61.972878</v>
      </c>
      <c r="F361" s="12" t="n">
        <v>15.582866</v>
      </c>
      <c r="G361" s="12" t="n">
        <v>69.450233</v>
      </c>
      <c r="H361" s="13">
        <f>100*B361/B$7</f>
        <v/>
      </c>
      <c r="I361" s="13">
        <f>100*C361/C$7</f>
        <v/>
      </c>
      <c r="J361" s="13">
        <f>100*D361/D$7</f>
        <v/>
      </c>
      <c r="K361" s="13">
        <f>100*E361/E$7</f>
        <v/>
      </c>
      <c r="L361" s="13">
        <f>100*F361/F$7</f>
        <v/>
      </c>
      <c r="M361" s="13">
        <f>100*G361/G$7</f>
        <v/>
      </c>
    </row>
    <row r="362">
      <c r="A362" s="11" t="n">
        <v>45425</v>
      </c>
      <c r="B362" s="12" t="n">
        <v>465.485962</v>
      </c>
      <c r="C362" s="12" t="n">
        <v>62.910244</v>
      </c>
      <c r="D362" s="12" t="n">
        <v>45.888348</v>
      </c>
      <c r="E362" s="12" t="n">
        <v>62.116154</v>
      </c>
      <c r="F362" s="12" t="n">
        <v>15.824529</v>
      </c>
      <c r="G362" s="12" t="n">
        <v>70.654472</v>
      </c>
      <c r="H362" s="13">
        <f>100*B362/B$7</f>
        <v/>
      </c>
      <c r="I362" s="13">
        <f>100*C362/C$7</f>
        <v/>
      </c>
      <c r="J362" s="13">
        <f>100*D362/D$7</f>
        <v/>
      </c>
      <c r="K362" s="13">
        <f>100*E362/E$7</f>
        <v/>
      </c>
      <c r="L362" s="13">
        <f>100*F362/F$7</f>
        <v/>
      </c>
      <c r="M362" s="13">
        <f>100*G362/G$7</f>
        <v/>
      </c>
    </row>
    <row r="363">
      <c r="A363" s="11" t="n">
        <v>45426</v>
      </c>
      <c r="B363" s="12" t="n">
        <v>467.692993</v>
      </c>
      <c r="C363" s="12" t="n">
        <v>63.402889</v>
      </c>
      <c r="D363" s="12" t="n">
        <v>46.675377</v>
      </c>
      <c r="E363" s="12" t="n">
        <v>62.631958</v>
      </c>
      <c r="F363" s="12" t="n">
        <v>15.690272</v>
      </c>
      <c r="G363" s="12" t="n">
        <v>70.353416</v>
      </c>
      <c r="H363" s="13">
        <f>100*B363/B$7</f>
        <v/>
      </c>
      <c r="I363" s="13">
        <f>100*C363/C$7</f>
        <v/>
      </c>
      <c r="J363" s="13">
        <f>100*D363/D$7</f>
        <v/>
      </c>
      <c r="K363" s="13">
        <f>100*E363/E$7</f>
        <v/>
      </c>
      <c r="L363" s="13">
        <f>100*F363/F$7</f>
        <v/>
      </c>
      <c r="M363" s="13">
        <f>100*G363/G$7</f>
        <v/>
      </c>
    </row>
    <row r="364">
      <c r="A364" s="11" t="n">
        <v>45427</v>
      </c>
      <c r="B364" s="12" t="n">
        <v>473.390411</v>
      </c>
      <c r="C364" s="12" t="n">
        <v>64.109337</v>
      </c>
      <c r="D364" s="12" t="n">
        <v>47.508701</v>
      </c>
      <c r="E364" s="12" t="n">
        <v>63.921471</v>
      </c>
      <c r="F364" s="12" t="n">
        <v>15.833479</v>
      </c>
      <c r="G364" s="12" t="n">
        <v>70.748543</v>
      </c>
      <c r="H364" s="13">
        <f>100*B364/B$7</f>
        <v/>
      </c>
      <c r="I364" s="13">
        <f>100*C364/C$7</f>
        <v/>
      </c>
      <c r="J364" s="13">
        <f>100*D364/D$7</f>
        <v/>
      </c>
      <c r="K364" s="13">
        <f>100*E364/E$7</f>
        <v/>
      </c>
      <c r="L364" s="13">
        <f>100*F364/F$7</f>
        <v/>
      </c>
      <c r="M364" s="13">
        <f>100*G364/G$7</f>
        <v/>
      </c>
    </row>
    <row r="365">
      <c r="A365" s="11" t="n">
        <v>45428</v>
      </c>
      <c r="B365" s="12" t="n">
        <v>472.486176</v>
      </c>
      <c r="C365" s="12" t="n">
        <v>63.458656</v>
      </c>
      <c r="D365" s="12" t="n">
        <v>47.064262</v>
      </c>
      <c r="E365" s="12" t="n">
        <v>63.396114</v>
      </c>
      <c r="F365" s="12" t="n">
        <v>15.967737</v>
      </c>
      <c r="G365" s="12" t="n">
        <v>71.839882</v>
      </c>
      <c r="H365" s="13">
        <f>100*B365/B$7</f>
        <v/>
      </c>
      <c r="I365" s="13">
        <f>100*C365/C$7</f>
        <v/>
      </c>
      <c r="J365" s="13">
        <f>100*D365/D$7</f>
        <v/>
      </c>
      <c r="K365" s="13">
        <f>100*E365/E$7</f>
        <v/>
      </c>
      <c r="L365" s="13">
        <f>100*F365/F$7</f>
        <v/>
      </c>
      <c r="M365" s="13">
        <f>100*G365/G$7</f>
        <v/>
      </c>
    </row>
    <row r="366">
      <c r="A366" s="11" t="n">
        <v>45429</v>
      </c>
      <c r="B366" s="12" t="n">
        <v>473.186218</v>
      </c>
      <c r="C366" s="12" t="n">
        <v>63.886246</v>
      </c>
      <c r="D366" s="12" t="n">
        <v>47.203148</v>
      </c>
      <c r="E366" s="12" t="n">
        <v>62.52689</v>
      </c>
      <c r="F366" s="12" t="n">
        <v>16.16465</v>
      </c>
      <c r="G366" s="12" t="n">
        <v>72.423187</v>
      </c>
      <c r="H366" s="13">
        <f>100*B366/B$7</f>
        <v/>
      </c>
      <c r="I366" s="13">
        <f>100*C366/C$7</f>
        <v/>
      </c>
      <c r="J366" s="13">
        <f>100*D366/D$7</f>
        <v/>
      </c>
      <c r="K366" s="13">
        <f>100*E366/E$7</f>
        <v/>
      </c>
      <c r="L366" s="13">
        <f>100*F366/F$7</f>
        <v/>
      </c>
      <c r="M366" s="13">
        <f>100*G366/G$7</f>
        <v/>
      </c>
    </row>
    <row r="367">
      <c r="A367" s="11" t="n">
        <v>45432</v>
      </c>
      <c r="B367" s="12" t="n">
        <v>473.652924</v>
      </c>
      <c r="C367" s="12" t="n">
        <v>64.341705</v>
      </c>
      <c r="D367" s="12" t="n">
        <v>47.064262</v>
      </c>
      <c r="E367" s="12" t="n">
        <v>62.316746</v>
      </c>
      <c r="F367" s="12" t="n">
        <v>16.101995</v>
      </c>
      <c r="G367" s="12" t="n">
        <v>71.88692500000001</v>
      </c>
      <c r="H367" s="13">
        <f>100*B367/B$7</f>
        <v/>
      </c>
      <c r="I367" s="13">
        <f>100*C367/C$7</f>
        <v/>
      </c>
      <c r="J367" s="13">
        <f>100*D367/D$7</f>
        <v/>
      </c>
      <c r="K367" s="13">
        <f>100*E367/E$7</f>
        <v/>
      </c>
      <c r="L367" s="13">
        <f>100*F367/F$7</f>
        <v/>
      </c>
      <c r="M367" s="13">
        <f>100*G367/G$7</f>
        <v/>
      </c>
    </row>
    <row r="368">
      <c r="A368" s="11" t="n">
        <v>45433</v>
      </c>
      <c r="B368" s="12" t="n">
        <v>474.926544</v>
      </c>
      <c r="C368" s="12" t="n">
        <v>63.969898</v>
      </c>
      <c r="D368" s="12" t="n">
        <v>46.777229</v>
      </c>
      <c r="E368" s="12" t="n">
        <v>61.944218</v>
      </c>
      <c r="F368" s="12" t="n">
        <v>15.797678</v>
      </c>
      <c r="G368" s="12" t="n">
        <v>70.776779</v>
      </c>
      <c r="H368" s="13">
        <f>100*B368/B$7</f>
        <v/>
      </c>
      <c r="I368" s="13">
        <f>100*C368/C$7</f>
        <v/>
      </c>
      <c r="J368" s="13">
        <f>100*D368/D$7</f>
        <v/>
      </c>
      <c r="K368" s="13">
        <f>100*E368/E$7</f>
        <v/>
      </c>
      <c r="L368" s="13">
        <f>100*F368/F$7</f>
        <v/>
      </c>
      <c r="M368" s="13">
        <f>100*G368/G$7</f>
        <v/>
      </c>
    </row>
    <row r="369">
      <c r="A369" s="11" t="n">
        <v>45434</v>
      </c>
      <c r="B369" s="12" t="n">
        <v>473.545959</v>
      </c>
      <c r="C369" s="12" t="n">
        <v>63.226276</v>
      </c>
      <c r="D369" s="12" t="n">
        <v>47.249443</v>
      </c>
      <c r="E369" s="12" t="n">
        <v>61.648113</v>
      </c>
      <c r="F369" s="12" t="n">
        <v>15.654468</v>
      </c>
      <c r="G369" s="12" t="n">
        <v>70.296967</v>
      </c>
      <c r="H369" s="13">
        <f>100*B369/B$7</f>
        <v/>
      </c>
      <c r="I369" s="13">
        <f>100*C369/C$7</f>
        <v/>
      </c>
      <c r="J369" s="13">
        <f>100*D369/D$7</f>
        <v/>
      </c>
      <c r="K369" s="13">
        <f>100*E369/E$7</f>
        <v/>
      </c>
      <c r="L369" s="13">
        <f>100*F369/F$7</f>
        <v/>
      </c>
      <c r="M369" s="13">
        <f>100*G369/G$7</f>
        <v/>
      </c>
    </row>
    <row r="370">
      <c r="A370" s="11" t="n">
        <v>45435</v>
      </c>
      <c r="B370" s="12" t="n">
        <v>470.026398</v>
      </c>
      <c r="C370" s="12" t="n">
        <v>62.947418</v>
      </c>
      <c r="D370" s="12" t="n">
        <v>47.258701</v>
      </c>
      <c r="E370" s="12" t="n">
        <v>61.017689</v>
      </c>
      <c r="F370" s="12" t="n">
        <v>15.359101</v>
      </c>
      <c r="G370" s="12" t="n">
        <v>69.092743</v>
      </c>
      <c r="H370" s="13">
        <f>100*B370/B$7</f>
        <v/>
      </c>
      <c r="I370" s="13">
        <f>100*C370/C$7</f>
        <v/>
      </c>
      <c r="J370" s="13">
        <f>100*D370/D$7</f>
        <v/>
      </c>
      <c r="K370" s="13">
        <f>100*E370/E$7</f>
        <v/>
      </c>
      <c r="L370" s="13">
        <f>100*F370/F$7</f>
        <v/>
      </c>
      <c r="M370" s="13">
        <f>100*G370/G$7</f>
        <v/>
      </c>
    </row>
    <row r="371">
      <c r="A371" s="11" t="n">
        <v>45436</v>
      </c>
      <c r="B371" s="12" t="n">
        <v>473.225098</v>
      </c>
      <c r="C371" s="12" t="n">
        <v>63.635269</v>
      </c>
      <c r="D371" s="12" t="n">
        <v>47.860546</v>
      </c>
      <c r="E371" s="12" t="n">
        <v>61.227825</v>
      </c>
      <c r="F371" s="12" t="n">
        <v>15.305398</v>
      </c>
      <c r="G371" s="12" t="n">
        <v>68.979843</v>
      </c>
      <c r="H371" s="13">
        <f>100*B371/B$7</f>
        <v/>
      </c>
      <c r="I371" s="13">
        <f>100*C371/C$7</f>
        <v/>
      </c>
      <c r="J371" s="13">
        <f>100*D371/D$7</f>
        <v/>
      </c>
      <c r="K371" s="13">
        <f>100*E371/E$7</f>
        <v/>
      </c>
      <c r="L371" s="13">
        <f>100*F371/F$7</f>
        <v/>
      </c>
      <c r="M371" s="13">
        <f>100*G371/G$7</f>
        <v/>
      </c>
    </row>
    <row r="372">
      <c r="A372" s="11" t="n">
        <v>45439</v>
      </c>
      <c r="B372" s="12" t="n">
        <v>473.225098</v>
      </c>
      <c r="C372" s="12" t="n">
        <v>63.635269</v>
      </c>
      <c r="D372" s="12" t="n">
        <v>47.860546</v>
      </c>
      <c r="E372" s="12" t="n">
        <v>61.227825</v>
      </c>
      <c r="F372" s="12" t="n">
        <v>15.305398</v>
      </c>
      <c r="G372" s="12" t="n">
        <v>68.979843</v>
      </c>
      <c r="H372" s="13">
        <f>100*B372/B$7</f>
        <v/>
      </c>
      <c r="I372" s="13">
        <f>100*C372/C$7</f>
        <v/>
      </c>
      <c r="J372" s="13">
        <f>100*D372/D$7</f>
        <v/>
      </c>
      <c r="K372" s="13">
        <f>100*E372/E$7</f>
        <v/>
      </c>
      <c r="L372" s="13">
        <f>100*F372/F$7</f>
        <v/>
      </c>
      <c r="M372" s="13">
        <f>100*G372/G$7</f>
        <v/>
      </c>
    </row>
    <row r="373">
      <c r="A373" s="11" t="n">
        <v>45440</v>
      </c>
      <c r="B373" s="12" t="n">
        <v>473.604309</v>
      </c>
      <c r="C373" s="12" t="n">
        <v>63.99778</v>
      </c>
      <c r="D373" s="12" t="n">
        <v>48.425358</v>
      </c>
      <c r="E373" s="12" t="n">
        <v>61.829601</v>
      </c>
      <c r="F373" s="12" t="n">
        <v>15.359101</v>
      </c>
      <c r="G373" s="12" t="n">
        <v>68.961021</v>
      </c>
      <c r="H373" s="13">
        <f>100*B373/B$7</f>
        <v/>
      </c>
      <c r="I373" s="13">
        <f>100*C373/C$7</f>
        <v/>
      </c>
      <c r="J373" s="13">
        <f>100*D373/D$7</f>
        <v/>
      </c>
      <c r="K373" s="13">
        <f>100*E373/E$7</f>
        <v/>
      </c>
      <c r="L373" s="13">
        <f>100*F373/F$7</f>
        <v/>
      </c>
      <c r="M373" s="13">
        <f>100*G373/G$7</f>
        <v/>
      </c>
    </row>
    <row r="374">
      <c r="A374" s="11" t="n">
        <v>45441</v>
      </c>
      <c r="B374" s="12" t="n">
        <v>470.26944</v>
      </c>
      <c r="C374" s="12" t="n">
        <v>62.715042</v>
      </c>
      <c r="D374" s="12" t="n">
        <v>47.249443</v>
      </c>
      <c r="E374" s="12" t="n">
        <v>60.320396</v>
      </c>
      <c r="F374" s="12" t="n">
        <v>15.117435</v>
      </c>
      <c r="G374" s="12" t="n">
        <v>68.42475899999999</v>
      </c>
      <c r="H374" s="13">
        <f>100*B374/B$7</f>
        <v/>
      </c>
      <c r="I374" s="13">
        <f>100*C374/C$7</f>
        <v/>
      </c>
      <c r="J374" s="13">
        <f>100*D374/D$7</f>
        <v/>
      </c>
      <c r="K374" s="13">
        <f>100*E374/E$7</f>
        <v/>
      </c>
      <c r="L374" s="13">
        <f>100*F374/F$7</f>
        <v/>
      </c>
      <c r="M374" s="13">
        <f>100*G374/G$7</f>
        <v/>
      </c>
    </row>
    <row r="375">
      <c r="A375" s="11" t="n">
        <v>45442</v>
      </c>
      <c r="B375" s="12" t="n">
        <v>467.10965</v>
      </c>
      <c r="C375" s="12" t="n">
        <v>63.263454</v>
      </c>
      <c r="D375" s="12" t="n">
        <v>47.360558</v>
      </c>
      <c r="E375" s="12" t="n">
        <v>59.689968</v>
      </c>
      <c r="F375" s="12" t="n">
        <v>15.018982</v>
      </c>
      <c r="G375" s="12" t="n">
        <v>68.594109</v>
      </c>
      <c r="H375" s="13">
        <f>100*B375/B$7</f>
        <v/>
      </c>
      <c r="I375" s="13">
        <f>100*C375/C$7</f>
        <v/>
      </c>
      <c r="J375" s="13">
        <f>100*D375/D$7</f>
        <v/>
      </c>
      <c r="K375" s="13">
        <f>100*E375/E$7</f>
        <v/>
      </c>
      <c r="L375" s="13">
        <f>100*F375/F$7</f>
        <v/>
      </c>
      <c r="M375" s="13">
        <f>100*G375/G$7</f>
        <v/>
      </c>
    </row>
    <row r="376">
      <c r="A376" s="11" t="n">
        <v>45443</v>
      </c>
      <c r="B376" s="12" t="n">
        <v>471.173676</v>
      </c>
      <c r="C376" s="12" t="n">
        <v>64.109337</v>
      </c>
      <c r="D376" s="12" t="n">
        <v>46.592041</v>
      </c>
      <c r="E376" s="12" t="n">
        <v>59.39386</v>
      </c>
      <c r="F376" s="12" t="n">
        <v>14.965279</v>
      </c>
      <c r="G376" s="12" t="n">
        <v>67.521584</v>
      </c>
      <c r="H376" s="13">
        <f>100*B376/B$7</f>
        <v/>
      </c>
      <c r="I376" s="13">
        <f>100*C376/C$7</f>
        <v/>
      </c>
      <c r="J376" s="13">
        <f>100*D376/D$7</f>
        <v/>
      </c>
      <c r="K376" s="13">
        <f>100*E376/E$7</f>
        <v/>
      </c>
      <c r="L376" s="13">
        <f>100*F376/F$7</f>
        <v/>
      </c>
      <c r="M376" s="13">
        <f>100*G376/G$7</f>
        <v/>
      </c>
    </row>
    <row r="377">
      <c r="A377" s="11" t="n">
        <v>45446</v>
      </c>
      <c r="B377" s="12" t="n">
        <v>471.688904</v>
      </c>
      <c r="C377" s="12" t="n">
        <v>64.509033</v>
      </c>
      <c r="D377" s="12" t="n">
        <v>47.082779</v>
      </c>
      <c r="E377" s="12" t="n">
        <v>60.377705</v>
      </c>
      <c r="F377" s="12" t="n">
        <v>14.920526</v>
      </c>
      <c r="G377" s="12" t="n">
        <v>67.625069</v>
      </c>
      <c r="H377" s="13">
        <f>100*B377/B$7</f>
        <v/>
      </c>
      <c r="I377" s="13">
        <f>100*C377/C$7</f>
        <v/>
      </c>
      <c r="J377" s="13">
        <f>100*D377/D$7</f>
        <v/>
      </c>
      <c r="K377" s="13">
        <f>100*E377/E$7</f>
        <v/>
      </c>
      <c r="L377" s="13">
        <f>100*F377/F$7</f>
        <v/>
      </c>
      <c r="M377" s="13">
        <f>100*G377/G$7</f>
        <v/>
      </c>
    </row>
    <row r="378">
      <c r="A378" s="11" t="n">
        <v>45447</v>
      </c>
      <c r="B378" s="12" t="n">
        <v>472.262573</v>
      </c>
      <c r="C378" s="12" t="n">
        <v>64.583389</v>
      </c>
      <c r="D378" s="12" t="n">
        <v>46.471676</v>
      </c>
      <c r="E378" s="12" t="n">
        <v>60.167564</v>
      </c>
      <c r="F378" s="12" t="n">
        <v>15.036881</v>
      </c>
      <c r="G378" s="12" t="n">
        <v>68.236603</v>
      </c>
      <c r="H378" s="13">
        <f>100*B378/B$7</f>
        <v/>
      </c>
      <c r="I378" s="13">
        <f>100*C378/C$7</f>
        <v/>
      </c>
      <c r="J378" s="13">
        <f>100*D378/D$7</f>
        <v/>
      </c>
      <c r="K378" s="13">
        <f>100*E378/E$7</f>
        <v/>
      </c>
      <c r="L378" s="13">
        <f>100*F378/F$7</f>
        <v/>
      </c>
      <c r="M378" s="13">
        <f>100*G378/G$7</f>
        <v/>
      </c>
    </row>
    <row r="379">
      <c r="A379" s="11" t="n">
        <v>45448</v>
      </c>
      <c r="B379" s="12" t="n">
        <v>477.911316</v>
      </c>
      <c r="C379" s="12" t="n">
        <v>64.397476</v>
      </c>
      <c r="D379" s="12" t="n">
        <v>47.61055</v>
      </c>
      <c r="E379" s="12" t="n">
        <v>61.304245</v>
      </c>
      <c r="F379" s="12" t="n">
        <v>15.108485</v>
      </c>
      <c r="G379" s="12" t="n">
        <v>68.255424</v>
      </c>
      <c r="H379" s="13">
        <f>100*B379/B$7</f>
        <v/>
      </c>
      <c r="I379" s="13">
        <f>100*C379/C$7</f>
        <v/>
      </c>
      <c r="J379" s="13">
        <f>100*D379/D$7</f>
        <v/>
      </c>
      <c r="K379" s="13">
        <f>100*E379/E$7</f>
        <v/>
      </c>
      <c r="L379" s="13">
        <f>100*F379/F$7</f>
        <v/>
      </c>
      <c r="M379" s="13">
        <f>100*G379/G$7</f>
        <v/>
      </c>
    </row>
    <row r="380">
      <c r="A380" s="11" t="n">
        <v>45449</v>
      </c>
      <c r="B380" s="12" t="n">
        <v>477.804413</v>
      </c>
      <c r="C380" s="12" t="n">
        <v>64.360298</v>
      </c>
      <c r="D380" s="12" t="n">
        <v>47.777214</v>
      </c>
      <c r="E380" s="12" t="n">
        <v>61.791393</v>
      </c>
      <c r="F380" s="12" t="n">
        <v>15.108485</v>
      </c>
      <c r="G380" s="12" t="n">
        <v>68.283646</v>
      </c>
      <c r="H380" s="13">
        <f>100*B380/B$7</f>
        <v/>
      </c>
      <c r="I380" s="13">
        <f>100*C380/C$7</f>
        <v/>
      </c>
      <c r="J380" s="13">
        <f>100*D380/D$7</f>
        <v/>
      </c>
      <c r="K380" s="13">
        <f>100*E380/E$7</f>
        <v/>
      </c>
      <c r="L380" s="13">
        <f>100*F380/F$7</f>
        <v/>
      </c>
      <c r="M380" s="13">
        <f>100*G380/G$7</f>
        <v/>
      </c>
    </row>
    <row r="381">
      <c r="A381" s="11" t="n">
        <v>45450</v>
      </c>
      <c r="B381" s="12" t="n">
        <v>477.182159</v>
      </c>
      <c r="C381" s="12" t="n">
        <v>63.886246</v>
      </c>
      <c r="D381" s="12" t="n">
        <v>47.369812</v>
      </c>
      <c r="E381" s="12" t="n">
        <v>60.807541</v>
      </c>
      <c r="F381" s="12" t="n">
        <v>14.768367</v>
      </c>
      <c r="G381" s="12" t="n">
        <v>67.088814</v>
      </c>
      <c r="H381" s="13">
        <f>100*B381/B$7</f>
        <v/>
      </c>
      <c r="I381" s="13">
        <f>100*C381/C$7</f>
        <v/>
      </c>
      <c r="J381" s="13">
        <f>100*D381/D$7</f>
        <v/>
      </c>
      <c r="K381" s="13">
        <f>100*E381/E$7</f>
        <v/>
      </c>
      <c r="L381" s="13">
        <f>100*F381/F$7</f>
        <v/>
      </c>
      <c r="M381" s="13">
        <f>100*G381/G$7</f>
        <v/>
      </c>
    </row>
    <row r="382">
      <c r="A382" s="11" t="n">
        <v>45453</v>
      </c>
      <c r="B382" s="12" t="n">
        <v>478.747559</v>
      </c>
      <c r="C382" s="12" t="n">
        <v>64.453247</v>
      </c>
      <c r="D382" s="12" t="n">
        <v>47.749435</v>
      </c>
      <c r="E382" s="12" t="n">
        <v>61.304245</v>
      </c>
      <c r="F382" s="12" t="n">
        <v>14.848922</v>
      </c>
      <c r="G382" s="12" t="n">
        <v>67.530998</v>
      </c>
      <c r="H382" s="13">
        <f>100*B382/B$7</f>
        <v/>
      </c>
      <c r="I382" s="13">
        <f>100*C382/C$7</f>
        <v/>
      </c>
      <c r="J382" s="13">
        <f>100*D382/D$7</f>
        <v/>
      </c>
      <c r="K382" s="13">
        <f>100*E382/E$7</f>
        <v/>
      </c>
      <c r="L382" s="13">
        <f>100*F382/F$7</f>
        <v/>
      </c>
      <c r="M382" s="13">
        <f>100*G382/G$7</f>
        <v/>
      </c>
    </row>
    <row r="383">
      <c r="A383" s="11" t="n">
        <v>45454</v>
      </c>
      <c r="B383" s="12" t="n">
        <v>479.836426</v>
      </c>
      <c r="C383" s="12" t="n">
        <v>63.731285</v>
      </c>
      <c r="D383" s="12" t="n">
        <v>47.703144</v>
      </c>
      <c r="E383" s="12" t="n">
        <v>60.922165</v>
      </c>
      <c r="F383" s="12" t="n">
        <v>14.61209</v>
      </c>
      <c r="G383" s="12" t="n">
        <v>66.919479</v>
      </c>
      <c r="H383" s="13">
        <f>100*B383/B$7</f>
        <v/>
      </c>
      <c r="I383" s="13">
        <f>100*C383/C$7</f>
        <v/>
      </c>
      <c r="J383" s="13">
        <f>100*D383/D$7</f>
        <v/>
      </c>
      <c r="K383" s="13">
        <f>100*E383/E$7</f>
        <v/>
      </c>
      <c r="L383" s="13">
        <f>100*F383/F$7</f>
        <v/>
      </c>
      <c r="M383" s="13">
        <f>100*G383/G$7</f>
        <v/>
      </c>
    </row>
    <row r="384">
      <c r="A384" s="11" t="n">
        <v>45455</v>
      </c>
      <c r="B384" s="12" t="n">
        <v>483.832397</v>
      </c>
      <c r="C384" s="12" t="n">
        <v>64.04029800000001</v>
      </c>
      <c r="D384" s="12" t="n">
        <v>48.740166</v>
      </c>
      <c r="E384" s="12" t="n">
        <v>62.440926</v>
      </c>
      <c r="F384" s="12" t="n">
        <v>14.575516</v>
      </c>
      <c r="G384" s="12" t="n">
        <v>67.154663</v>
      </c>
      <c r="H384" s="13">
        <f>100*B384/B$7</f>
        <v/>
      </c>
      <c r="I384" s="13">
        <f>100*C384/C$7</f>
        <v/>
      </c>
      <c r="J384" s="13">
        <f>100*D384/D$7</f>
        <v/>
      </c>
      <c r="K384" s="13">
        <f>100*E384/E$7</f>
        <v/>
      </c>
      <c r="L384" s="13">
        <f>100*F384/F$7</f>
        <v/>
      </c>
      <c r="M384" s="13">
        <f>100*G384/G$7</f>
        <v/>
      </c>
    </row>
    <row r="385">
      <c r="A385" s="11" t="n">
        <v>45456</v>
      </c>
      <c r="B385" s="12" t="n">
        <v>484.746277</v>
      </c>
      <c r="C385" s="12" t="n">
        <v>62.879173</v>
      </c>
      <c r="D385" s="12" t="n">
        <v>48.740166</v>
      </c>
      <c r="E385" s="12" t="n">
        <v>61.934669</v>
      </c>
      <c r="F385" s="12" t="n">
        <v>14.529797</v>
      </c>
      <c r="G385" s="12" t="n">
        <v>66.966515</v>
      </c>
      <c r="H385" s="13">
        <f>100*B385/B$7</f>
        <v/>
      </c>
      <c r="I385" s="13">
        <f>100*C385/C$7</f>
        <v/>
      </c>
      <c r="J385" s="13">
        <f>100*D385/D$7</f>
        <v/>
      </c>
      <c r="K385" s="13">
        <f>100*E385/E$7</f>
        <v/>
      </c>
      <c r="L385" s="13">
        <f>100*F385/F$7</f>
        <v/>
      </c>
      <c r="M385" s="13">
        <f>100*G385/G$7</f>
        <v/>
      </c>
    </row>
    <row r="386">
      <c r="A386" s="11" t="n">
        <v>45457</v>
      </c>
      <c r="B386" s="12" t="n">
        <v>485.135254</v>
      </c>
      <c r="C386" s="12" t="n">
        <v>62.860443</v>
      </c>
      <c r="D386" s="12" t="n">
        <v>49.184608</v>
      </c>
      <c r="E386" s="12" t="n">
        <v>61.629005</v>
      </c>
      <c r="F386" s="12" t="n">
        <v>14.40178</v>
      </c>
      <c r="G386" s="12" t="n">
        <v>66.712502</v>
      </c>
      <c r="H386" s="13">
        <f>100*B386/B$7</f>
        <v/>
      </c>
      <c r="I386" s="13">
        <f>100*C386/C$7</f>
        <v/>
      </c>
      <c r="J386" s="13">
        <f>100*D386/D$7</f>
        <v/>
      </c>
      <c r="K386" s="13">
        <f>100*E386/E$7</f>
        <v/>
      </c>
      <c r="L386" s="13">
        <f>100*F386/F$7</f>
        <v/>
      </c>
      <c r="M386" s="13">
        <f>100*G386/G$7</f>
        <v/>
      </c>
    </row>
    <row r="387">
      <c r="A387" s="11" t="n">
        <v>45460</v>
      </c>
      <c r="B387" s="12" t="n">
        <v>488.985321</v>
      </c>
      <c r="C387" s="12" t="n">
        <v>62.373512</v>
      </c>
      <c r="D387" s="12" t="n">
        <v>49.730892</v>
      </c>
      <c r="E387" s="12" t="n">
        <v>62.12571</v>
      </c>
      <c r="F387" s="12" t="n">
        <v>14.465788</v>
      </c>
      <c r="G387" s="12" t="n">
        <v>67.201714</v>
      </c>
      <c r="H387" s="13">
        <f>100*B387/B$7</f>
        <v/>
      </c>
      <c r="I387" s="13">
        <f>100*C387/C$7</f>
        <v/>
      </c>
      <c r="J387" s="13">
        <f>100*D387/D$7</f>
        <v/>
      </c>
      <c r="K387" s="13">
        <f>100*E387/E$7</f>
        <v/>
      </c>
      <c r="L387" s="13">
        <f>100*F387/F$7</f>
        <v/>
      </c>
      <c r="M387" s="13">
        <f>100*G387/G$7</f>
        <v/>
      </c>
    </row>
    <row r="388">
      <c r="A388" s="11" t="n">
        <v>45461</v>
      </c>
      <c r="B388" s="12" t="n">
        <v>490.288208</v>
      </c>
      <c r="C388" s="12" t="n">
        <v>62.420341</v>
      </c>
      <c r="D388" s="12" t="n">
        <v>50.406815</v>
      </c>
      <c r="E388" s="12" t="n">
        <v>62.689274</v>
      </c>
      <c r="F388" s="12" t="n">
        <v>14.456645</v>
      </c>
      <c r="G388" s="12" t="n">
        <v>67.229935</v>
      </c>
      <c r="H388" s="13">
        <f>100*B388/B$7</f>
        <v/>
      </c>
      <c r="I388" s="13">
        <f>100*C388/C$7</f>
        <v/>
      </c>
      <c r="J388" s="13">
        <f>100*D388/D$7</f>
        <v/>
      </c>
      <c r="K388" s="13">
        <f>100*E388/E$7</f>
        <v/>
      </c>
      <c r="L388" s="13">
        <f>100*F388/F$7</f>
        <v/>
      </c>
      <c r="M388" s="13">
        <f>100*G388/G$7</f>
        <v/>
      </c>
    </row>
    <row r="389">
      <c r="A389" s="11" t="n">
        <v>45462</v>
      </c>
      <c r="B389" s="12" t="n">
        <v>490.288208</v>
      </c>
      <c r="C389" s="12" t="n">
        <v>62.420341</v>
      </c>
      <c r="D389" s="12" t="n">
        <v>50.406815</v>
      </c>
      <c r="E389" s="12" t="n">
        <v>62.689274</v>
      </c>
      <c r="F389" s="12" t="n">
        <v>14.456645</v>
      </c>
      <c r="G389" s="12" t="n">
        <v>67.229935</v>
      </c>
      <c r="H389" s="13">
        <f>100*B389/B$7</f>
        <v/>
      </c>
      <c r="I389" s="13">
        <f>100*C389/C$7</f>
        <v/>
      </c>
      <c r="J389" s="13">
        <f>100*D389/D$7</f>
        <v/>
      </c>
      <c r="K389" s="13">
        <f>100*E389/E$7</f>
        <v/>
      </c>
      <c r="L389" s="13">
        <f>100*F389/F$7</f>
        <v/>
      </c>
      <c r="M389" s="13">
        <f>100*G389/G$7</f>
        <v/>
      </c>
    </row>
    <row r="390">
      <c r="A390" s="11" t="n">
        <v>45463</v>
      </c>
      <c r="B390" s="12" t="n">
        <v>488.926971</v>
      </c>
      <c r="C390" s="12" t="n">
        <v>62.251785</v>
      </c>
      <c r="D390" s="12" t="n">
        <v>50.804958</v>
      </c>
      <c r="E390" s="12" t="n">
        <v>62.43137</v>
      </c>
      <c r="F390" s="12" t="n">
        <v>14.374349</v>
      </c>
      <c r="G390" s="12" t="n">
        <v>66.94770800000001</v>
      </c>
      <c r="H390" s="13">
        <f>100*B390/B$7</f>
        <v/>
      </c>
      <c r="I390" s="13">
        <f>100*C390/C$7</f>
        <v/>
      </c>
      <c r="J390" s="13">
        <f>100*D390/D$7</f>
        <v/>
      </c>
      <c r="K390" s="13">
        <f>100*E390/E$7</f>
        <v/>
      </c>
      <c r="L390" s="13">
        <f>100*F390/F$7</f>
        <v/>
      </c>
      <c r="M390" s="13">
        <f>100*G390/G$7</f>
        <v/>
      </c>
    </row>
    <row r="391">
      <c r="A391" s="11" t="n">
        <v>45464</v>
      </c>
      <c r="B391" s="12" t="n">
        <v>487.857544</v>
      </c>
      <c r="C391" s="12" t="n">
        <v>61.811684</v>
      </c>
      <c r="D391" s="12" t="n">
        <v>50.582737</v>
      </c>
      <c r="E391" s="12" t="n">
        <v>62.202126</v>
      </c>
      <c r="F391" s="12" t="n">
        <v>14.237187</v>
      </c>
      <c r="G391" s="12" t="n">
        <v>66.35498800000001</v>
      </c>
      <c r="H391" s="13">
        <f>100*B391/B$7</f>
        <v/>
      </c>
      <c r="I391" s="13">
        <f>100*C391/C$7</f>
        <v/>
      </c>
      <c r="J391" s="13">
        <f>100*D391/D$7</f>
        <v/>
      </c>
      <c r="K391" s="13">
        <f>100*E391/E$7</f>
        <v/>
      </c>
      <c r="L391" s="13">
        <f>100*F391/F$7</f>
        <v/>
      </c>
      <c r="M391" s="13">
        <f>100*G391/G$7</f>
        <v/>
      </c>
    </row>
    <row r="392">
      <c r="A392" s="11" t="n">
        <v>45467</v>
      </c>
      <c r="B392" s="12" t="n">
        <v>486.544952</v>
      </c>
      <c r="C392" s="12" t="n">
        <v>62.279884</v>
      </c>
      <c r="D392" s="12" t="n">
        <v>49.860523</v>
      </c>
      <c r="E392" s="12" t="n">
        <v>62.068398</v>
      </c>
      <c r="F392" s="12" t="n">
        <v>14.301197</v>
      </c>
      <c r="G392" s="12" t="n">
        <v>66.560028</v>
      </c>
      <c r="H392" s="13">
        <f>100*B392/B$7</f>
        <v/>
      </c>
      <c r="I392" s="13">
        <f>100*C392/C$7</f>
        <v/>
      </c>
      <c r="J392" s="13">
        <f>100*D392/D$7</f>
        <v/>
      </c>
      <c r="K392" s="13">
        <f>100*E392/E$7</f>
        <v/>
      </c>
      <c r="L392" s="13">
        <f>100*F392/F$7</f>
        <v/>
      </c>
      <c r="M392" s="13">
        <f>100*G392/G$7</f>
        <v/>
      </c>
    </row>
    <row r="393">
      <c r="A393" s="11" t="n">
        <v>45468</v>
      </c>
      <c r="B393" s="12" t="n">
        <v>488.567291</v>
      </c>
      <c r="C393" s="12" t="n">
        <v>63.263092</v>
      </c>
      <c r="D393" s="12" t="n">
        <v>50.017929</v>
      </c>
      <c r="E393" s="12" t="n">
        <v>62.116154</v>
      </c>
      <c r="F393" s="12" t="n">
        <v>14.109173</v>
      </c>
      <c r="G393" s="12" t="n">
        <v>65.962006</v>
      </c>
      <c r="H393" s="13">
        <f>100*B393/B$7</f>
        <v/>
      </c>
      <c r="I393" s="13">
        <f>100*C393/C$7</f>
        <v/>
      </c>
      <c r="J393" s="13">
        <f>100*D393/D$7</f>
        <v/>
      </c>
      <c r="K393" s="13">
        <f>100*E393/E$7</f>
        <v/>
      </c>
      <c r="L393" s="13">
        <f>100*F393/F$7</f>
        <v/>
      </c>
      <c r="M393" s="13">
        <f>100*G393/G$7</f>
        <v/>
      </c>
    </row>
    <row r="394">
      <c r="A394" s="11" t="n">
        <v>45469</v>
      </c>
      <c r="B394" s="12" t="n">
        <v>489.111725</v>
      </c>
      <c r="C394" s="12" t="n">
        <v>63.028992</v>
      </c>
      <c r="D394" s="12" t="n">
        <v>49.638302</v>
      </c>
      <c r="E394" s="12" t="n">
        <v>62.316746</v>
      </c>
      <c r="F394" s="12" t="n">
        <v>14.081741</v>
      </c>
      <c r="G394" s="12" t="n">
        <v>66.208809</v>
      </c>
      <c r="H394" s="13">
        <f>100*B394/B$7</f>
        <v/>
      </c>
      <c r="I394" s="13">
        <f>100*C394/C$7</f>
        <v/>
      </c>
      <c r="J394" s="13">
        <f>100*D394/D$7</f>
        <v/>
      </c>
      <c r="K394" s="13">
        <f>100*E394/E$7</f>
        <v/>
      </c>
      <c r="L394" s="13">
        <f>100*F394/F$7</f>
        <v/>
      </c>
      <c r="M394" s="13">
        <f>100*G394/G$7</f>
        <v/>
      </c>
    </row>
    <row r="395">
      <c r="A395" s="11" t="n">
        <v>45470</v>
      </c>
      <c r="B395" s="12" t="n">
        <v>489.870087</v>
      </c>
      <c r="C395" s="12" t="n">
        <v>63.34737</v>
      </c>
      <c r="D395" s="12" t="n">
        <v>49.971634</v>
      </c>
      <c r="E395" s="12" t="n">
        <v>62.842106</v>
      </c>
      <c r="F395" s="12" t="n">
        <v>13.926292</v>
      </c>
      <c r="G395" s="12" t="n">
        <v>64.860901</v>
      </c>
      <c r="H395" s="13">
        <f>100*B395/B$7</f>
        <v/>
      </c>
      <c r="I395" s="13">
        <f>100*C395/C$7</f>
        <v/>
      </c>
      <c r="J395" s="13">
        <f>100*D395/D$7</f>
        <v/>
      </c>
      <c r="K395" s="13">
        <f>100*E395/E$7</f>
        <v/>
      </c>
      <c r="L395" s="13">
        <f>100*F395/F$7</f>
        <v/>
      </c>
      <c r="M395" s="13">
        <f>100*G395/G$7</f>
        <v/>
      </c>
    </row>
    <row r="396">
      <c r="A396" s="11" t="n">
        <v>45471</v>
      </c>
      <c r="B396" s="12" t="n">
        <v>487.98111</v>
      </c>
      <c r="C396" s="12" t="n">
        <v>63.899845</v>
      </c>
      <c r="D396" s="12" t="n">
        <v>50.175335</v>
      </c>
      <c r="E396" s="12" t="n">
        <v>63.128654</v>
      </c>
      <c r="F396" s="12" t="n">
        <v>13.9903</v>
      </c>
      <c r="G396" s="12" t="n">
        <v>64.974808</v>
      </c>
      <c r="H396" s="13">
        <f>100*B396/B$7</f>
        <v/>
      </c>
      <c r="I396" s="13">
        <f>100*C396/C$7</f>
        <v/>
      </c>
      <c r="J396" s="13">
        <f>100*D396/D$7</f>
        <v/>
      </c>
      <c r="K396" s="13">
        <f>100*E396/E$7</f>
        <v/>
      </c>
      <c r="L396" s="13">
        <f>100*F396/F$7</f>
        <v/>
      </c>
      <c r="M396" s="13">
        <f>100*G396/G$7</f>
        <v/>
      </c>
    </row>
    <row r="397">
      <c r="A397" s="11" t="n">
        <v>45474</v>
      </c>
      <c r="B397" s="12" t="n">
        <v>489.10321</v>
      </c>
      <c r="C397" s="12" t="n">
        <v>63.47847</v>
      </c>
      <c r="D397" s="12" t="n">
        <v>50.045708</v>
      </c>
      <c r="E397" s="12" t="n">
        <v>63.157322</v>
      </c>
      <c r="F397" s="12" t="n">
        <v>13.972013</v>
      </c>
      <c r="G397" s="12" t="n">
        <v>65.307045</v>
      </c>
      <c r="H397" s="13">
        <f>100*B397/B$7</f>
        <v/>
      </c>
      <c r="I397" s="13">
        <f>100*C397/C$7</f>
        <v/>
      </c>
      <c r="J397" s="13">
        <f>100*D397/D$7</f>
        <v/>
      </c>
      <c r="K397" s="13">
        <f>100*E397/E$7</f>
        <v/>
      </c>
      <c r="L397" s="13">
        <f>100*F397/F$7</f>
        <v/>
      </c>
      <c r="M397" s="13">
        <f>100*G397/G$7</f>
        <v/>
      </c>
    </row>
    <row r="398">
      <c r="A398" s="11" t="n">
        <v>45475</v>
      </c>
      <c r="B398" s="12" t="n">
        <v>492.2742</v>
      </c>
      <c r="C398" s="12" t="n">
        <v>64.480408</v>
      </c>
      <c r="D398" s="12" t="n">
        <v>50.323479</v>
      </c>
      <c r="E398" s="12" t="n">
        <v>63.195526</v>
      </c>
      <c r="F398" s="12" t="n">
        <v>14.026877</v>
      </c>
      <c r="G398" s="12" t="n">
        <v>65.62977600000001</v>
      </c>
      <c r="H398" s="13">
        <f>100*B398/B$7</f>
        <v/>
      </c>
      <c r="I398" s="13">
        <f>100*C398/C$7</f>
        <v/>
      </c>
      <c r="J398" s="13">
        <f>100*D398/D$7</f>
        <v/>
      </c>
      <c r="K398" s="13">
        <f>100*E398/E$7</f>
        <v/>
      </c>
      <c r="L398" s="13">
        <f>100*F398/F$7</f>
        <v/>
      </c>
      <c r="M398" s="13">
        <f>100*G398/G$7</f>
        <v/>
      </c>
    </row>
    <row r="399">
      <c r="A399" s="11" t="n">
        <v>45476</v>
      </c>
      <c r="B399" s="12" t="n">
        <v>494.498871</v>
      </c>
      <c r="C399" s="12" t="n">
        <v>65.07034299999999</v>
      </c>
      <c r="D399" s="12" t="n">
        <v>51.175323</v>
      </c>
      <c r="E399" s="12" t="n">
        <v>63.854603</v>
      </c>
      <c r="F399" s="12" t="n">
        <v>14.209757</v>
      </c>
      <c r="G399" s="12" t="n">
        <v>66.474586</v>
      </c>
      <c r="H399" s="13">
        <f>100*B399/B$7</f>
        <v/>
      </c>
      <c r="I399" s="13">
        <f>100*C399/C$7</f>
        <v/>
      </c>
      <c r="J399" s="13">
        <f>100*D399/D$7</f>
        <v/>
      </c>
      <c r="K399" s="13">
        <f>100*E399/E$7</f>
        <v/>
      </c>
      <c r="L399" s="13">
        <f>100*F399/F$7</f>
        <v/>
      </c>
      <c r="M399" s="13">
        <f>100*G399/G$7</f>
        <v/>
      </c>
    </row>
    <row r="400">
      <c r="A400" s="11" t="n">
        <v>45477</v>
      </c>
      <c r="B400" s="12" t="n">
        <v>494.498871</v>
      </c>
      <c r="C400" s="12" t="n">
        <v>65.07034299999999</v>
      </c>
      <c r="D400" s="12" t="n">
        <v>51.175323</v>
      </c>
      <c r="E400" s="12" t="n">
        <v>63.854603</v>
      </c>
      <c r="F400" s="12" t="n">
        <v>14.209757</v>
      </c>
      <c r="G400" s="12" t="n">
        <v>66.474586</v>
      </c>
      <c r="H400" s="13">
        <f>100*B400/B$7</f>
        <v/>
      </c>
      <c r="I400" s="13">
        <f>100*C400/C$7</f>
        <v/>
      </c>
      <c r="J400" s="13">
        <f>100*D400/D$7</f>
        <v/>
      </c>
      <c r="K400" s="13">
        <f>100*E400/E$7</f>
        <v/>
      </c>
      <c r="L400" s="13">
        <f>100*F400/F$7</f>
        <v/>
      </c>
      <c r="M400" s="13">
        <f>100*G400/G$7</f>
        <v/>
      </c>
    </row>
    <row r="401">
      <c r="A401" s="11" t="n">
        <v>45478</v>
      </c>
      <c r="B401" s="12" t="n">
        <v>497.455231</v>
      </c>
      <c r="C401" s="12" t="n">
        <v>65.510452</v>
      </c>
      <c r="D401" s="12" t="n">
        <v>51.369762</v>
      </c>
      <c r="E401" s="12" t="n">
        <v>65.87005600000001</v>
      </c>
      <c r="F401" s="12" t="n">
        <v>13.880574</v>
      </c>
      <c r="G401" s="12" t="n">
        <v>65.42094400000001</v>
      </c>
      <c r="H401" s="13">
        <f>100*B401/B$7</f>
        <v/>
      </c>
      <c r="I401" s="13">
        <f>100*C401/C$7</f>
        <v/>
      </c>
      <c r="J401" s="13">
        <f>100*D401/D$7</f>
        <v/>
      </c>
      <c r="K401" s="13">
        <f>100*E401/E$7</f>
        <v/>
      </c>
      <c r="L401" s="13">
        <f>100*F401/F$7</f>
        <v/>
      </c>
      <c r="M401" s="13">
        <f>100*G401/G$7</f>
        <v/>
      </c>
    </row>
    <row r="402">
      <c r="A402" s="11" t="n">
        <v>45481</v>
      </c>
      <c r="B402" s="12" t="n">
        <v>497.93335</v>
      </c>
      <c r="C402" s="12" t="n">
        <v>65.192078</v>
      </c>
      <c r="D402" s="12" t="n">
        <v>52.07346</v>
      </c>
      <c r="E402" s="12" t="n">
        <v>65.15366400000001</v>
      </c>
      <c r="F402" s="12" t="n">
        <v>13.661117</v>
      </c>
      <c r="G402" s="12" t="n">
        <v>64.841919</v>
      </c>
      <c r="H402" s="13">
        <f>100*B402/B$7</f>
        <v/>
      </c>
      <c r="I402" s="13">
        <f>100*C402/C$7</f>
        <v/>
      </c>
      <c r="J402" s="13">
        <f>100*D402/D$7</f>
        <v/>
      </c>
      <c r="K402" s="13">
        <f>100*E402/E$7</f>
        <v/>
      </c>
      <c r="L402" s="13">
        <f>100*F402/F$7</f>
        <v/>
      </c>
      <c r="M402" s="13">
        <f>100*G402/G$7</f>
        <v/>
      </c>
    </row>
    <row r="403">
      <c r="A403" s="11" t="n">
        <v>45482</v>
      </c>
      <c r="B403" s="12" t="n">
        <v>498.479767</v>
      </c>
      <c r="C403" s="12" t="n">
        <v>65.54791299999999</v>
      </c>
      <c r="D403" s="12" t="n">
        <v>51.934574</v>
      </c>
      <c r="E403" s="12" t="n">
        <v>65.077248</v>
      </c>
      <c r="F403" s="12" t="n">
        <v>13.779989</v>
      </c>
      <c r="G403" s="12" t="n">
        <v>65.677238</v>
      </c>
      <c r="H403" s="13">
        <f>100*B403/B$7</f>
        <v/>
      </c>
      <c r="I403" s="13">
        <f>100*C403/C$7</f>
        <v/>
      </c>
      <c r="J403" s="13">
        <f>100*D403/D$7</f>
        <v/>
      </c>
      <c r="K403" s="13">
        <f>100*E403/E$7</f>
        <v/>
      </c>
      <c r="L403" s="13">
        <f>100*F403/F$7</f>
        <v/>
      </c>
      <c r="M403" s="13">
        <f>100*G403/G$7</f>
        <v/>
      </c>
    </row>
    <row r="404">
      <c r="A404" s="11" t="n">
        <v>45483</v>
      </c>
      <c r="B404" s="12" t="n">
        <v>503.280212</v>
      </c>
      <c r="C404" s="12" t="n">
        <v>66.746498</v>
      </c>
      <c r="D404" s="12" t="n">
        <v>52.66605</v>
      </c>
      <c r="E404" s="12" t="n">
        <v>65.717232</v>
      </c>
      <c r="F404" s="12" t="n">
        <v>13.871429</v>
      </c>
      <c r="G404" s="12" t="n">
        <v>65.411461</v>
      </c>
      <c r="H404" s="13">
        <f>100*B404/B$7</f>
        <v/>
      </c>
      <c r="I404" s="13">
        <f>100*C404/C$7</f>
        <v/>
      </c>
      <c r="J404" s="13">
        <f>100*D404/D$7</f>
        <v/>
      </c>
      <c r="K404" s="13">
        <f>100*E404/E$7</f>
        <v/>
      </c>
      <c r="L404" s="13">
        <f>100*F404/F$7</f>
        <v/>
      </c>
      <c r="M404" s="13">
        <f>100*G404/G$7</f>
        <v/>
      </c>
    </row>
    <row r="405">
      <c r="A405" s="11" t="n">
        <v>45484</v>
      </c>
      <c r="B405" s="12" t="n">
        <v>498.96759</v>
      </c>
      <c r="C405" s="12" t="n">
        <v>66.493675</v>
      </c>
      <c r="D405" s="12" t="n">
        <v>52.629013</v>
      </c>
      <c r="E405" s="12" t="n">
        <v>65.76499200000001</v>
      </c>
      <c r="F405" s="12" t="n">
        <v>14.182325</v>
      </c>
      <c r="G405" s="12" t="n">
        <v>66.73088799999999</v>
      </c>
      <c r="H405" s="13">
        <f>100*B405/B$7</f>
        <v/>
      </c>
      <c r="I405" s="13">
        <f>100*C405/C$7</f>
        <v/>
      </c>
      <c r="J405" s="13">
        <f>100*D405/D$7</f>
        <v/>
      </c>
      <c r="K405" s="13">
        <f>100*E405/E$7</f>
        <v/>
      </c>
      <c r="L405" s="13">
        <f>100*F405/F$7</f>
        <v/>
      </c>
      <c r="M405" s="13">
        <f>100*G405/G$7</f>
        <v/>
      </c>
    </row>
    <row r="406">
      <c r="A406" s="11" t="n">
        <v>45485</v>
      </c>
      <c r="B406" s="12" t="n">
        <v>502.050842</v>
      </c>
      <c r="C406" s="12" t="n">
        <v>66.85887099999999</v>
      </c>
      <c r="D406" s="12" t="n">
        <v>52.601234</v>
      </c>
      <c r="E406" s="12" t="n">
        <v>65.57395200000001</v>
      </c>
      <c r="F406" s="12" t="n">
        <v>14.511508</v>
      </c>
      <c r="G406" s="12" t="n">
        <v>67.148544</v>
      </c>
      <c r="H406" s="13">
        <f>100*B406/B$7</f>
        <v/>
      </c>
      <c r="I406" s="13">
        <f>100*C406/C$7</f>
        <v/>
      </c>
      <c r="J406" s="13">
        <f>100*D406/D$7</f>
        <v/>
      </c>
      <c r="K406" s="13">
        <f>100*E406/E$7</f>
        <v/>
      </c>
      <c r="L406" s="13">
        <f>100*F406/F$7</f>
        <v/>
      </c>
      <c r="M406" s="13">
        <f>100*G406/G$7</f>
        <v/>
      </c>
    </row>
    <row r="407">
      <c r="A407" s="11" t="n">
        <v>45488</v>
      </c>
      <c r="B407" s="12" t="n">
        <v>503.572968</v>
      </c>
      <c r="C407" s="12" t="n">
        <v>66.54048899999999</v>
      </c>
      <c r="D407" s="12" t="n">
        <v>51.730869</v>
      </c>
      <c r="E407" s="12" t="n">
        <v>64.58055899999999</v>
      </c>
      <c r="F407" s="12" t="n">
        <v>14.264622</v>
      </c>
      <c r="G407" s="12" t="n">
        <v>65.98099499999999</v>
      </c>
      <c r="H407" s="13">
        <f>100*B407/B$7</f>
        <v/>
      </c>
      <c r="I407" s="13">
        <f>100*C407/C$7</f>
        <v/>
      </c>
      <c r="J407" s="13">
        <f>100*D407/D$7</f>
        <v/>
      </c>
      <c r="K407" s="13">
        <f>100*E407/E$7</f>
        <v/>
      </c>
      <c r="L407" s="13">
        <f>100*F407/F$7</f>
        <v/>
      </c>
      <c r="M407" s="13">
        <f>100*G407/G$7</f>
        <v/>
      </c>
    </row>
    <row r="408">
      <c r="A408" s="11" t="n">
        <v>45489</v>
      </c>
      <c r="B408" s="12" t="n">
        <v>506.431793</v>
      </c>
      <c r="C408" s="12" t="n">
        <v>67.327065</v>
      </c>
      <c r="D408" s="12" t="n">
        <v>52.379013</v>
      </c>
      <c r="E408" s="12" t="n">
        <v>65.172775</v>
      </c>
      <c r="F408" s="12" t="n">
        <v>14.282908</v>
      </c>
      <c r="G408" s="12" t="n">
        <v>66.018959</v>
      </c>
      <c r="H408" s="13">
        <f>100*B408/B$7</f>
        <v/>
      </c>
      <c r="I408" s="13">
        <f>100*C408/C$7</f>
        <v/>
      </c>
      <c r="J408" s="13">
        <f>100*D408/D$7</f>
        <v/>
      </c>
      <c r="K408" s="13">
        <f>100*E408/E$7</f>
        <v/>
      </c>
      <c r="L408" s="13">
        <f>100*F408/F$7</f>
        <v/>
      </c>
      <c r="M408" s="13">
        <f>100*G408/G$7</f>
        <v/>
      </c>
    </row>
    <row r="409">
      <c r="A409" s="11" t="n">
        <v>45490</v>
      </c>
      <c r="B409" s="12" t="n">
        <v>499.35791</v>
      </c>
      <c r="C409" s="12" t="n">
        <v>66.93377700000001</v>
      </c>
      <c r="D409" s="12" t="n">
        <v>50.601257</v>
      </c>
      <c r="E409" s="12" t="n">
        <v>64.074303</v>
      </c>
      <c r="F409" s="12" t="n">
        <v>14.319485</v>
      </c>
      <c r="G409" s="12" t="n">
        <v>65.297546</v>
      </c>
      <c r="H409" s="13">
        <f>100*B409/B$7</f>
        <v/>
      </c>
      <c r="I409" s="13">
        <f>100*C409/C$7</f>
        <v/>
      </c>
      <c r="J409" s="13">
        <f>100*D409/D$7</f>
        <v/>
      </c>
      <c r="K409" s="13">
        <f>100*E409/E$7</f>
        <v/>
      </c>
      <c r="L409" s="13">
        <f>100*F409/F$7</f>
        <v/>
      </c>
      <c r="M409" s="13">
        <f>100*G409/G$7</f>
        <v/>
      </c>
    </row>
    <row r="410">
      <c r="A410" s="11" t="n">
        <v>45491</v>
      </c>
      <c r="B410" s="12" t="n">
        <v>495.60144</v>
      </c>
      <c r="C410" s="12" t="n">
        <v>65.922478</v>
      </c>
      <c r="D410" s="12" t="n">
        <v>49.971634</v>
      </c>
      <c r="E410" s="12" t="n">
        <v>63.014042</v>
      </c>
      <c r="F410" s="12" t="n">
        <v>14.173182</v>
      </c>
      <c r="G410" s="12" t="n">
        <v>64.83242799999999</v>
      </c>
      <c r="H410" s="13">
        <f>100*B410/B$7</f>
        <v/>
      </c>
      <c r="I410" s="13">
        <f>100*C410/C$7</f>
        <v/>
      </c>
      <c r="J410" s="13">
        <f>100*D410/D$7</f>
        <v/>
      </c>
      <c r="K410" s="13">
        <f>100*E410/E$7</f>
        <v/>
      </c>
      <c r="L410" s="13">
        <f>100*F410/F$7</f>
        <v/>
      </c>
      <c r="M410" s="13">
        <f>100*G410/G$7</f>
        <v/>
      </c>
    </row>
    <row r="411">
      <c r="A411" s="11" t="n">
        <v>45492</v>
      </c>
      <c r="B411" s="12" t="n">
        <v>492.293732</v>
      </c>
      <c r="C411" s="12" t="n">
        <v>65.510452</v>
      </c>
      <c r="D411" s="12" t="n">
        <v>49.203125</v>
      </c>
      <c r="E411" s="12" t="n">
        <v>62.307198</v>
      </c>
      <c r="F411" s="12" t="n">
        <v>14.173182</v>
      </c>
      <c r="G411" s="12" t="n">
        <v>64.62359600000001</v>
      </c>
      <c r="H411" s="13">
        <f>100*B411/B$7</f>
        <v/>
      </c>
      <c r="I411" s="13">
        <f>100*C411/C$7</f>
        <v/>
      </c>
      <c r="J411" s="13">
        <f>100*D411/D$7</f>
        <v/>
      </c>
      <c r="K411" s="13">
        <f>100*E411/E$7</f>
        <v/>
      </c>
      <c r="L411" s="13">
        <f>100*F411/F$7</f>
        <v/>
      </c>
      <c r="M411" s="13">
        <f>100*G411/G$7</f>
        <v/>
      </c>
    </row>
    <row r="412">
      <c r="A412" s="11" t="n">
        <v>45495</v>
      </c>
      <c r="B412" s="12" t="n">
        <v>497.406525</v>
      </c>
      <c r="C412" s="12" t="n">
        <v>65.828835</v>
      </c>
      <c r="D412" s="12" t="n">
        <v>49.027199</v>
      </c>
      <c r="E412" s="12" t="n">
        <v>62.842106</v>
      </c>
      <c r="F412" s="12" t="n">
        <v>14.282908</v>
      </c>
      <c r="G412" s="12" t="n">
        <v>65.534859</v>
      </c>
      <c r="H412" s="13">
        <f>100*B412/B$7</f>
        <v/>
      </c>
      <c r="I412" s="13">
        <f>100*C412/C$7</f>
        <v/>
      </c>
      <c r="J412" s="13">
        <f>100*D412/D$7</f>
        <v/>
      </c>
      <c r="K412" s="13">
        <f>100*E412/E$7</f>
        <v/>
      </c>
      <c r="L412" s="13">
        <f>100*F412/F$7</f>
        <v/>
      </c>
      <c r="M412" s="13">
        <f>100*G412/G$7</f>
        <v/>
      </c>
    </row>
    <row r="413">
      <c r="A413" s="11" t="n">
        <v>45496</v>
      </c>
      <c r="B413" s="12" t="n">
        <v>496.577148</v>
      </c>
      <c r="C413" s="12" t="n">
        <v>65.772644</v>
      </c>
      <c r="D413" s="12" t="n">
        <v>49.184608</v>
      </c>
      <c r="E413" s="12" t="n">
        <v>62.555542</v>
      </c>
      <c r="F413" s="12" t="n">
        <v>14.136604</v>
      </c>
      <c r="G413" s="12" t="n">
        <v>64.29136699999999</v>
      </c>
      <c r="H413" s="13">
        <f>100*B413/B$7</f>
        <v/>
      </c>
      <c r="I413" s="13">
        <f>100*C413/C$7</f>
        <v/>
      </c>
      <c r="J413" s="13">
        <f>100*D413/D$7</f>
        <v/>
      </c>
      <c r="K413" s="13">
        <f>100*E413/E$7</f>
        <v/>
      </c>
      <c r="L413" s="13">
        <f>100*F413/F$7</f>
        <v/>
      </c>
      <c r="M413" s="13">
        <f>100*G413/G$7</f>
        <v/>
      </c>
    </row>
    <row r="414">
      <c r="A414" s="11" t="n">
        <v>45497</v>
      </c>
      <c r="B414" s="12" t="n">
        <v>485.210175</v>
      </c>
      <c r="C414" s="12" t="n">
        <v>64.480408</v>
      </c>
      <c r="D414" s="12" t="n">
        <v>47.943878</v>
      </c>
      <c r="E414" s="12" t="n">
        <v>61.619461</v>
      </c>
      <c r="F414" s="12" t="n">
        <v>13.908005</v>
      </c>
      <c r="G414" s="12" t="n">
        <v>63.645893</v>
      </c>
      <c r="H414" s="13">
        <f>100*B414/B$7</f>
        <v/>
      </c>
      <c r="I414" s="13">
        <f>100*C414/C$7</f>
        <v/>
      </c>
      <c r="J414" s="13">
        <f>100*D414/D$7</f>
        <v/>
      </c>
      <c r="K414" s="13">
        <f>100*E414/E$7</f>
        <v/>
      </c>
      <c r="L414" s="13">
        <f>100*F414/F$7</f>
        <v/>
      </c>
      <c r="M414" s="13">
        <f>100*G414/G$7</f>
        <v/>
      </c>
    </row>
    <row r="415">
      <c r="A415" s="11" t="n">
        <v>45498</v>
      </c>
      <c r="B415" s="12" t="n">
        <v>482.761108</v>
      </c>
      <c r="C415" s="12" t="n">
        <v>63.469101</v>
      </c>
      <c r="D415" s="12" t="n">
        <v>47.842026</v>
      </c>
      <c r="E415" s="12" t="n">
        <v>61.189617</v>
      </c>
      <c r="F415" s="12" t="n">
        <v>13.880574</v>
      </c>
      <c r="G415" s="12" t="n">
        <v>63.047863</v>
      </c>
      <c r="H415" s="13">
        <f>100*B415/B$7</f>
        <v/>
      </c>
      <c r="I415" s="13">
        <f>100*C415/C$7</f>
        <v/>
      </c>
      <c r="J415" s="13">
        <f>100*D415/D$7</f>
        <v/>
      </c>
      <c r="K415" s="13">
        <f>100*E415/E$7</f>
        <v/>
      </c>
      <c r="L415" s="13">
        <f>100*F415/F$7</f>
        <v/>
      </c>
      <c r="M415" s="13">
        <f>100*G415/G$7</f>
        <v/>
      </c>
    </row>
    <row r="416">
      <c r="A416" s="11" t="n">
        <v>45499</v>
      </c>
      <c r="B416" s="12" t="n">
        <v>488.17627</v>
      </c>
      <c r="C416" s="12" t="n">
        <v>64.321228</v>
      </c>
      <c r="D416" s="12" t="n">
        <v>48.27721</v>
      </c>
      <c r="E416" s="12" t="n">
        <v>62.135265</v>
      </c>
      <c r="F416" s="12" t="n">
        <v>13.972013</v>
      </c>
      <c r="G416" s="12" t="n">
        <v>63.494003</v>
      </c>
      <c r="H416" s="13">
        <f>100*B416/B$7</f>
        <v/>
      </c>
      <c r="I416" s="13">
        <f>100*C416/C$7</f>
        <v/>
      </c>
      <c r="J416" s="13">
        <f>100*D416/D$7</f>
        <v/>
      </c>
      <c r="K416" s="13">
        <f>100*E416/E$7</f>
        <v/>
      </c>
      <c r="L416" s="13">
        <f>100*F416/F$7</f>
        <v/>
      </c>
      <c r="M416" s="13">
        <f>100*G416/G$7</f>
        <v/>
      </c>
    </row>
    <row r="417">
      <c r="A417" s="11" t="n">
        <v>45502</v>
      </c>
      <c r="B417" s="12" t="n">
        <v>488.537323</v>
      </c>
      <c r="C417" s="12" t="n">
        <v>64.471046</v>
      </c>
      <c r="D417" s="12" t="n">
        <v>47.619808</v>
      </c>
      <c r="E417" s="12" t="n">
        <v>62.135265</v>
      </c>
      <c r="F417" s="12" t="n">
        <v>14.05431</v>
      </c>
      <c r="G417" s="12" t="n">
        <v>63.256702</v>
      </c>
      <c r="H417" s="13">
        <f>100*B417/B$7</f>
        <v/>
      </c>
      <c r="I417" s="13">
        <f>100*C417/C$7</f>
        <v/>
      </c>
      <c r="J417" s="13">
        <f>100*D417/D$7</f>
        <v/>
      </c>
      <c r="K417" s="13">
        <f>100*E417/E$7</f>
        <v/>
      </c>
      <c r="L417" s="13">
        <f>100*F417/F$7</f>
        <v/>
      </c>
      <c r="M417" s="13">
        <f>100*G417/G$7</f>
        <v/>
      </c>
    </row>
    <row r="418">
      <c r="A418" s="11" t="n">
        <v>45503</v>
      </c>
      <c r="B418" s="12" t="n">
        <v>485.980927</v>
      </c>
      <c r="C418" s="12" t="n">
        <v>64.555328</v>
      </c>
      <c r="D418" s="12" t="n">
        <v>47.582771</v>
      </c>
      <c r="E418" s="12" t="n">
        <v>61.629005</v>
      </c>
      <c r="F418" s="12" t="n">
        <v>13.935436</v>
      </c>
      <c r="G418" s="12" t="n">
        <v>62.668175</v>
      </c>
      <c r="H418" s="13">
        <f>100*B418/B$7</f>
        <v/>
      </c>
      <c r="I418" s="13">
        <f>100*C418/C$7</f>
        <v/>
      </c>
      <c r="J418" s="13">
        <f>100*D418/D$7</f>
        <v/>
      </c>
      <c r="K418" s="13">
        <f>100*E418/E$7</f>
        <v/>
      </c>
      <c r="L418" s="13">
        <f>100*F418/F$7</f>
        <v/>
      </c>
      <c r="M418" s="13">
        <f>100*G418/G$7</f>
        <v/>
      </c>
    </row>
    <row r="419">
      <c r="A419" s="11" t="n">
        <v>45504</v>
      </c>
      <c r="B419" s="12" t="n">
        <v>493.640259</v>
      </c>
      <c r="C419" s="12" t="n">
        <v>66.456215</v>
      </c>
      <c r="D419" s="12" t="n">
        <v>49.203125</v>
      </c>
      <c r="E419" s="12" t="n">
        <v>63.56805</v>
      </c>
      <c r="F419" s="12" t="n">
        <v>13.944581</v>
      </c>
      <c r="G419" s="12" t="n">
        <v>64.063545</v>
      </c>
      <c r="H419" s="13">
        <f>100*B419/B$7</f>
        <v/>
      </c>
      <c r="I419" s="13">
        <f>100*C419/C$7</f>
        <v/>
      </c>
      <c r="J419" s="13">
        <f>100*D419/D$7</f>
        <v/>
      </c>
      <c r="K419" s="13">
        <f>100*E419/E$7</f>
        <v/>
      </c>
      <c r="L419" s="13">
        <f>100*F419/F$7</f>
        <v/>
      </c>
      <c r="M419" s="13">
        <f>100*G419/G$7</f>
        <v/>
      </c>
    </row>
    <row r="420">
      <c r="A420" s="11" t="n">
        <v>45505</v>
      </c>
      <c r="B420" s="12" t="n">
        <v>486.907898</v>
      </c>
      <c r="C420" s="12" t="n">
        <v>63.253731</v>
      </c>
      <c r="D420" s="12" t="n">
        <v>47.906845</v>
      </c>
      <c r="E420" s="12" t="n">
        <v>62.393162</v>
      </c>
      <c r="F420" s="12" t="n">
        <v>13.935436</v>
      </c>
      <c r="G420" s="12" t="n">
        <v>63.133305</v>
      </c>
      <c r="H420" s="13">
        <f>100*B420/B$7</f>
        <v/>
      </c>
      <c r="I420" s="13">
        <f>100*C420/C$7</f>
        <v/>
      </c>
      <c r="J420" s="13">
        <f>100*D420/D$7</f>
        <v/>
      </c>
      <c r="K420" s="13">
        <f>100*E420/E$7</f>
        <v/>
      </c>
      <c r="L420" s="13">
        <f>100*F420/F$7</f>
        <v/>
      </c>
      <c r="M420" s="13">
        <f>100*G420/G$7</f>
        <v/>
      </c>
    </row>
    <row r="421">
      <c r="A421" s="11" t="n">
        <v>45506</v>
      </c>
      <c r="B421" s="12" t="n">
        <v>478.009369</v>
      </c>
      <c r="C421" s="12" t="n">
        <v>60.538174</v>
      </c>
      <c r="D421" s="12" t="n">
        <v>46.56427</v>
      </c>
      <c r="E421" s="12" t="n">
        <v>60.702473</v>
      </c>
      <c r="F421" s="12" t="n">
        <v>13.853141</v>
      </c>
      <c r="G421" s="12" t="n">
        <v>63.038383</v>
      </c>
      <c r="H421" s="13">
        <f>100*B421/B$7</f>
        <v/>
      </c>
      <c r="I421" s="13">
        <f>100*C421/C$7</f>
        <v/>
      </c>
      <c r="J421" s="13">
        <f>100*D421/D$7</f>
        <v/>
      </c>
      <c r="K421" s="13">
        <f>100*E421/E$7</f>
        <v/>
      </c>
      <c r="L421" s="13">
        <f>100*F421/F$7</f>
        <v/>
      </c>
      <c r="M421" s="13">
        <f>100*G421/G$7</f>
        <v/>
      </c>
    </row>
    <row r="422">
      <c r="A422" s="11" t="n">
        <v>45509</v>
      </c>
      <c r="B422" s="12" t="n">
        <v>463.656738</v>
      </c>
      <c r="C422" s="12" t="n">
        <v>59.395771</v>
      </c>
      <c r="D422" s="12" t="n">
        <v>44.240219</v>
      </c>
      <c r="E422" s="12" t="n">
        <v>57.416611</v>
      </c>
      <c r="F422" s="12" t="n">
        <v>13.944581</v>
      </c>
      <c r="G422" s="12" t="n">
        <v>62.658688</v>
      </c>
      <c r="H422" s="13">
        <f>100*B422/B$7</f>
        <v/>
      </c>
      <c r="I422" s="13">
        <f>100*C422/C$7</f>
        <v/>
      </c>
      <c r="J422" s="13">
        <f>100*D422/D$7</f>
        <v/>
      </c>
      <c r="K422" s="13">
        <f>100*E422/E$7</f>
        <v/>
      </c>
      <c r="L422" s="13">
        <f>100*F422/F$7</f>
        <v/>
      </c>
      <c r="M422" s="13">
        <f>100*G422/G$7</f>
        <v/>
      </c>
    </row>
    <row r="423">
      <c r="A423" s="11" t="n">
        <v>45510</v>
      </c>
      <c r="B423" s="12" t="n">
        <v>468.281525</v>
      </c>
      <c r="C423" s="12" t="n">
        <v>59.105484</v>
      </c>
      <c r="D423" s="12" t="n">
        <v>44.712437</v>
      </c>
      <c r="E423" s="12" t="n">
        <v>56.776627</v>
      </c>
      <c r="F423" s="12" t="n">
        <v>13.807421</v>
      </c>
      <c r="G423" s="12" t="n">
        <v>62.582752</v>
      </c>
      <c r="H423" s="13">
        <f>100*B423/B$7</f>
        <v/>
      </c>
      <c r="I423" s="13">
        <f>100*C423/C$7</f>
        <v/>
      </c>
      <c r="J423" s="13">
        <f>100*D423/D$7</f>
        <v/>
      </c>
      <c r="K423" s="13">
        <f>100*E423/E$7</f>
        <v/>
      </c>
      <c r="L423" s="13">
        <f>100*F423/F$7</f>
        <v/>
      </c>
      <c r="M423" s="13">
        <f>100*G423/G$7</f>
        <v/>
      </c>
    </row>
    <row r="424">
      <c r="A424" s="11" t="n">
        <v>45511</v>
      </c>
      <c r="B424" s="12" t="n">
        <v>465.03244</v>
      </c>
      <c r="C424" s="12" t="n">
        <v>60.088699</v>
      </c>
      <c r="D424" s="12" t="n">
        <v>45.351318</v>
      </c>
      <c r="E424" s="12" t="n">
        <v>57.273331</v>
      </c>
      <c r="F424" s="12" t="n">
        <v>13.898861</v>
      </c>
      <c r="G424" s="12" t="n">
        <v>62.725132</v>
      </c>
      <c r="H424" s="13">
        <f>100*B424/B$7</f>
        <v/>
      </c>
      <c r="I424" s="13">
        <f>100*C424/C$7</f>
        <v/>
      </c>
      <c r="J424" s="13">
        <f>100*D424/D$7</f>
        <v/>
      </c>
      <c r="K424" s="13">
        <f>100*E424/E$7</f>
        <v/>
      </c>
      <c r="L424" s="13">
        <f>100*F424/F$7</f>
        <v/>
      </c>
      <c r="M424" s="13">
        <f>100*G424/G$7</f>
        <v/>
      </c>
    </row>
    <row r="425">
      <c r="A425" s="11" t="n">
        <v>45512</v>
      </c>
      <c r="B425" s="12" t="n">
        <v>475.882385</v>
      </c>
      <c r="C425" s="12" t="n">
        <v>61.362198</v>
      </c>
      <c r="D425" s="12" t="n">
        <v>47.082779</v>
      </c>
      <c r="E425" s="12" t="n">
        <v>58.715675</v>
      </c>
      <c r="F425" s="12" t="n">
        <v>14.228045</v>
      </c>
      <c r="G425" s="12" t="n">
        <v>63.873707</v>
      </c>
      <c r="H425" s="13">
        <f>100*B425/B$7</f>
        <v/>
      </c>
      <c r="I425" s="13">
        <f>100*C425/C$7</f>
        <v/>
      </c>
      <c r="J425" s="13">
        <f>100*D425/D$7</f>
        <v/>
      </c>
      <c r="K425" s="13">
        <f>100*E425/E$7</f>
        <v/>
      </c>
      <c r="L425" s="13">
        <f>100*F425/F$7</f>
        <v/>
      </c>
      <c r="M425" s="13">
        <f>100*G425/G$7</f>
        <v/>
      </c>
    </row>
    <row r="426">
      <c r="A426" s="11" t="n">
        <v>45513</v>
      </c>
      <c r="B426" s="12" t="n">
        <v>477.9216</v>
      </c>
      <c r="C426" s="12" t="n">
        <v>61.212387</v>
      </c>
      <c r="D426" s="12" t="n">
        <v>47.666107</v>
      </c>
      <c r="E426" s="12" t="n">
        <v>59.432068</v>
      </c>
      <c r="F426" s="12" t="n">
        <v>14.136604</v>
      </c>
      <c r="G426" s="12" t="n">
        <v>63.579441</v>
      </c>
      <c r="H426" s="13">
        <f>100*B426/B$7</f>
        <v/>
      </c>
      <c r="I426" s="13">
        <f>100*C426/C$7</f>
        <v/>
      </c>
      <c r="J426" s="13">
        <f>100*D426/D$7</f>
        <v/>
      </c>
      <c r="K426" s="13">
        <f>100*E426/E$7</f>
        <v/>
      </c>
      <c r="L426" s="13">
        <f>100*F426/F$7</f>
        <v/>
      </c>
      <c r="M426" s="13">
        <f>100*G426/G$7</f>
        <v/>
      </c>
    </row>
    <row r="427">
      <c r="A427" s="11" t="n">
        <v>45516</v>
      </c>
      <c r="B427" s="12" t="n">
        <v>478.165497</v>
      </c>
      <c r="C427" s="12" t="n">
        <v>61.549488</v>
      </c>
      <c r="D427" s="12" t="n">
        <v>48.017952</v>
      </c>
      <c r="E427" s="12" t="n">
        <v>59.470272</v>
      </c>
      <c r="F427" s="12" t="n">
        <v>14.109173</v>
      </c>
      <c r="G427" s="12" t="n">
        <v>64.02557400000001</v>
      </c>
      <c r="H427" s="13">
        <f>100*B427/B$7</f>
        <v/>
      </c>
      <c r="I427" s="13">
        <f>100*C427/C$7</f>
        <v/>
      </c>
      <c r="J427" s="13">
        <f>100*D427/D$7</f>
        <v/>
      </c>
      <c r="K427" s="13">
        <f>100*E427/E$7</f>
        <v/>
      </c>
      <c r="L427" s="13">
        <f>100*F427/F$7</f>
        <v/>
      </c>
      <c r="M427" s="13">
        <f>100*G427/G$7</f>
        <v/>
      </c>
    </row>
    <row r="428">
      <c r="A428" s="11" t="n">
        <v>45517</v>
      </c>
      <c r="B428" s="12" t="n">
        <v>486.107788</v>
      </c>
      <c r="C428" s="12" t="n">
        <v>63.309917</v>
      </c>
      <c r="D428" s="12" t="n">
        <v>49.092014</v>
      </c>
      <c r="E428" s="12" t="n">
        <v>60.740681</v>
      </c>
      <c r="F428" s="12" t="n">
        <v>14.282908</v>
      </c>
      <c r="G428" s="12" t="n">
        <v>64.519188</v>
      </c>
      <c r="H428" s="13">
        <f>100*B428/B$7</f>
        <v/>
      </c>
      <c r="I428" s="13">
        <f>100*C428/C$7</f>
        <v/>
      </c>
      <c r="J428" s="13">
        <f>100*D428/D$7</f>
        <v/>
      </c>
      <c r="K428" s="13">
        <f>100*E428/E$7</f>
        <v/>
      </c>
      <c r="L428" s="13">
        <f>100*F428/F$7</f>
        <v/>
      </c>
      <c r="M428" s="13">
        <f>100*G428/G$7</f>
        <v/>
      </c>
    </row>
    <row r="429">
      <c r="A429" s="11" t="n">
        <v>45518</v>
      </c>
      <c r="B429" s="12" t="n">
        <v>487.659119</v>
      </c>
      <c r="C429" s="12" t="n">
        <v>63.403549</v>
      </c>
      <c r="D429" s="12" t="n">
        <v>48.943871</v>
      </c>
      <c r="E429" s="12" t="n">
        <v>60.855301</v>
      </c>
      <c r="F429" s="12" t="n">
        <v>14.100029</v>
      </c>
      <c r="G429" s="12" t="n">
        <v>63.351631</v>
      </c>
      <c r="H429" s="13">
        <f>100*B429/B$7</f>
        <v/>
      </c>
      <c r="I429" s="13">
        <f>100*C429/C$7</f>
        <v/>
      </c>
      <c r="J429" s="13">
        <f>100*D429/D$7</f>
        <v/>
      </c>
      <c r="K429" s="13">
        <f>100*E429/E$7</f>
        <v/>
      </c>
      <c r="L429" s="13">
        <f>100*F429/F$7</f>
        <v/>
      </c>
      <c r="M429" s="13">
        <f>100*G429/G$7</f>
        <v/>
      </c>
    </row>
    <row r="430">
      <c r="A430" s="11" t="n">
        <v>45519</v>
      </c>
      <c r="B430" s="12" t="n">
        <v>496.03067</v>
      </c>
      <c r="C430" s="12" t="n">
        <v>64.62087200000001</v>
      </c>
      <c r="D430" s="12" t="n">
        <v>49.286457</v>
      </c>
      <c r="E430" s="12" t="n">
        <v>61.457073</v>
      </c>
      <c r="F430" s="12" t="n">
        <v>14.246332</v>
      </c>
      <c r="G430" s="12" t="n">
        <v>64.167969</v>
      </c>
      <c r="H430" s="13">
        <f>100*B430/B$7</f>
        <v/>
      </c>
      <c r="I430" s="13">
        <f>100*C430/C$7</f>
        <v/>
      </c>
      <c r="J430" s="13">
        <f>100*D430/D$7</f>
        <v/>
      </c>
      <c r="K430" s="13">
        <f>100*E430/E$7</f>
        <v/>
      </c>
      <c r="L430" s="13">
        <f>100*F430/F$7</f>
        <v/>
      </c>
      <c r="M430" s="13">
        <f>100*G430/G$7</f>
        <v/>
      </c>
    </row>
    <row r="431">
      <c r="A431" s="11" t="n">
        <v>45520</v>
      </c>
      <c r="B431" s="12" t="n">
        <v>497.074738</v>
      </c>
      <c r="C431" s="12" t="n">
        <v>64.957977</v>
      </c>
      <c r="D431" s="12" t="n">
        <v>49.80497</v>
      </c>
      <c r="E431" s="12" t="n">
        <v>62.603306</v>
      </c>
      <c r="F431" s="12" t="n">
        <v>14.319485</v>
      </c>
      <c r="G431" s="12" t="n">
        <v>64.99380499999999</v>
      </c>
      <c r="H431" s="13">
        <f>100*B431/B$7</f>
        <v/>
      </c>
      <c r="I431" s="13">
        <f>100*C431/C$7</f>
        <v/>
      </c>
      <c r="J431" s="13">
        <f>100*D431/D$7</f>
        <v/>
      </c>
      <c r="K431" s="13">
        <f>100*E431/E$7</f>
        <v/>
      </c>
      <c r="L431" s="13">
        <f>100*F431/F$7</f>
        <v/>
      </c>
      <c r="M431" s="13">
        <f>100*G431/G$7</f>
        <v/>
      </c>
    </row>
    <row r="432">
      <c r="A432" s="11" t="n">
        <v>45523</v>
      </c>
      <c r="B432" s="12" t="n">
        <v>501.855682</v>
      </c>
      <c r="C432" s="12" t="n">
        <v>65.885017</v>
      </c>
      <c r="D432" s="12" t="n">
        <v>50.591999</v>
      </c>
      <c r="E432" s="12" t="n">
        <v>63.310146</v>
      </c>
      <c r="F432" s="12" t="n">
        <v>14.465788</v>
      </c>
      <c r="G432" s="12" t="n">
        <v>65.439941</v>
      </c>
      <c r="H432" s="13">
        <f>100*B432/B$7</f>
        <v/>
      </c>
      <c r="I432" s="13">
        <f>100*C432/C$7</f>
        <v/>
      </c>
      <c r="J432" s="13">
        <f>100*D432/D$7</f>
        <v/>
      </c>
      <c r="K432" s="13">
        <f>100*E432/E$7</f>
        <v/>
      </c>
      <c r="L432" s="13">
        <f>100*F432/F$7</f>
        <v/>
      </c>
      <c r="M432" s="13">
        <f>100*G432/G$7</f>
        <v/>
      </c>
    </row>
    <row r="433">
      <c r="A433" s="11" t="n">
        <v>45524</v>
      </c>
      <c r="B433" s="12" t="n">
        <v>501.026337</v>
      </c>
      <c r="C433" s="12" t="n">
        <v>65.56663500000001</v>
      </c>
      <c r="D433" s="12" t="n">
        <v>50.12904</v>
      </c>
      <c r="E433" s="12" t="n">
        <v>63.348351</v>
      </c>
      <c r="F433" s="12" t="n">
        <v>14.255478</v>
      </c>
      <c r="G433" s="12" t="n">
        <v>64.035065</v>
      </c>
      <c r="H433" s="13">
        <f>100*B433/B$7</f>
        <v/>
      </c>
      <c r="I433" s="13">
        <f>100*C433/C$7</f>
        <v/>
      </c>
      <c r="J433" s="13">
        <f>100*D433/D$7</f>
        <v/>
      </c>
      <c r="K433" s="13">
        <f>100*E433/E$7</f>
        <v/>
      </c>
      <c r="L433" s="13">
        <f>100*F433/F$7</f>
        <v/>
      </c>
      <c r="M433" s="13">
        <f>100*G433/G$7</f>
        <v/>
      </c>
    </row>
    <row r="434">
      <c r="A434" s="11" t="n">
        <v>45525</v>
      </c>
      <c r="B434" s="12" t="n">
        <v>502.782684</v>
      </c>
      <c r="C434" s="12" t="n">
        <v>66.325119</v>
      </c>
      <c r="D434" s="12" t="n">
        <v>50.054966</v>
      </c>
      <c r="E434" s="12" t="n">
        <v>63.415215</v>
      </c>
      <c r="F434" s="12" t="n">
        <v>14.273764</v>
      </c>
      <c r="G434" s="12" t="n">
        <v>64.614098</v>
      </c>
      <c r="H434" s="13">
        <f>100*B434/B$7</f>
        <v/>
      </c>
      <c r="I434" s="13">
        <f>100*C434/C$7</f>
        <v/>
      </c>
      <c r="J434" s="13">
        <f>100*D434/D$7</f>
        <v/>
      </c>
      <c r="K434" s="13">
        <f>100*E434/E$7</f>
        <v/>
      </c>
      <c r="L434" s="13">
        <f>100*F434/F$7</f>
        <v/>
      </c>
      <c r="M434" s="13">
        <f>100*G434/G$7</f>
        <v/>
      </c>
    </row>
    <row r="435">
      <c r="A435" s="11" t="n">
        <v>45526</v>
      </c>
      <c r="B435" s="12" t="n">
        <v>498.713959</v>
      </c>
      <c r="C435" s="12" t="n">
        <v>65.838188</v>
      </c>
      <c r="D435" s="12" t="n">
        <v>48.953125</v>
      </c>
      <c r="E435" s="12" t="n">
        <v>62.211674</v>
      </c>
      <c r="F435" s="12" t="n">
        <v>14.328629</v>
      </c>
      <c r="G435" s="12" t="n">
        <v>64.07305100000001</v>
      </c>
      <c r="H435" s="13">
        <f>100*B435/B$7</f>
        <v/>
      </c>
      <c r="I435" s="13">
        <f>100*C435/C$7</f>
        <v/>
      </c>
      <c r="J435" s="13">
        <f>100*D435/D$7</f>
        <v/>
      </c>
      <c r="K435" s="13">
        <f>100*E435/E$7</f>
        <v/>
      </c>
      <c r="L435" s="13">
        <f>100*F435/F$7</f>
        <v/>
      </c>
      <c r="M435" s="13">
        <f>100*G435/G$7</f>
        <v/>
      </c>
    </row>
    <row r="436">
      <c r="A436" s="11" t="n">
        <v>45527</v>
      </c>
      <c r="B436" s="12" t="n">
        <v>504.109528</v>
      </c>
      <c r="C436" s="12" t="n">
        <v>67.35515599999999</v>
      </c>
      <c r="D436" s="12" t="n">
        <v>50.369778</v>
      </c>
      <c r="E436" s="12" t="n">
        <v>64.198471</v>
      </c>
      <c r="F436" s="12" t="n">
        <v>14.538939</v>
      </c>
      <c r="G436" s="12" t="n">
        <v>64.709023</v>
      </c>
      <c r="H436" s="13">
        <f>100*B436/B$7</f>
        <v/>
      </c>
      <c r="I436" s="13">
        <f>100*C436/C$7</f>
        <v/>
      </c>
      <c r="J436" s="13">
        <f>100*D436/D$7</f>
        <v/>
      </c>
      <c r="K436" s="13">
        <f>100*E436/E$7</f>
        <v/>
      </c>
      <c r="L436" s="13">
        <f>100*F436/F$7</f>
        <v/>
      </c>
      <c r="M436" s="13">
        <f>100*G436/G$7</f>
        <v/>
      </c>
    </row>
    <row r="437">
      <c r="A437" s="11" t="n">
        <v>45530</v>
      </c>
      <c r="B437" s="12" t="n">
        <v>502.870483</v>
      </c>
      <c r="C437" s="12" t="n">
        <v>66.512398</v>
      </c>
      <c r="D437" s="12" t="n">
        <v>49.934597</v>
      </c>
      <c r="E437" s="12" t="n">
        <v>63.128654</v>
      </c>
      <c r="F437" s="12" t="n">
        <v>14.639524</v>
      </c>
      <c r="G437" s="12" t="n">
        <v>63.513</v>
      </c>
      <c r="H437" s="13">
        <f>100*B437/B$7</f>
        <v/>
      </c>
      <c r="I437" s="13">
        <f>100*C437/C$7</f>
        <v/>
      </c>
      <c r="J437" s="13">
        <f>100*D437/D$7</f>
        <v/>
      </c>
      <c r="K437" s="13">
        <f>100*E437/E$7</f>
        <v/>
      </c>
      <c r="L437" s="13">
        <f>100*F437/F$7</f>
        <v/>
      </c>
      <c r="M437" s="13">
        <f>100*G437/G$7</f>
        <v/>
      </c>
    </row>
    <row r="438">
      <c r="A438" s="11" t="n">
        <v>45531</v>
      </c>
      <c r="B438" s="12" t="n">
        <v>503.54364</v>
      </c>
      <c r="C438" s="12" t="n">
        <v>67.167877</v>
      </c>
      <c r="D438" s="12" t="n">
        <v>50.110519</v>
      </c>
      <c r="E438" s="12" t="n">
        <v>63.214626</v>
      </c>
      <c r="F438" s="12" t="n">
        <v>14.740108</v>
      </c>
      <c r="G438" s="12" t="n">
        <v>63.693344</v>
      </c>
      <c r="H438" s="13">
        <f>100*B438/B$7</f>
        <v/>
      </c>
      <c r="I438" s="13">
        <f>100*C438/C$7</f>
        <v/>
      </c>
      <c r="J438" s="13">
        <f>100*D438/D$7</f>
        <v/>
      </c>
      <c r="K438" s="13">
        <f>100*E438/E$7</f>
        <v/>
      </c>
      <c r="L438" s="13">
        <f>100*F438/F$7</f>
        <v/>
      </c>
      <c r="M438" s="13">
        <f>100*G438/G$7</f>
        <v/>
      </c>
    </row>
    <row r="439">
      <c r="A439" s="11" t="n">
        <v>45532</v>
      </c>
      <c r="B439" s="12" t="n">
        <v>500.665344</v>
      </c>
      <c r="C439" s="12" t="n">
        <v>66.877594</v>
      </c>
      <c r="D439" s="12" t="n">
        <v>49.999409</v>
      </c>
      <c r="E439" s="12" t="n">
        <v>62.574654</v>
      </c>
      <c r="F439" s="12" t="n">
        <v>14.602949</v>
      </c>
      <c r="G439" s="12" t="n">
        <v>62.62072</v>
      </c>
      <c r="H439" s="13">
        <f>100*B439/B$7</f>
        <v/>
      </c>
      <c r="I439" s="13">
        <f>100*C439/C$7</f>
        <v/>
      </c>
      <c r="J439" s="13">
        <f>100*D439/D$7</f>
        <v/>
      </c>
      <c r="K439" s="13">
        <f>100*E439/E$7</f>
        <v/>
      </c>
      <c r="L439" s="13">
        <f>100*F439/F$7</f>
        <v/>
      </c>
      <c r="M439" s="13">
        <f>100*G439/G$7</f>
        <v/>
      </c>
    </row>
    <row r="440">
      <c r="A440" s="11" t="n">
        <v>45533</v>
      </c>
      <c r="B440" s="12" t="n">
        <v>500.743439</v>
      </c>
      <c r="C440" s="12" t="n">
        <v>66.98996699999999</v>
      </c>
      <c r="D440" s="12" t="n">
        <v>50.064224</v>
      </c>
      <c r="E440" s="12" t="n">
        <v>62.479134</v>
      </c>
      <c r="F440" s="12" t="n">
        <v>14.776685</v>
      </c>
      <c r="G440" s="12" t="n">
        <v>63.266197</v>
      </c>
      <c r="H440" s="13">
        <f>100*B440/B$7</f>
        <v/>
      </c>
      <c r="I440" s="13">
        <f>100*C440/C$7</f>
        <v/>
      </c>
      <c r="J440" s="13">
        <f>100*D440/D$7</f>
        <v/>
      </c>
      <c r="K440" s="13">
        <f>100*E440/E$7</f>
        <v/>
      </c>
      <c r="L440" s="13">
        <f>100*F440/F$7</f>
        <v/>
      </c>
      <c r="M440" s="13">
        <f>100*G440/G$7</f>
        <v/>
      </c>
    </row>
    <row r="441">
      <c r="A441" s="11" t="n">
        <v>45534</v>
      </c>
      <c r="B441" s="12" t="n">
        <v>505.456024</v>
      </c>
      <c r="C441" s="12" t="n">
        <v>67.39260899999999</v>
      </c>
      <c r="D441" s="12" t="n">
        <v>49.814228</v>
      </c>
      <c r="E441" s="12" t="n">
        <v>62.565098</v>
      </c>
      <c r="F441" s="12" t="n">
        <v>14.794972</v>
      </c>
      <c r="G441" s="12" t="n">
        <v>63.816757</v>
      </c>
      <c r="H441" s="13">
        <f>100*B441/B$7</f>
        <v/>
      </c>
      <c r="I441" s="13">
        <f>100*C441/C$7</f>
        <v/>
      </c>
      <c r="J441" s="13">
        <f>100*D441/D$7</f>
        <v/>
      </c>
      <c r="K441" s="13">
        <f>100*E441/E$7</f>
        <v/>
      </c>
      <c r="L441" s="13">
        <f>100*F441/F$7</f>
        <v/>
      </c>
      <c r="M441" s="13">
        <f>100*G441/G$7</f>
        <v/>
      </c>
    </row>
    <row r="442">
      <c r="A442" s="11" t="n">
        <v>45537</v>
      </c>
      <c r="B442" s="12" t="n">
        <v>505.456024</v>
      </c>
      <c r="C442" s="12" t="n">
        <v>67.39260899999999</v>
      </c>
      <c r="D442" s="12" t="n">
        <v>49.814228</v>
      </c>
      <c r="E442" s="12" t="n">
        <v>62.565098</v>
      </c>
      <c r="F442" s="12" t="n">
        <v>14.794972</v>
      </c>
      <c r="G442" s="12" t="n">
        <v>63.816757</v>
      </c>
      <c r="H442" s="13">
        <f>100*B442/B$7</f>
        <v/>
      </c>
      <c r="I442" s="13">
        <f>100*C442/C$7</f>
        <v/>
      </c>
      <c r="J442" s="13">
        <f>100*D442/D$7</f>
        <v/>
      </c>
      <c r="K442" s="13">
        <f>100*E442/E$7</f>
        <v/>
      </c>
      <c r="L442" s="13">
        <f>100*F442/F$7</f>
        <v/>
      </c>
      <c r="M442" s="13">
        <f>100*G442/G$7</f>
        <v/>
      </c>
    </row>
    <row r="443">
      <c r="A443" s="11" t="n">
        <v>45538</v>
      </c>
      <c r="B443" s="12" t="n">
        <v>495.230682</v>
      </c>
      <c r="C443" s="12" t="n">
        <v>66.38131</v>
      </c>
      <c r="D443" s="12" t="n">
        <v>47.842026</v>
      </c>
      <c r="E443" s="12" t="n">
        <v>60.406364</v>
      </c>
      <c r="F443" s="12" t="n">
        <v>14.456645</v>
      </c>
      <c r="G443" s="12" t="n">
        <v>63.038383</v>
      </c>
      <c r="H443" s="13">
        <f>100*B443/B$7</f>
        <v/>
      </c>
      <c r="I443" s="13">
        <f>100*C443/C$7</f>
        <v/>
      </c>
      <c r="J443" s="13">
        <f>100*D443/D$7</f>
        <v/>
      </c>
      <c r="K443" s="13">
        <f>100*E443/E$7</f>
        <v/>
      </c>
      <c r="L443" s="13">
        <f>100*F443/F$7</f>
        <v/>
      </c>
      <c r="M443" s="13">
        <f>100*G443/G$7</f>
        <v/>
      </c>
    </row>
    <row r="444">
      <c r="A444" s="11" t="n">
        <v>45539</v>
      </c>
      <c r="B444" s="12" t="n">
        <v>494.001251</v>
      </c>
      <c r="C444" s="12" t="n">
        <v>65.697739</v>
      </c>
      <c r="D444" s="12" t="n">
        <v>47.406849</v>
      </c>
      <c r="E444" s="12" t="n">
        <v>60.425465</v>
      </c>
      <c r="F444" s="12" t="n">
        <v>14.474933</v>
      </c>
      <c r="G444" s="12" t="n">
        <v>62.7631</v>
      </c>
      <c r="H444" s="13">
        <f>100*B444/B$7</f>
        <v/>
      </c>
      <c r="I444" s="13">
        <f>100*C444/C$7</f>
        <v/>
      </c>
      <c r="J444" s="13">
        <f>100*D444/D$7</f>
        <v/>
      </c>
      <c r="K444" s="13">
        <f>100*E444/E$7</f>
        <v/>
      </c>
      <c r="L444" s="13">
        <f>100*F444/F$7</f>
        <v/>
      </c>
      <c r="M444" s="13">
        <f>100*G444/G$7</f>
        <v/>
      </c>
    </row>
    <row r="445">
      <c r="A445" s="11" t="n">
        <v>45540</v>
      </c>
      <c r="B445" s="12" t="n">
        <v>492.781586</v>
      </c>
      <c r="C445" s="12" t="n">
        <v>66.091019</v>
      </c>
      <c r="D445" s="12" t="n">
        <v>47.749435</v>
      </c>
      <c r="E445" s="12" t="n">
        <v>60.024288</v>
      </c>
      <c r="F445" s="12" t="n">
        <v>14.621236</v>
      </c>
      <c r="G445" s="12" t="n">
        <v>62.84853</v>
      </c>
      <c r="H445" s="13">
        <f>100*B445/B$7</f>
        <v/>
      </c>
      <c r="I445" s="13">
        <f>100*C445/C$7</f>
        <v/>
      </c>
      <c r="J445" s="13">
        <f>100*D445/D$7</f>
        <v/>
      </c>
      <c r="K445" s="13">
        <f>100*E445/E$7</f>
        <v/>
      </c>
      <c r="L445" s="13">
        <f>100*F445/F$7</f>
        <v/>
      </c>
      <c r="M445" s="13">
        <f>100*G445/G$7</f>
        <v/>
      </c>
    </row>
    <row r="446">
      <c r="A446" s="11" t="n">
        <v>45541</v>
      </c>
      <c r="B446" s="12" t="n">
        <v>484.575928</v>
      </c>
      <c r="C446" s="12" t="n">
        <v>63.759384</v>
      </c>
      <c r="D446" s="12" t="n">
        <v>46.369823</v>
      </c>
      <c r="E446" s="12" t="n">
        <v>57.789135</v>
      </c>
      <c r="F446" s="12" t="n">
        <v>14.465788</v>
      </c>
      <c r="G446" s="12" t="n">
        <v>62.098637</v>
      </c>
      <c r="H446" s="13">
        <f>100*B446/B$7</f>
        <v/>
      </c>
      <c r="I446" s="13">
        <f>100*C446/C$7</f>
        <v/>
      </c>
      <c r="J446" s="13">
        <f>100*D446/D$7</f>
        <v/>
      </c>
      <c r="K446" s="13">
        <f>100*E446/E$7</f>
        <v/>
      </c>
      <c r="L446" s="13">
        <f>100*F446/F$7</f>
        <v/>
      </c>
      <c r="M446" s="13">
        <f>100*G446/G$7</f>
        <v/>
      </c>
    </row>
    <row r="447">
      <c r="A447" s="11" t="n">
        <v>45544</v>
      </c>
      <c r="B447" s="12" t="n">
        <v>490.030151</v>
      </c>
      <c r="C447" s="12" t="n">
        <v>64.920525</v>
      </c>
      <c r="D447" s="12" t="n">
        <v>47.425369</v>
      </c>
      <c r="E447" s="12" t="n">
        <v>58.887608</v>
      </c>
      <c r="F447" s="12" t="n">
        <v>14.557229</v>
      </c>
      <c r="G447" s="12" t="n">
        <v>61.899303</v>
      </c>
      <c r="H447" s="13">
        <f>100*B447/B$7</f>
        <v/>
      </c>
      <c r="I447" s="13">
        <f>100*C447/C$7</f>
        <v/>
      </c>
      <c r="J447" s="13">
        <f>100*D447/D$7</f>
        <v/>
      </c>
      <c r="K447" s="13">
        <f>100*E447/E$7</f>
        <v/>
      </c>
      <c r="L447" s="13">
        <f>100*F447/F$7</f>
        <v/>
      </c>
      <c r="M447" s="13">
        <f>100*G447/G$7</f>
        <v/>
      </c>
    </row>
    <row r="448">
      <c r="A448" s="11" t="n">
        <v>45545</v>
      </c>
      <c r="B448" s="12" t="n">
        <v>492.049866</v>
      </c>
      <c r="C448" s="12" t="n">
        <v>64.742599</v>
      </c>
      <c r="D448" s="12" t="n">
        <v>47.036484</v>
      </c>
      <c r="E448" s="12" t="n">
        <v>58.534184</v>
      </c>
      <c r="F448" s="12" t="n">
        <v>14.374349</v>
      </c>
      <c r="G448" s="12" t="n">
        <v>61.633522</v>
      </c>
      <c r="H448" s="13">
        <f>100*B448/B$7</f>
        <v/>
      </c>
      <c r="I448" s="13">
        <f>100*C448/C$7</f>
        <v/>
      </c>
      <c r="J448" s="13">
        <f>100*D448/D$7</f>
        <v/>
      </c>
      <c r="K448" s="13">
        <f>100*E448/E$7</f>
        <v/>
      </c>
      <c r="L448" s="13">
        <f>100*F448/F$7</f>
        <v/>
      </c>
      <c r="M448" s="13">
        <f>100*G448/G$7</f>
        <v/>
      </c>
    </row>
    <row r="449">
      <c r="A449" s="11" t="n">
        <v>45546</v>
      </c>
      <c r="B449" s="12" t="n">
        <v>497.084473</v>
      </c>
      <c r="C449" s="12" t="n">
        <v>65.135895</v>
      </c>
      <c r="D449" s="12" t="n">
        <v>48.147583</v>
      </c>
      <c r="E449" s="12" t="n">
        <v>58.89716</v>
      </c>
      <c r="F449" s="12" t="n">
        <v>14.410925</v>
      </c>
      <c r="G449" s="12" t="n">
        <v>62.089149</v>
      </c>
      <c r="H449" s="13">
        <f>100*B449/B$7</f>
        <v/>
      </c>
      <c r="I449" s="13">
        <f>100*C449/C$7</f>
        <v/>
      </c>
      <c r="J449" s="13">
        <f>100*D449/D$7</f>
        <v/>
      </c>
      <c r="K449" s="13">
        <f>100*E449/E$7</f>
        <v/>
      </c>
      <c r="L449" s="13">
        <f>100*F449/F$7</f>
        <v/>
      </c>
      <c r="M449" s="13">
        <f>100*G449/G$7</f>
        <v/>
      </c>
    </row>
    <row r="450">
      <c r="A450" s="11" t="n">
        <v>45547</v>
      </c>
      <c r="B450" s="12" t="n">
        <v>501.358093</v>
      </c>
      <c r="C450" s="12" t="n">
        <v>65.782005</v>
      </c>
      <c r="D450" s="12" t="n">
        <v>48.610538</v>
      </c>
      <c r="E450" s="12" t="n">
        <v>59.709072</v>
      </c>
      <c r="F450" s="12" t="n">
        <v>14.557229</v>
      </c>
      <c r="G450" s="12" t="n">
        <v>62.003712</v>
      </c>
      <c r="H450" s="13">
        <f>100*B450/B$7</f>
        <v/>
      </c>
      <c r="I450" s="13">
        <f>100*C450/C$7</f>
        <v/>
      </c>
      <c r="J450" s="13">
        <f>100*D450/D$7</f>
        <v/>
      </c>
      <c r="K450" s="13">
        <f>100*E450/E$7</f>
        <v/>
      </c>
      <c r="L450" s="13">
        <f>100*F450/F$7</f>
        <v/>
      </c>
      <c r="M450" s="13">
        <f>100*G450/G$7</f>
        <v/>
      </c>
    </row>
    <row r="451">
      <c r="A451" s="11" t="n">
        <v>45548</v>
      </c>
      <c r="B451" s="12" t="n">
        <v>504.02179</v>
      </c>
      <c r="C451" s="12" t="n">
        <v>65.42617799999999</v>
      </c>
      <c r="D451" s="12" t="n">
        <v>48.656834</v>
      </c>
      <c r="E451" s="12" t="n">
        <v>60.463673</v>
      </c>
      <c r="F451" s="12" t="n">
        <v>14.593804</v>
      </c>
      <c r="G451" s="12" t="n">
        <v>62.193562</v>
      </c>
      <c r="H451" s="13">
        <f>100*B451/B$7</f>
        <v/>
      </c>
      <c r="I451" s="13">
        <f>100*C451/C$7</f>
        <v/>
      </c>
      <c r="J451" s="13">
        <f>100*D451/D$7</f>
        <v/>
      </c>
      <c r="K451" s="13">
        <f>100*E451/E$7</f>
        <v/>
      </c>
      <c r="L451" s="13">
        <f>100*F451/F$7</f>
        <v/>
      </c>
      <c r="M451" s="13">
        <f>100*G451/G$7</f>
        <v/>
      </c>
    </row>
    <row r="452">
      <c r="A452" s="11" t="n">
        <v>45551</v>
      </c>
      <c r="B452" s="12" t="n">
        <v>504.782806</v>
      </c>
      <c r="C452" s="12" t="n">
        <v>66.053566</v>
      </c>
      <c r="D452" s="12" t="n">
        <v>48.675354</v>
      </c>
      <c r="E452" s="12" t="n">
        <v>60.673817</v>
      </c>
      <c r="F452" s="12" t="n">
        <v>14.6761</v>
      </c>
      <c r="G452" s="12" t="n">
        <v>62.345444</v>
      </c>
      <c r="H452" s="13">
        <f>100*B452/B$7</f>
        <v/>
      </c>
      <c r="I452" s="13">
        <f>100*C452/C$7</f>
        <v/>
      </c>
      <c r="J452" s="13">
        <f>100*D452/D$7</f>
        <v/>
      </c>
      <c r="K452" s="13">
        <f>100*E452/E$7</f>
        <v/>
      </c>
      <c r="L452" s="13">
        <f>100*F452/F$7</f>
        <v/>
      </c>
      <c r="M452" s="13">
        <f>100*G452/G$7</f>
        <v/>
      </c>
    </row>
    <row r="453">
      <c r="A453" s="11" t="n">
        <v>45552</v>
      </c>
      <c r="B453" s="12" t="n">
        <v>505.017059</v>
      </c>
      <c r="C453" s="12" t="n">
        <v>65.27636</v>
      </c>
      <c r="D453" s="12" t="n">
        <v>48.434616</v>
      </c>
      <c r="E453" s="12" t="n">
        <v>60.38726</v>
      </c>
      <c r="F453" s="12" t="n">
        <v>14.886413</v>
      </c>
      <c r="G453" s="12" t="n">
        <v>62.820061</v>
      </c>
      <c r="H453" s="13">
        <f>100*B453/B$7</f>
        <v/>
      </c>
      <c r="I453" s="13">
        <f>100*C453/C$7</f>
        <v/>
      </c>
      <c r="J453" s="13">
        <f>100*D453/D$7</f>
        <v/>
      </c>
      <c r="K453" s="13">
        <f>100*E453/E$7</f>
        <v/>
      </c>
      <c r="L453" s="13">
        <f>100*F453/F$7</f>
        <v/>
      </c>
      <c r="M453" s="13">
        <f>100*G453/G$7</f>
        <v/>
      </c>
    </row>
    <row r="454">
      <c r="A454" s="11" t="n">
        <v>45553</v>
      </c>
      <c r="B454" s="12" t="n">
        <v>503.377747</v>
      </c>
      <c r="C454" s="12" t="n">
        <v>64.976707</v>
      </c>
      <c r="D454" s="12" t="n">
        <v>48.1661</v>
      </c>
      <c r="E454" s="12" t="n">
        <v>60.425465</v>
      </c>
      <c r="F454" s="12" t="n">
        <v>14.794972</v>
      </c>
      <c r="G454" s="12" t="n">
        <v>62.563766</v>
      </c>
      <c r="H454" s="13">
        <f>100*B454/B$7</f>
        <v/>
      </c>
      <c r="I454" s="13">
        <f>100*C454/C$7</f>
        <v/>
      </c>
      <c r="J454" s="13">
        <f>100*D454/D$7</f>
        <v/>
      </c>
      <c r="K454" s="13">
        <f>100*E454/E$7</f>
        <v/>
      </c>
      <c r="L454" s="13">
        <f>100*F454/F$7</f>
        <v/>
      </c>
      <c r="M454" s="13">
        <f>100*G454/G$7</f>
        <v/>
      </c>
    </row>
    <row r="455">
      <c r="A455" s="11" t="n">
        <v>45554</v>
      </c>
      <c r="B455" s="12" t="n">
        <v>512.159119</v>
      </c>
      <c r="C455" s="12" t="n">
        <v>66.69967699999999</v>
      </c>
      <c r="D455" s="12" t="n">
        <v>49.730892</v>
      </c>
      <c r="E455" s="12" t="n">
        <v>61.046341</v>
      </c>
      <c r="F455" s="12" t="n">
        <v>15.261316</v>
      </c>
      <c r="G455" s="12" t="n">
        <v>64.557152</v>
      </c>
      <c r="H455" s="13">
        <f>100*B455/B$7</f>
        <v/>
      </c>
      <c r="I455" s="13">
        <f>100*C455/C$7</f>
        <v/>
      </c>
      <c r="J455" s="13">
        <f>100*D455/D$7</f>
        <v/>
      </c>
      <c r="K455" s="13">
        <f>100*E455/E$7</f>
        <v/>
      </c>
      <c r="L455" s="13">
        <f>100*F455/F$7</f>
        <v/>
      </c>
      <c r="M455" s="13">
        <f>100*G455/G$7</f>
        <v/>
      </c>
    </row>
    <row r="456">
      <c r="A456" s="11" t="n">
        <v>45555</v>
      </c>
      <c r="B456" s="12" t="n">
        <v>511.154205</v>
      </c>
      <c r="C456" s="12" t="n">
        <v>66.737137</v>
      </c>
      <c r="D456" s="12" t="n">
        <v>49.221642</v>
      </c>
      <c r="E456" s="12" t="n">
        <v>60.482777</v>
      </c>
      <c r="F456" s="12" t="n">
        <v>15.325323</v>
      </c>
      <c r="G456" s="12" t="n">
        <v>64.509682</v>
      </c>
      <c r="H456" s="13">
        <f>100*B456/B$7</f>
        <v/>
      </c>
      <c r="I456" s="13">
        <f>100*C456/C$7</f>
        <v/>
      </c>
      <c r="J456" s="13">
        <f>100*D456/D$7</f>
        <v/>
      </c>
      <c r="K456" s="13">
        <f>100*E456/E$7</f>
        <v/>
      </c>
      <c r="L456" s="13">
        <f>100*F456/F$7</f>
        <v/>
      </c>
      <c r="M456" s="13">
        <f>100*G456/G$7</f>
        <v/>
      </c>
    </row>
    <row r="457">
      <c r="A457" s="11" t="n">
        <v>45558</v>
      </c>
      <c r="B457" s="12" t="n">
        <v>512.412903</v>
      </c>
      <c r="C457" s="12" t="n">
        <v>67.13977800000001</v>
      </c>
      <c r="D457" s="12" t="n">
        <v>49.554974</v>
      </c>
      <c r="E457" s="12" t="n">
        <v>60.836197</v>
      </c>
      <c r="F457" s="12" t="n">
        <v>15.480773</v>
      </c>
      <c r="G457" s="12" t="n">
        <v>65.326027</v>
      </c>
      <c r="H457" s="13">
        <f>100*B457/B$7</f>
        <v/>
      </c>
      <c r="I457" s="13">
        <f>100*C457/C$7</f>
        <v/>
      </c>
      <c r="J457" s="13">
        <f>100*D457/D$7</f>
        <v/>
      </c>
      <c r="K457" s="13">
        <f>100*E457/E$7</f>
        <v/>
      </c>
      <c r="L457" s="13">
        <f>100*F457/F$7</f>
        <v/>
      </c>
      <c r="M457" s="13">
        <f>100*G457/G$7</f>
        <v/>
      </c>
    </row>
    <row r="458">
      <c r="A458" s="11" t="n">
        <v>45559</v>
      </c>
      <c r="B458" s="12" t="n">
        <v>513.886169</v>
      </c>
      <c r="C458" s="12" t="n">
        <v>66.559219</v>
      </c>
      <c r="D458" s="12" t="n">
        <v>51.138287</v>
      </c>
      <c r="E458" s="12" t="n">
        <v>62.12571</v>
      </c>
      <c r="F458" s="12" t="n">
        <v>16.203146</v>
      </c>
      <c r="G458" s="12" t="n">
        <v>71.116333</v>
      </c>
      <c r="H458" s="13">
        <f>100*B458/B$7</f>
        <v/>
      </c>
      <c r="I458" s="13">
        <f>100*C458/C$7</f>
        <v/>
      </c>
      <c r="J458" s="13">
        <f>100*D458/D$7</f>
        <v/>
      </c>
      <c r="K458" s="13">
        <f>100*E458/E$7</f>
        <v/>
      </c>
      <c r="L458" s="13">
        <f>100*F458/F$7</f>
        <v/>
      </c>
      <c r="M458" s="13">
        <f>100*G458/G$7</f>
        <v/>
      </c>
    </row>
    <row r="459">
      <c r="A459" s="11" t="n">
        <v>45560</v>
      </c>
      <c r="B459" s="12" t="n">
        <v>512.842102</v>
      </c>
      <c r="C459" s="12" t="n">
        <v>66.437485</v>
      </c>
      <c r="D459" s="12" t="n">
        <v>50.934586</v>
      </c>
      <c r="E459" s="12" t="n">
        <v>60.520985</v>
      </c>
      <c r="F459" s="12" t="n">
        <v>15.965402</v>
      </c>
      <c r="G459" s="12" t="n">
        <v>69.48365</v>
      </c>
      <c r="H459" s="13">
        <f>100*B459/B$7</f>
        <v/>
      </c>
      <c r="I459" s="13">
        <f>100*C459/C$7</f>
        <v/>
      </c>
      <c r="J459" s="13">
        <f>100*D459/D$7</f>
        <v/>
      </c>
      <c r="K459" s="13">
        <f>100*E459/E$7</f>
        <v/>
      </c>
      <c r="L459" s="13">
        <f>100*F459/F$7</f>
        <v/>
      </c>
      <c r="M459" s="13">
        <f>100*G459/G$7</f>
        <v/>
      </c>
    </row>
    <row r="460">
      <c r="A460" s="11" t="n">
        <v>45561</v>
      </c>
      <c r="B460" s="12" t="n">
        <v>514.88147</v>
      </c>
      <c r="C460" s="12" t="n">
        <v>68.347748</v>
      </c>
      <c r="D460" s="12" t="n">
        <v>52.203091</v>
      </c>
      <c r="E460" s="12" t="n">
        <v>64.074303</v>
      </c>
      <c r="F460" s="12" t="n">
        <v>16.687777</v>
      </c>
      <c r="G460" s="12" t="n">
        <v>75.530258</v>
      </c>
      <c r="H460" s="13">
        <f>100*B460/B$7</f>
        <v/>
      </c>
      <c r="I460" s="13">
        <f>100*C460/C$7</f>
        <v/>
      </c>
      <c r="J460" s="13">
        <f>100*D460/D$7</f>
        <v/>
      </c>
      <c r="K460" s="13">
        <f>100*E460/E$7</f>
        <v/>
      </c>
      <c r="L460" s="13">
        <f>100*F460/F$7</f>
        <v/>
      </c>
      <c r="M460" s="13">
        <f>100*G460/G$7</f>
        <v/>
      </c>
    </row>
    <row r="461">
      <c r="A461" s="11" t="n">
        <v>45562</v>
      </c>
      <c r="B461" s="12" t="n">
        <v>514.214905</v>
      </c>
      <c r="C461" s="12" t="n">
        <v>66.559219</v>
      </c>
      <c r="D461" s="12" t="n">
        <v>51.388283</v>
      </c>
      <c r="E461" s="12" t="n">
        <v>63.367455</v>
      </c>
      <c r="F461" s="12" t="n">
        <v>17.126688</v>
      </c>
      <c r="G461" s="12" t="n">
        <v>76.93512</v>
      </c>
      <c r="H461" s="13">
        <f>100*B461/B$7</f>
        <v/>
      </c>
      <c r="I461" s="13">
        <f>100*C461/C$7</f>
        <v/>
      </c>
      <c r="J461" s="13">
        <f>100*D461/D$7</f>
        <v/>
      </c>
      <c r="K461" s="13">
        <f>100*E461/E$7</f>
        <v/>
      </c>
      <c r="L461" s="13">
        <f>100*F461/F$7</f>
        <v/>
      </c>
      <c r="M461" s="13">
        <f>100*G461/G$7</f>
        <v/>
      </c>
    </row>
    <row r="462">
      <c r="A462" s="11" t="n">
        <v>45565</v>
      </c>
      <c r="B462" s="12" t="n">
        <v>516.456177</v>
      </c>
      <c r="C462" s="12" t="n">
        <v>66.98996699999999</v>
      </c>
      <c r="D462" s="12" t="n">
        <v>49.87904</v>
      </c>
      <c r="E462" s="12" t="n">
        <v>61.094101</v>
      </c>
      <c r="F462" s="12" t="n">
        <v>17.062681</v>
      </c>
      <c r="G462" s="12" t="n">
        <v>77.950783</v>
      </c>
      <c r="H462" s="13">
        <f>100*B462/B$7</f>
        <v/>
      </c>
      <c r="I462" s="13">
        <f>100*C462/C$7</f>
        <v/>
      </c>
      <c r="J462" s="13">
        <f>100*D462/D$7</f>
        <v/>
      </c>
      <c r="K462" s="13">
        <f>100*E462/E$7</f>
        <v/>
      </c>
      <c r="L462" s="13">
        <f>100*F462/F$7</f>
        <v/>
      </c>
      <c r="M462" s="13">
        <f>100*G462/G$7</f>
        <v/>
      </c>
    </row>
    <row r="463">
      <c r="A463" s="11" t="n">
        <v>45566</v>
      </c>
      <c r="B463" s="12" t="n">
        <v>511.631042</v>
      </c>
      <c r="C463" s="12" t="n">
        <v>67.083595</v>
      </c>
      <c r="D463" s="12" t="n">
        <v>49.545712</v>
      </c>
      <c r="E463" s="12" t="n">
        <v>60.635605</v>
      </c>
      <c r="F463" s="12" t="n">
        <v>17.446728</v>
      </c>
      <c r="G463" s="12" t="n">
        <v>80.532684</v>
      </c>
      <c r="H463" s="13">
        <f>100*B463/B$7</f>
        <v/>
      </c>
      <c r="I463" s="13">
        <f>100*C463/C$7</f>
        <v/>
      </c>
      <c r="J463" s="13">
        <f>100*D463/D$7</f>
        <v/>
      </c>
      <c r="K463" s="13">
        <f>100*E463/E$7</f>
        <v/>
      </c>
      <c r="L463" s="13">
        <f>100*F463/F$7</f>
        <v/>
      </c>
      <c r="M463" s="13">
        <f>100*G463/G$7</f>
        <v/>
      </c>
    </row>
    <row r="464">
      <c r="A464" s="11" t="n">
        <v>45567</v>
      </c>
      <c r="B464" s="12" t="n">
        <v>511.719055</v>
      </c>
      <c r="C464" s="12" t="n">
        <v>66.69967699999999</v>
      </c>
      <c r="D464" s="12" t="n">
        <v>49.629044</v>
      </c>
      <c r="E464" s="12" t="n">
        <v>60.559193</v>
      </c>
      <c r="F464" s="12" t="n">
        <v>18.315407</v>
      </c>
      <c r="G464" s="12" t="n">
        <v>85.98127700000001</v>
      </c>
      <c r="H464" s="13">
        <f>100*B464/B$7</f>
        <v/>
      </c>
      <c r="I464" s="13">
        <f>100*C464/C$7</f>
        <v/>
      </c>
      <c r="J464" s="13">
        <f>100*D464/D$7</f>
        <v/>
      </c>
      <c r="K464" s="13">
        <f>100*E464/E$7</f>
        <v/>
      </c>
      <c r="L464" s="13">
        <f>100*F464/F$7</f>
        <v/>
      </c>
      <c r="M464" s="13">
        <f>100*G464/G$7</f>
        <v/>
      </c>
    </row>
    <row r="465">
      <c r="A465" s="11" t="n">
        <v>45568</v>
      </c>
      <c r="B465" s="12" t="n">
        <v>510.750153</v>
      </c>
      <c r="C465" s="12" t="n">
        <v>66.437485</v>
      </c>
      <c r="D465" s="12" t="n">
        <v>49.675343</v>
      </c>
      <c r="E465" s="12" t="n">
        <v>59.89056</v>
      </c>
      <c r="F465" s="12" t="n">
        <v>17.812489</v>
      </c>
      <c r="G465" s="12" t="n">
        <v>83.712616</v>
      </c>
      <c r="H465" s="13">
        <f>100*B465/B$7</f>
        <v/>
      </c>
      <c r="I465" s="13">
        <f>100*C465/C$7</f>
        <v/>
      </c>
      <c r="J465" s="13">
        <f>100*D465/D$7</f>
        <v/>
      </c>
      <c r="K465" s="13">
        <f>100*E465/E$7</f>
        <v/>
      </c>
      <c r="L465" s="13">
        <f>100*F465/F$7</f>
        <v/>
      </c>
      <c r="M465" s="13">
        <f>100*G465/G$7</f>
        <v/>
      </c>
    </row>
    <row r="466">
      <c r="A466" s="11" t="n">
        <v>45569</v>
      </c>
      <c r="B466" s="12" t="n">
        <v>515.457947</v>
      </c>
      <c r="C466" s="12" t="n">
        <v>67.308334</v>
      </c>
      <c r="D466" s="12" t="n">
        <v>49.795712</v>
      </c>
      <c r="E466" s="12" t="n">
        <v>59.89056</v>
      </c>
      <c r="F466" s="12" t="n">
        <v>18.315407</v>
      </c>
      <c r="G466" s="12" t="n">
        <v>87.319687</v>
      </c>
      <c r="H466" s="13">
        <f>100*B466/B$7</f>
        <v/>
      </c>
      <c r="I466" s="13">
        <f>100*C466/C$7</f>
        <v/>
      </c>
      <c r="J466" s="13">
        <f>100*D466/D$7</f>
        <v/>
      </c>
      <c r="K466" s="13">
        <f>100*E466/E$7</f>
        <v/>
      </c>
      <c r="L466" s="13">
        <f>100*F466/F$7</f>
        <v/>
      </c>
      <c r="M466" s="13">
        <f>100*G466/G$7</f>
        <v/>
      </c>
    </row>
    <row r="467">
      <c r="A467" s="11" t="n">
        <v>45572</v>
      </c>
      <c r="B467" s="12" t="n">
        <v>510.818665</v>
      </c>
      <c r="C467" s="12" t="n">
        <v>66.521767</v>
      </c>
      <c r="D467" s="12" t="n">
        <v>49.712376</v>
      </c>
      <c r="E467" s="12" t="n">
        <v>60.19622</v>
      </c>
      <c r="F467" s="12" t="n">
        <v>18.608015</v>
      </c>
      <c r="G467" s="12" t="n">
        <v>92.23670199999999</v>
      </c>
      <c r="H467" s="13">
        <f>100*B467/B$7</f>
        <v/>
      </c>
      <c r="I467" s="13">
        <f>100*C467/C$7</f>
        <v/>
      </c>
      <c r="J467" s="13">
        <f>100*D467/D$7</f>
        <v/>
      </c>
      <c r="K467" s="13">
        <f>100*E467/E$7</f>
        <v/>
      </c>
      <c r="L467" s="13">
        <f>100*F467/F$7</f>
        <v/>
      </c>
      <c r="M467" s="13">
        <f>100*G467/G$7</f>
        <v/>
      </c>
    </row>
    <row r="468">
      <c r="A468" s="11" t="n">
        <v>45573</v>
      </c>
      <c r="B468" s="12" t="n">
        <v>515.653687</v>
      </c>
      <c r="C468" s="12" t="n">
        <v>66.727768</v>
      </c>
      <c r="D468" s="12" t="n">
        <v>50.314224</v>
      </c>
      <c r="E468" s="12" t="n">
        <v>60.549641</v>
      </c>
      <c r="F468" s="12" t="n">
        <v>17.154121</v>
      </c>
      <c r="G468" s="12" t="n">
        <v>81.738213</v>
      </c>
      <c r="H468" s="13">
        <f>100*B468/B$7</f>
        <v/>
      </c>
      <c r="I468" s="13">
        <f>100*C468/C$7</f>
        <v/>
      </c>
      <c r="J468" s="13">
        <f>100*D468/D$7</f>
        <v/>
      </c>
      <c r="K468" s="13">
        <f>100*E468/E$7</f>
        <v/>
      </c>
      <c r="L468" s="13">
        <f>100*F468/F$7</f>
        <v/>
      </c>
      <c r="M468" s="13">
        <f>100*G468/G$7</f>
        <v/>
      </c>
    </row>
    <row r="469">
      <c r="A469" s="11" t="n">
        <v>45574</v>
      </c>
      <c r="B469" s="12" t="n">
        <v>519.177124</v>
      </c>
      <c r="C469" s="12" t="n">
        <v>66.38131</v>
      </c>
      <c r="D469" s="12" t="n">
        <v>50.295704</v>
      </c>
      <c r="E469" s="12" t="n">
        <v>60.712025</v>
      </c>
      <c r="F469" s="12" t="n">
        <v>17.108402</v>
      </c>
      <c r="G469" s="12" t="n">
        <v>78.97595200000001</v>
      </c>
      <c r="H469" s="13">
        <f>100*B469/B$7</f>
        <v/>
      </c>
      <c r="I469" s="13">
        <f>100*C469/C$7</f>
        <v/>
      </c>
      <c r="J469" s="13">
        <f>100*D469/D$7</f>
        <v/>
      </c>
      <c r="K469" s="13">
        <f>100*E469/E$7</f>
        <v/>
      </c>
      <c r="L469" s="13">
        <f>100*F469/F$7</f>
        <v/>
      </c>
      <c r="M469" s="13">
        <f>100*G469/G$7</f>
        <v/>
      </c>
    </row>
    <row r="470">
      <c r="A470" s="11" t="n">
        <v>45575</v>
      </c>
      <c r="B470" s="12" t="n">
        <v>518.306152</v>
      </c>
      <c r="C470" s="12" t="n">
        <v>66.390671</v>
      </c>
      <c r="D470" s="12" t="n">
        <v>50.406815</v>
      </c>
      <c r="E470" s="12" t="n">
        <v>60.473225</v>
      </c>
      <c r="F470" s="12" t="n">
        <v>17.080967</v>
      </c>
      <c r="G470" s="12" t="n">
        <v>79.55497699999999</v>
      </c>
      <c r="H470" s="13">
        <f>100*B470/B$7</f>
        <v/>
      </c>
      <c r="I470" s="13">
        <f>100*C470/C$7</f>
        <v/>
      </c>
      <c r="J470" s="13">
        <f>100*D470/D$7</f>
        <v/>
      </c>
      <c r="K470" s="13">
        <f>100*E470/E$7</f>
        <v/>
      </c>
      <c r="L470" s="13">
        <f>100*F470/F$7</f>
        <v/>
      </c>
      <c r="M470" s="13">
        <f>100*G470/G$7</f>
        <v/>
      </c>
    </row>
    <row r="471">
      <c r="A471" s="11" t="n">
        <v>45576</v>
      </c>
      <c r="B471" s="12" t="n">
        <v>521.389038</v>
      </c>
      <c r="C471" s="12" t="n">
        <v>66.531128</v>
      </c>
      <c r="D471" s="12" t="n">
        <v>51.008656</v>
      </c>
      <c r="E471" s="12" t="n">
        <v>60.549641</v>
      </c>
      <c r="F471" s="12" t="n">
        <v>17.227274</v>
      </c>
      <c r="G471" s="12" t="n">
        <v>79.839752</v>
      </c>
      <c r="H471" s="13">
        <f>100*B471/B$7</f>
        <v/>
      </c>
      <c r="I471" s="13">
        <f>100*C471/C$7</f>
        <v/>
      </c>
      <c r="J471" s="13">
        <f>100*D471/D$7</f>
        <v/>
      </c>
      <c r="K471" s="13">
        <f>100*E471/E$7</f>
        <v/>
      </c>
      <c r="L471" s="13">
        <f>100*F471/F$7</f>
        <v/>
      </c>
      <c r="M471" s="13">
        <f>100*G471/G$7</f>
        <v/>
      </c>
    </row>
    <row r="472">
      <c r="A472" s="11" t="n">
        <v>45579</v>
      </c>
      <c r="B472" s="12" t="n">
        <v>525.656494</v>
      </c>
      <c r="C472" s="12" t="n">
        <v>66.643494</v>
      </c>
      <c r="D472" s="12" t="n">
        <v>51.267914</v>
      </c>
      <c r="E472" s="12" t="n">
        <v>60.721573</v>
      </c>
      <c r="F472" s="12" t="n">
        <v>16.989529</v>
      </c>
      <c r="G472" s="12" t="n">
        <v>78.292519</v>
      </c>
      <c r="H472" s="13">
        <f>100*B472/B$7</f>
        <v/>
      </c>
      <c r="I472" s="13">
        <f>100*C472/C$7</f>
        <v/>
      </c>
      <c r="J472" s="13">
        <f>100*D472/D$7</f>
        <v/>
      </c>
      <c r="K472" s="13">
        <f>100*E472/E$7</f>
        <v/>
      </c>
      <c r="L472" s="13">
        <f>100*F472/F$7</f>
        <v/>
      </c>
      <c r="M472" s="13">
        <f>100*G472/G$7</f>
        <v/>
      </c>
    </row>
    <row r="473">
      <c r="A473" s="11" t="n">
        <v>45580</v>
      </c>
      <c r="B473" s="12" t="n">
        <v>521.653381</v>
      </c>
      <c r="C473" s="12" t="n">
        <v>65.27636</v>
      </c>
      <c r="D473" s="12" t="n">
        <v>50.5457</v>
      </c>
      <c r="E473" s="12" t="n">
        <v>59.317444</v>
      </c>
      <c r="F473" s="12" t="n">
        <v>16.358593</v>
      </c>
      <c r="G473" s="12" t="n">
        <v>74.324738</v>
      </c>
      <c r="H473" s="13">
        <f>100*B473/B$7</f>
        <v/>
      </c>
      <c r="I473" s="13">
        <f>100*C473/C$7</f>
        <v/>
      </c>
      <c r="J473" s="13">
        <f>100*D473/D$7</f>
        <v/>
      </c>
      <c r="K473" s="13">
        <f>100*E473/E$7</f>
        <v/>
      </c>
      <c r="L473" s="13">
        <f>100*F473/F$7</f>
        <v/>
      </c>
      <c r="M473" s="13">
        <f>100*G473/G$7</f>
        <v/>
      </c>
    </row>
    <row r="474">
      <c r="A474" s="11" t="n">
        <v>45581</v>
      </c>
      <c r="B474" s="12" t="n">
        <v>523.845703</v>
      </c>
      <c r="C474" s="12" t="n">
        <v>65.66964</v>
      </c>
      <c r="D474" s="12" t="n">
        <v>51.147549</v>
      </c>
      <c r="E474" s="12" t="n">
        <v>60.05294</v>
      </c>
      <c r="F474" s="12" t="n">
        <v>16.53233</v>
      </c>
      <c r="G474" s="12" t="n">
        <v>75.634666</v>
      </c>
      <c r="H474" s="13">
        <f>100*B474/B$7</f>
        <v/>
      </c>
      <c r="I474" s="13">
        <f>100*C474/C$7</f>
        <v/>
      </c>
      <c r="J474" s="13">
        <f>100*D474/D$7</f>
        <v/>
      </c>
      <c r="K474" s="13">
        <f>100*E474/E$7</f>
        <v/>
      </c>
      <c r="L474" s="13">
        <f>100*F474/F$7</f>
        <v/>
      </c>
      <c r="M474" s="13">
        <f>100*G474/G$7</f>
        <v/>
      </c>
    </row>
    <row r="475">
      <c r="A475" s="11" t="n">
        <v>45582</v>
      </c>
      <c r="B475" s="12" t="n">
        <v>523.924011</v>
      </c>
      <c r="C475" s="12" t="n">
        <v>65.32317399999999</v>
      </c>
      <c r="D475" s="12" t="n">
        <v>52.527157</v>
      </c>
      <c r="E475" s="12" t="n">
        <v>59.594448</v>
      </c>
      <c r="F475" s="12" t="n">
        <v>16.239721</v>
      </c>
      <c r="G475" s="12" t="n">
        <v>73.74569700000001</v>
      </c>
      <c r="H475" s="13">
        <f>100*B475/B$7</f>
        <v/>
      </c>
      <c r="I475" s="13">
        <f>100*C475/C$7</f>
        <v/>
      </c>
      <c r="J475" s="13">
        <f>100*D475/D$7</f>
        <v/>
      </c>
      <c r="K475" s="13">
        <f>100*E475/E$7</f>
        <v/>
      </c>
      <c r="L475" s="13">
        <f>100*F475/F$7</f>
        <v/>
      </c>
      <c r="M475" s="13">
        <f>100*G475/G$7</f>
        <v/>
      </c>
    </row>
    <row r="476">
      <c r="A476" s="11" t="n">
        <v>45583</v>
      </c>
      <c r="B476" s="12" t="n">
        <v>525.940308</v>
      </c>
      <c r="C476" s="12" t="n">
        <v>65.66964</v>
      </c>
      <c r="D476" s="12" t="n">
        <v>52.462345</v>
      </c>
      <c r="E476" s="12" t="n">
        <v>59.288788</v>
      </c>
      <c r="F476" s="12" t="n">
        <v>16.642057</v>
      </c>
      <c r="G476" s="12" t="n">
        <v>76.878159</v>
      </c>
      <c r="H476" s="13">
        <f>100*B476/B$7</f>
        <v/>
      </c>
      <c r="I476" s="13">
        <f>100*C476/C$7</f>
        <v/>
      </c>
      <c r="J476" s="13">
        <f>100*D476/D$7</f>
        <v/>
      </c>
      <c r="K476" s="13">
        <f>100*E476/E$7</f>
        <v/>
      </c>
      <c r="L476" s="13">
        <f>100*F476/F$7</f>
        <v/>
      </c>
      <c r="M476" s="13">
        <f>100*G476/G$7</f>
        <v/>
      </c>
    </row>
    <row r="477">
      <c r="A477" s="11" t="n">
        <v>45586</v>
      </c>
      <c r="B477" s="12" t="n">
        <v>525.127991</v>
      </c>
      <c r="C477" s="12" t="n">
        <v>64.58342</v>
      </c>
      <c r="D477" s="12" t="n">
        <v>52.045681</v>
      </c>
      <c r="E477" s="12" t="n">
        <v>58.830296</v>
      </c>
      <c r="F477" s="12" t="n">
        <v>16.367739</v>
      </c>
      <c r="G477" s="12" t="n">
        <v>76.09030199999999</v>
      </c>
      <c r="H477" s="13">
        <f>100*B477/B$7</f>
        <v/>
      </c>
      <c r="I477" s="13">
        <f>100*C477/C$7</f>
        <v/>
      </c>
      <c r="J477" s="13">
        <f>100*D477/D$7</f>
        <v/>
      </c>
      <c r="K477" s="13">
        <f>100*E477/E$7</f>
        <v/>
      </c>
      <c r="L477" s="13">
        <f>100*F477/F$7</f>
        <v/>
      </c>
      <c r="M477" s="13">
        <f>100*G477/G$7</f>
        <v/>
      </c>
    </row>
    <row r="478">
      <c r="A478" s="11" t="n">
        <v>45587</v>
      </c>
      <c r="B478" s="12" t="n">
        <v>524.765808</v>
      </c>
      <c r="C478" s="12" t="n">
        <v>63.731285</v>
      </c>
      <c r="D478" s="12" t="n">
        <v>52.295681</v>
      </c>
      <c r="E478" s="12" t="n">
        <v>58.152111</v>
      </c>
      <c r="F478" s="12" t="n">
        <v>16.459177</v>
      </c>
      <c r="G478" s="12" t="n">
        <v>76.90662399999999</v>
      </c>
      <c r="H478" s="13">
        <f>100*B478/B$7</f>
        <v/>
      </c>
      <c r="I478" s="13">
        <f>100*C478/C$7</f>
        <v/>
      </c>
      <c r="J478" s="13">
        <f>100*D478/D$7</f>
        <v/>
      </c>
      <c r="K478" s="13">
        <f>100*E478/E$7</f>
        <v/>
      </c>
      <c r="L478" s="13">
        <f>100*F478/F$7</f>
        <v/>
      </c>
      <c r="M478" s="13">
        <f>100*G478/G$7</f>
        <v/>
      </c>
    </row>
    <row r="479">
      <c r="A479" s="11" t="n">
        <v>45588</v>
      </c>
      <c r="B479" s="12" t="n">
        <v>519.979736</v>
      </c>
      <c r="C479" s="12" t="n">
        <v>62.429699</v>
      </c>
      <c r="D479" s="12" t="n">
        <v>51.480873</v>
      </c>
      <c r="E479" s="12" t="n">
        <v>58.476875</v>
      </c>
      <c r="F479" s="12" t="n">
        <v>16.30373</v>
      </c>
      <c r="G479" s="12" t="n">
        <v>76.356087</v>
      </c>
      <c r="H479" s="13">
        <f>100*B479/B$7</f>
        <v/>
      </c>
      <c r="I479" s="13">
        <f>100*C479/C$7</f>
        <v/>
      </c>
      <c r="J479" s="13">
        <f>100*D479/D$7</f>
        <v/>
      </c>
      <c r="K479" s="13">
        <f>100*E479/E$7</f>
        <v/>
      </c>
      <c r="L479" s="13">
        <f>100*F479/F$7</f>
        <v/>
      </c>
      <c r="M479" s="13">
        <f>100*G479/G$7</f>
        <v/>
      </c>
    </row>
    <row r="480">
      <c r="A480" s="11" t="n">
        <v>45589</v>
      </c>
      <c r="B480" s="12" t="n">
        <v>521.154175</v>
      </c>
      <c r="C480" s="12" t="n">
        <v>62.944714</v>
      </c>
      <c r="D480" s="12" t="n">
        <v>51.490135</v>
      </c>
      <c r="E480" s="12" t="n">
        <v>58.495979</v>
      </c>
      <c r="F480" s="12" t="n">
        <v>16.367739</v>
      </c>
      <c r="G480" s="12" t="n">
        <v>75.890961</v>
      </c>
      <c r="H480" s="13">
        <f>100*B480/B$7</f>
        <v/>
      </c>
      <c r="I480" s="13">
        <f>100*C480/C$7</f>
        <v/>
      </c>
      <c r="J480" s="13">
        <f>100*D480/D$7</f>
        <v/>
      </c>
      <c r="K480" s="13">
        <f>100*E480/E$7</f>
        <v/>
      </c>
      <c r="L480" s="13">
        <f>100*F480/F$7</f>
        <v/>
      </c>
      <c r="M480" s="13">
        <f>100*G480/G$7</f>
        <v/>
      </c>
    </row>
    <row r="481">
      <c r="A481" s="11" t="n">
        <v>45590</v>
      </c>
      <c r="B481" s="12" t="n">
        <v>520.948669</v>
      </c>
      <c r="C481" s="12" t="n">
        <v>62.963444</v>
      </c>
      <c r="D481" s="12" t="n">
        <v>52.129013</v>
      </c>
      <c r="E481" s="12" t="n">
        <v>58.400459</v>
      </c>
      <c r="F481" s="12" t="n">
        <v>16.431744</v>
      </c>
      <c r="G481" s="12" t="n">
        <v>76.21369900000001</v>
      </c>
      <c r="H481" s="13">
        <f>100*B481/B$7</f>
        <v/>
      </c>
      <c r="I481" s="13">
        <f>100*C481/C$7</f>
        <v/>
      </c>
      <c r="J481" s="13">
        <f>100*D481/D$7</f>
        <v/>
      </c>
      <c r="K481" s="13">
        <f>100*E481/E$7</f>
        <v/>
      </c>
      <c r="L481" s="13">
        <f>100*F481/F$7</f>
        <v/>
      </c>
      <c r="M481" s="13">
        <f>100*G481/G$7</f>
        <v/>
      </c>
    </row>
    <row r="482">
      <c r="A482" s="11" t="n">
        <v>45593</v>
      </c>
      <c r="B482" s="12" t="n">
        <v>522.573425</v>
      </c>
      <c r="C482" s="12" t="n">
        <v>63.39418</v>
      </c>
      <c r="D482" s="12" t="n">
        <v>51.369762</v>
      </c>
      <c r="E482" s="12" t="n">
        <v>58.954472</v>
      </c>
      <c r="F482" s="12" t="n">
        <v>16.614626</v>
      </c>
      <c r="G482" s="12" t="n">
        <v>77.295815</v>
      </c>
      <c r="H482" s="13">
        <f>100*B482/B$7</f>
        <v/>
      </c>
      <c r="I482" s="13">
        <f>100*C482/C$7</f>
        <v/>
      </c>
      <c r="J482" s="13">
        <f>100*D482/D$7</f>
        <v/>
      </c>
      <c r="K482" s="13">
        <f>100*E482/E$7</f>
        <v/>
      </c>
      <c r="L482" s="13">
        <f>100*F482/F$7</f>
        <v/>
      </c>
      <c r="M482" s="13">
        <f>100*G482/G$7</f>
        <v/>
      </c>
    </row>
    <row r="483">
      <c r="A483" s="11" t="n">
        <v>45594</v>
      </c>
      <c r="B483" s="12" t="n">
        <v>523.405396</v>
      </c>
      <c r="C483" s="12" t="n">
        <v>64.012215</v>
      </c>
      <c r="D483" s="12" t="n">
        <v>51.249393</v>
      </c>
      <c r="E483" s="12" t="n">
        <v>58.916264</v>
      </c>
      <c r="F483" s="12" t="n">
        <v>16.523186</v>
      </c>
      <c r="G483" s="12" t="n">
        <v>76.659836</v>
      </c>
      <c r="H483" s="13">
        <f>100*B483/B$7</f>
        <v/>
      </c>
      <c r="I483" s="13">
        <f>100*C483/C$7</f>
        <v/>
      </c>
      <c r="J483" s="13">
        <f>100*D483/D$7</f>
        <v/>
      </c>
      <c r="K483" s="13">
        <f>100*E483/E$7</f>
        <v/>
      </c>
      <c r="L483" s="13">
        <f>100*F483/F$7</f>
        <v/>
      </c>
      <c r="M483" s="13">
        <f>100*G483/G$7</f>
        <v/>
      </c>
    </row>
    <row r="484">
      <c r="A484" s="11" t="n">
        <v>45595</v>
      </c>
      <c r="B484" s="12" t="n">
        <v>521.829529</v>
      </c>
      <c r="C484" s="12" t="n">
        <v>64.06838999999999</v>
      </c>
      <c r="D484" s="12" t="n">
        <v>50.675327</v>
      </c>
      <c r="E484" s="12" t="n">
        <v>58.075695</v>
      </c>
      <c r="F484" s="12" t="n">
        <v>16.39517</v>
      </c>
      <c r="G484" s="12" t="n">
        <v>75.834007</v>
      </c>
      <c r="H484" s="13">
        <f>100*B484/B$7</f>
        <v/>
      </c>
      <c r="I484" s="13">
        <f>100*C484/C$7</f>
        <v/>
      </c>
      <c r="J484" s="13">
        <f>100*D484/D$7</f>
        <v/>
      </c>
      <c r="K484" s="13">
        <f>100*E484/E$7</f>
        <v/>
      </c>
      <c r="L484" s="13">
        <f>100*F484/F$7</f>
        <v/>
      </c>
      <c r="M484" s="13">
        <f>100*G484/G$7</f>
        <v/>
      </c>
    </row>
    <row r="485">
      <c r="A485" s="11" t="n">
        <v>45596</v>
      </c>
      <c r="B485" s="12" t="n">
        <v>511.562469</v>
      </c>
      <c r="C485" s="12" t="n">
        <v>63.740654</v>
      </c>
      <c r="D485" s="12" t="n">
        <v>50.203114</v>
      </c>
      <c r="E485" s="12" t="n">
        <v>57.225571</v>
      </c>
      <c r="F485" s="12" t="n">
        <v>16.340307</v>
      </c>
      <c r="G485" s="12" t="n">
        <v>75.71060199999999</v>
      </c>
      <c r="H485" s="13">
        <f>100*B485/B$7</f>
        <v/>
      </c>
      <c r="I485" s="13">
        <f>100*C485/C$7</f>
        <v/>
      </c>
      <c r="J485" s="13">
        <f>100*D485/D$7</f>
        <v/>
      </c>
      <c r="K485" s="13">
        <f>100*E485/E$7</f>
        <v/>
      </c>
      <c r="L485" s="13">
        <f>100*F485/F$7</f>
        <v/>
      </c>
      <c r="M485" s="13">
        <f>100*G485/G$7</f>
        <v/>
      </c>
    </row>
    <row r="486">
      <c r="A486" s="11" t="n">
        <v>45597</v>
      </c>
      <c r="B486" s="12" t="n">
        <v>513.784241</v>
      </c>
      <c r="C486" s="12" t="n">
        <v>63.656391</v>
      </c>
      <c r="D486" s="12" t="n">
        <v>50.740143</v>
      </c>
      <c r="E486" s="12" t="n">
        <v>57.330647</v>
      </c>
      <c r="F486" s="12" t="n">
        <v>16.477467</v>
      </c>
      <c r="G486" s="12" t="n">
        <v>75.71060199999999</v>
      </c>
      <c r="H486" s="13">
        <f>100*B486/B$7</f>
        <v/>
      </c>
      <c r="I486" s="13">
        <f>100*C486/C$7</f>
        <v/>
      </c>
      <c r="J486" s="13">
        <f>100*D486/D$7</f>
        <v/>
      </c>
      <c r="K486" s="13">
        <f>100*E486/E$7</f>
        <v/>
      </c>
      <c r="L486" s="13">
        <f>100*F486/F$7</f>
        <v/>
      </c>
      <c r="M486" s="13">
        <f>100*G486/G$7</f>
        <v/>
      </c>
    </row>
    <row r="487">
      <c r="A487" s="11" t="n">
        <v>45600</v>
      </c>
      <c r="B487" s="12" t="n">
        <v>512.668457</v>
      </c>
      <c r="C487" s="12" t="n">
        <v>63.712563</v>
      </c>
      <c r="D487" s="12" t="n">
        <v>51.110512</v>
      </c>
      <c r="E487" s="12" t="n">
        <v>58.171211</v>
      </c>
      <c r="F487" s="12" t="n">
        <v>16.53233</v>
      </c>
      <c r="G487" s="12" t="n">
        <v>76.46998600000001</v>
      </c>
      <c r="H487" s="13">
        <f>100*B487/B$7</f>
        <v/>
      </c>
      <c r="I487" s="13">
        <f>100*C487/C$7</f>
        <v/>
      </c>
      <c r="J487" s="13">
        <f>100*D487/D$7</f>
        <v/>
      </c>
      <c r="K487" s="13">
        <f>100*E487/E$7</f>
        <v/>
      </c>
      <c r="L487" s="13">
        <f>100*F487/F$7</f>
        <v/>
      </c>
      <c r="M487" s="13">
        <f>100*G487/G$7</f>
        <v/>
      </c>
    </row>
    <row r="488">
      <c r="A488" s="11" t="n">
        <v>45601</v>
      </c>
      <c r="B488" s="12" t="n">
        <v>518.834473</v>
      </c>
      <c r="C488" s="12" t="n">
        <v>64.677055</v>
      </c>
      <c r="D488" s="12" t="n">
        <v>51.795685</v>
      </c>
      <c r="E488" s="12" t="n">
        <v>58.381351</v>
      </c>
      <c r="F488" s="12" t="n">
        <v>16.80665</v>
      </c>
      <c r="G488" s="12" t="n">
        <v>78.387444</v>
      </c>
      <c r="H488" s="13">
        <f>100*B488/B$7</f>
        <v/>
      </c>
      <c r="I488" s="13">
        <f>100*C488/C$7</f>
        <v/>
      </c>
      <c r="J488" s="13">
        <f>100*D488/D$7</f>
        <v/>
      </c>
      <c r="K488" s="13">
        <f>100*E488/E$7</f>
        <v/>
      </c>
      <c r="L488" s="13">
        <f>100*F488/F$7</f>
        <v/>
      </c>
      <c r="M488" s="13">
        <f>100*G488/G$7</f>
        <v/>
      </c>
    </row>
    <row r="489">
      <c r="A489" s="11" t="n">
        <v>45602</v>
      </c>
      <c r="B489" s="12" t="n">
        <v>531.75415</v>
      </c>
      <c r="C489" s="12" t="n">
        <v>64.967339</v>
      </c>
      <c r="D489" s="12" t="n">
        <v>51.147549</v>
      </c>
      <c r="E489" s="12" t="n">
        <v>56.709766</v>
      </c>
      <c r="F489" s="12" t="n">
        <v>16.422602</v>
      </c>
      <c r="G489" s="12" t="n">
        <v>76.612381</v>
      </c>
      <c r="H489" s="13">
        <f>100*B489/B$7</f>
        <v/>
      </c>
      <c r="I489" s="13">
        <f>100*C489/C$7</f>
        <v/>
      </c>
      <c r="J489" s="13">
        <f>100*D489/D$7</f>
        <v/>
      </c>
      <c r="K489" s="13">
        <f>100*E489/E$7</f>
        <v/>
      </c>
      <c r="L489" s="13">
        <f>100*F489/F$7</f>
        <v/>
      </c>
      <c r="M489" s="13">
        <f>100*G489/G$7</f>
        <v/>
      </c>
    </row>
    <row r="490">
      <c r="A490" s="11" t="n">
        <v>45603</v>
      </c>
      <c r="B490" s="12" t="n">
        <v>535.894226</v>
      </c>
      <c r="C490" s="12" t="n">
        <v>65.52919</v>
      </c>
      <c r="D490" s="12" t="n">
        <v>52.453087</v>
      </c>
      <c r="E490" s="12" t="n">
        <v>57.999279</v>
      </c>
      <c r="F490" s="12" t="n">
        <v>16.861513</v>
      </c>
      <c r="G490" s="12" t="n">
        <v>80.485229</v>
      </c>
      <c r="H490" s="13">
        <f>100*B490/B$7</f>
        <v/>
      </c>
      <c r="I490" s="13">
        <f>100*C490/C$7</f>
        <v/>
      </c>
      <c r="J490" s="13">
        <f>100*D490/D$7</f>
        <v/>
      </c>
      <c r="K490" s="13">
        <f>100*E490/E$7</f>
        <v/>
      </c>
      <c r="L490" s="13">
        <f>100*F490/F$7</f>
        <v/>
      </c>
      <c r="M490" s="13">
        <f>100*G490/G$7</f>
        <v/>
      </c>
    </row>
    <row r="491">
      <c r="A491" s="11" t="n">
        <v>45604</v>
      </c>
      <c r="B491" s="12" t="n">
        <v>538.262695</v>
      </c>
      <c r="C491" s="12" t="n">
        <v>65.01416</v>
      </c>
      <c r="D491" s="12" t="n">
        <v>51.841984</v>
      </c>
      <c r="E491" s="12" t="n">
        <v>56.547386</v>
      </c>
      <c r="F491" s="12" t="n">
        <v>16.450031</v>
      </c>
      <c r="G491" s="12" t="n">
        <v>76.270645</v>
      </c>
      <c r="H491" s="13">
        <f>100*B491/B$7</f>
        <v/>
      </c>
      <c r="I491" s="13">
        <f>100*C491/C$7</f>
        <v/>
      </c>
      <c r="J491" s="13">
        <f>100*D491/D$7</f>
        <v/>
      </c>
      <c r="K491" s="13">
        <f>100*E491/E$7</f>
        <v/>
      </c>
      <c r="L491" s="13">
        <f>100*F491/F$7</f>
        <v/>
      </c>
      <c r="M491" s="13">
        <f>100*G491/G$7</f>
        <v/>
      </c>
    </row>
    <row r="492">
      <c r="A492" s="11" t="n">
        <v>45607</v>
      </c>
      <c r="B492" s="12" t="n">
        <v>538.703247</v>
      </c>
      <c r="C492" s="12" t="n">
        <v>65.173355</v>
      </c>
      <c r="D492" s="12" t="n">
        <v>50.703102</v>
      </c>
      <c r="E492" s="12" t="n">
        <v>55.754574</v>
      </c>
      <c r="F492" s="12" t="n">
        <v>16.41346</v>
      </c>
      <c r="G492" s="12" t="n">
        <v>76.583893</v>
      </c>
      <c r="H492" s="13">
        <f>100*B492/B$7</f>
        <v/>
      </c>
      <c r="I492" s="13">
        <f>100*C492/C$7</f>
        <v/>
      </c>
      <c r="J492" s="13">
        <f>100*D492/D$7</f>
        <v/>
      </c>
      <c r="K492" s="13">
        <f>100*E492/E$7</f>
        <v/>
      </c>
      <c r="L492" s="13">
        <f>100*F492/F$7</f>
        <v/>
      </c>
      <c r="M492" s="13">
        <f>100*G492/G$7</f>
        <v/>
      </c>
    </row>
    <row r="493">
      <c r="A493" s="11" t="n">
        <v>45608</v>
      </c>
      <c r="B493" s="12" t="n">
        <v>537.088257</v>
      </c>
      <c r="C493" s="12" t="n">
        <v>64.143303</v>
      </c>
      <c r="D493" s="12" t="n">
        <v>50.027187</v>
      </c>
      <c r="E493" s="12" t="n">
        <v>54.302685</v>
      </c>
      <c r="F493" s="12" t="n">
        <v>15.974546</v>
      </c>
      <c r="G493" s="12" t="n">
        <v>74.239304</v>
      </c>
      <c r="H493" s="13">
        <f>100*B493/B$7</f>
        <v/>
      </c>
      <c r="I493" s="13">
        <f>100*C493/C$7</f>
        <v/>
      </c>
      <c r="J493" s="13">
        <f>100*D493/D$7</f>
        <v/>
      </c>
      <c r="K493" s="13">
        <f>100*E493/E$7</f>
        <v/>
      </c>
      <c r="L493" s="13">
        <f>100*F493/F$7</f>
        <v/>
      </c>
      <c r="M493" s="13">
        <f>100*G493/G$7</f>
        <v/>
      </c>
    </row>
    <row r="494">
      <c r="A494" s="11" t="n">
        <v>45609</v>
      </c>
      <c r="B494" s="12" t="n">
        <v>537.362366</v>
      </c>
      <c r="C494" s="12" t="n">
        <v>63.431644</v>
      </c>
      <c r="D494" s="12" t="n">
        <v>50.073486</v>
      </c>
      <c r="E494" s="12" t="n">
        <v>53.376148</v>
      </c>
      <c r="F494" s="12" t="n">
        <v>15.837386</v>
      </c>
      <c r="G494" s="12" t="n">
        <v>74.20133199999999</v>
      </c>
      <c r="H494" s="13">
        <f>100*B494/B$7</f>
        <v/>
      </c>
      <c r="I494" s="13">
        <f>100*C494/C$7</f>
        <v/>
      </c>
      <c r="J494" s="13">
        <f>100*D494/D$7</f>
        <v/>
      </c>
      <c r="K494" s="13">
        <f>100*E494/E$7</f>
        <v/>
      </c>
      <c r="L494" s="13">
        <f>100*F494/F$7</f>
        <v/>
      </c>
      <c r="M494" s="13">
        <f>100*G494/G$7</f>
        <v/>
      </c>
    </row>
    <row r="495">
      <c r="A495" s="11" t="n">
        <v>45610</v>
      </c>
      <c r="B495" s="12" t="n">
        <v>533.946472</v>
      </c>
      <c r="C495" s="12" t="n">
        <v>63.506554</v>
      </c>
      <c r="D495" s="12" t="n">
        <v>49.59201</v>
      </c>
      <c r="E495" s="12" t="n">
        <v>53.223316</v>
      </c>
      <c r="F495" s="12" t="n">
        <v>15.77338</v>
      </c>
      <c r="G495" s="12" t="n">
        <v>73.31855</v>
      </c>
      <c r="H495" s="13">
        <f>100*B495/B$7</f>
        <v/>
      </c>
      <c r="I495" s="13">
        <f>100*C495/C$7</f>
        <v/>
      </c>
      <c r="J495" s="13">
        <f>100*D495/D$7</f>
        <v/>
      </c>
      <c r="K495" s="13">
        <f>100*E495/E$7</f>
        <v/>
      </c>
      <c r="L495" s="13">
        <f>100*F495/F$7</f>
        <v/>
      </c>
      <c r="M495" s="13">
        <f>100*G495/G$7</f>
        <v/>
      </c>
    </row>
    <row r="496">
      <c r="A496" s="11" t="n">
        <v>45611</v>
      </c>
      <c r="B496" s="12" t="n">
        <v>527.05603</v>
      </c>
      <c r="C496" s="12" t="n">
        <v>63.197544</v>
      </c>
      <c r="D496" s="12" t="n">
        <v>49.369789</v>
      </c>
      <c r="E496" s="12" t="n">
        <v>53.681808</v>
      </c>
      <c r="F496" s="12" t="n">
        <v>15.718516</v>
      </c>
      <c r="G496" s="12" t="n">
        <v>73.214127</v>
      </c>
      <c r="H496" s="13">
        <f>100*B496/B$7</f>
        <v/>
      </c>
      <c r="I496" s="13">
        <f>100*C496/C$7</f>
        <v/>
      </c>
      <c r="J496" s="13">
        <f>100*D496/D$7</f>
        <v/>
      </c>
      <c r="K496" s="13">
        <f>100*E496/E$7</f>
        <v/>
      </c>
      <c r="L496" s="13">
        <f>100*F496/F$7</f>
        <v/>
      </c>
      <c r="M496" s="13">
        <f>100*G496/G$7</f>
        <v/>
      </c>
    </row>
    <row r="497">
      <c r="A497" s="11" t="n">
        <v>45614</v>
      </c>
      <c r="B497" s="12" t="n">
        <v>529.238708</v>
      </c>
      <c r="C497" s="12" t="n">
        <v>63.56274</v>
      </c>
      <c r="D497" s="12" t="n">
        <v>49.629044</v>
      </c>
      <c r="E497" s="12" t="n">
        <v>55.200565</v>
      </c>
      <c r="F497" s="12" t="n">
        <v>15.819098</v>
      </c>
      <c r="G497" s="12" t="n">
        <v>73.93553900000001</v>
      </c>
      <c r="H497" s="13">
        <f>100*B497/B$7</f>
        <v/>
      </c>
      <c r="I497" s="13">
        <f>100*C497/C$7</f>
        <v/>
      </c>
      <c r="J497" s="13">
        <f>100*D497/D$7</f>
        <v/>
      </c>
      <c r="K497" s="13">
        <f>100*E497/E$7</f>
        <v/>
      </c>
      <c r="L497" s="13">
        <f>100*F497/F$7</f>
        <v/>
      </c>
      <c r="M497" s="13">
        <f>100*G497/G$7</f>
        <v/>
      </c>
    </row>
    <row r="498">
      <c r="A498" s="11" t="n">
        <v>45615</v>
      </c>
      <c r="B498" s="12" t="n">
        <v>531.1668089999999</v>
      </c>
      <c r="C498" s="12" t="n">
        <v>63.469101</v>
      </c>
      <c r="D498" s="12" t="n">
        <v>50.193855</v>
      </c>
      <c r="E498" s="12" t="n">
        <v>54.952213</v>
      </c>
      <c r="F498" s="12" t="n">
        <v>15.718516</v>
      </c>
      <c r="G498" s="12" t="n">
        <v>73.53686500000001</v>
      </c>
      <c r="H498" s="13">
        <f>100*B498/B$7</f>
        <v/>
      </c>
      <c r="I498" s="13">
        <f>100*C498/C$7</f>
        <v/>
      </c>
      <c r="J498" s="13">
        <f>100*D498/D$7</f>
        <v/>
      </c>
      <c r="K498" s="13">
        <f>100*E498/E$7</f>
        <v/>
      </c>
      <c r="L498" s="13">
        <f>100*F498/F$7</f>
        <v/>
      </c>
      <c r="M498" s="13">
        <f>100*G498/G$7</f>
        <v/>
      </c>
    </row>
    <row r="499">
      <c r="A499" s="11" t="n">
        <v>45616</v>
      </c>
      <c r="B499" s="12" t="n">
        <v>531.36261</v>
      </c>
      <c r="C499" s="12" t="n">
        <v>63.0009</v>
      </c>
      <c r="D499" s="12" t="n">
        <v>49.675343</v>
      </c>
      <c r="E499" s="12" t="n">
        <v>54.818489</v>
      </c>
      <c r="F499" s="12" t="n">
        <v>15.764236</v>
      </c>
      <c r="G499" s="12" t="n">
        <v>73.992493</v>
      </c>
      <c r="H499" s="13">
        <f>100*B499/B$7</f>
        <v/>
      </c>
      <c r="I499" s="13">
        <f>100*C499/C$7</f>
        <v/>
      </c>
      <c r="J499" s="13">
        <f>100*D499/D$7</f>
        <v/>
      </c>
      <c r="K499" s="13">
        <f>100*E499/E$7</f>
        <v/>
      </c>
      <c r="L499" s="13">
        <f>100*F499/F$7</f>
        <v/>
      </c>
      <c r="M499" s="13">
        <f>100*G499/G$7</f>
        <v/>
      </c>
    </row>
    <row r="500">
      <c r="A500" s="11" t="n">
        <v>45617</v>
      </c>
      <c r="B500" s="12" t="n">
        <v>534.044373</v>
      </c>
      <c r="C500" s="12" t="n">
        <v>63.178822</v>
      </c>
      <c r="D500" s="12" t="n">
        <v>49.758675</v>
      </c>
      <c r="E500" s="12" t="n">
        <v>55.410706</v>
      </c>
      <c r="F500" s="12" t="n">
        <v>15.764236</v>
      </c>
      <c r="G500" s="12" t="n">
        <v>73.622299</v>
      </c>
      <c r="H500" s="13">
        <f>100*B500/B$7</f>
        <v/>
      </c>
      <c r="I500" s="13">
        <f>100*C500/C$7</f>
        <v/>
      </c>
      <c r="J500" s="13">
        <f>100*D500/D$7</f>
        <v/>
      </c>
      <c r="K500" s="13">
        <f>100*E500/E$7</f>
        <v/>
      </c>
      <c r="L500" s="13">
        <f>100*F500/F$7</f>
        <v/>
      </c>
      <c r="M500" s="13">
        <f>100*G500/G$7</f>
        <v/>
      </c>
    </row>
    <row r="501">
      <c r="A501" s="11" t="n">
        <v>45618</v>
      </c>
      <c r="B501" s="12" t="n">
        <v>535.835388</v>
      </c>
      <c r="C501" s="12" t="n">
        <v>63.628281</v>
      </c>
      <c r="D501" s="12" t="n">
        <v>50.221634</v>
      </c>
      <c r="E501" s="12" t="n">
        <v>55.52533</v>
      </c>
      <c r="F501" s="12" t="n">
        <v>15.489914</v>
      </c>
      <c r="G501" s="12" t="n">
        <v>71.609932</v>
      </c>
      <c r="H501" s="13">
        <f>100*B501/B$7</f>
        <v/>
      </c>
      <c r="I501" s="13">
        <f>100*C501/C$7</f>
        <v/>
      </c>
      <c r="J501" s="13">
        <f>100*D501/D$7</f>
        <v/>
      </c>
      <c r="K501" s="13">
        <f>100*E501/E$7</f>
        <v/>
      </c>
      <c r="L501" s="13">
        <f>100*F501/F$7</f>
        <v/>
      </c>
      <c r="M501" s="13">
        <f>100*G501/G$7</f>
        <v/>
      </c>
    </row>
    <row r="502">
      <c r="A502" s="11" t="n">
        <v>45621</v>
      </c>
      <c r="B502" s="12" t="n">
        <v>537.558044</v>
      </c>
      <c r="C502" s="12" t="n">
        <v>64.06838999999999</v>
      </c>
      <c r="D502" s="12" t="n">
        <v>50.054966</v>
      </c>
      <c r="E502" s="12" t="n">
        <v>56.107998</v>
      </c>
      <c r="F502" s="12" t="n">
        <v>15.517345</v>
      </c>
      <c r="G502" s="12" t="n">
        <v>71.62891399999999</v>
      </c>
      <c r="H502" s="13">
        <f>100*B502/B$7</f>
        <v/>
      </c>
      <c r="I502" s="13">
        <f>100*C502/C$7</f>
        <v/>
      </c>
      <c r="J502" s="13">
        <f>100*D502/D$7</f>
        <v/>
      </c>
      <c r="K502" s="13">
        <f>100*E502/E$7</f>
        <v/>
      </c>
      <c r="L502" s="13">
        <f>100*F502/F$7</f>
        <v/>
      </c>
      <c r="M502" s="13">
        <f>100*G502/G$7</f>
        <v/>
      </c>
    </row>
    <row r="503">
      <c r="A503" s="11" t="n">
        <v>45622</v>
      </c>
      <c r="B503" s="12" t="n">
        <v>540.572571</v>
      </c>
      <c r="C503" s="12" t="n">
        <v>63.740654</v>
      </c>
      <c r="D503" s="12" t="n">
        <v>49.554974</v>
      </c>
      <c r="E503" s="12" t="n">
        <v>55.97427</v>
      </c>
      <c r="F503" s="12" t="n">
        <v>15.517345</v>
      </c>
      <c r="G503" s="12" t="n">
        <v>71.12582399999999</v>
      </c>
      <c r="H503" s="13">
        <f>100*B503/B$7</f>
        <v/>
      </c>
      <c r="I503" s="13">
        <f>100*C503/C$7</f>
        <v/>
      </c>
      <c r="J503" s="13">
        <f>100*D503/D$7</f>
        <v/>
      </c>
      <c r="K503" s="13">
        <f>100*E503/E$7</f>
        <v/>
      </c>
      <c r="L503" s="13">
        <f>100*F503/F$7</f>
        <v/>
      </c>
      <c r="M503" s="13">
        <f>100*G503/G$7</f>
        <v/>
      </c>
    </row>
    <row r="504">
      <c r="A504" s="11" t="n">
        <v>45623</v>
      </c>
      <c r="B504" s="12" t="n">
        <v>538.849915</v>
      </c>
      <c r="C504" s="12" t="n">
        <v>63.56274</v>
      </c>
      <c r="D504" s="12" t="n">
        <v>48.786461</v>
      </c>
      <c r="E504" s="12" t="n">
        <v>55.534882</v>
      </c>
      <c r="F504" s="12" t="n">
        <v>15.782522</v>
      </c>
      <c r="G504" s="12" t="n">
        <v>73.062256</v>
      </c>
      <c r="H504" s="13">
        <f>100*B504/B$7</f>
        <v/>
      </c>
      <c r="I504" s="13">
        <f>100*C504/C$7</f>
        <v/>
      </c>
      <c r="J504" s="13">
        <f>100*D504/D$7</f>
        <v/>
      </c>
      <c r="K504" s="13">
        <f>100*E504/E$7</f>
        <v/>
      </c>
      <c r="L504" s="13">
        <f>100*F504/F$7</f>
        <v/>
      </c>
      <c r="M504" s="13">
        <f>100*G504/G$7</f>
        <v/>
      </c>
    </row>
    <row r="505">
      <c r="A505" s="11" t="n">
        <v>45624</v>
      </c>
      <c r="B505" s="12" t="n">
        <v>538.849915</v>
      </c>
      <c r="C505" s="12" t="n">
        <v>63.56274</v>
      </c>
      <c r="D505" s="12" t="n">
        <v>48.786461</v>
      </c>
      <c r="E505" s="12" t="n">
        <v>55.534882</v>
      </c>
      <c r="F505" s="12" t="n">
        <v>15.782522</v>
      </c>
      <c r="G505" s="12" t="n">
        <v>73.062256</v>
      </c>
      <c r="H505" s="13">
        <f>100*B505/B$7</f>
        <v/>
      </c>
      <c r="I505" s="13">
        <f>100*C505/C$7</f>
        <v/>
      </c>
      <c r="J505" s="13">
        <f>100*D505/D$7</f>
        <v/>
      </c>
      <c r="K505" s="13">
        <f>100*E505/E$7</f>
        <v/>
      </c>
      <c r="L505" s="13">
        <f>100*F505/F$7</f>
        <v/>
      </c>
      <c r="M505" s="13">
        <f>100*G505/G$7</f>
        <v/>
      </c>
    </row>
    <row r="506">
      <c r="A506" s="11" t="n">
        <v>45625</v>
      </c>
      <c r="B506" s="12" t="n">
        <v>541.688293</v>
      </c>
      <c r="C506" s="12" t="n">
        <v>65.25762899999999</v>
      </c>
      <c r="D506" s="12" t="n">
        <v>49.212383</v>
      </c>
      <c r="E506" s="12" t="n">
        <v>54.856697</v>
      </c>
      <c r="F506" s="12" t="n">
        <v>15.947116</v>
      </c>
      <c r="G506" s="12" t="n">
        <v>73.214127</v>
      </c>
      <c r="H506" s="13">
        <f>100*B506/B$7</f>
        <v/>
      </c>
      <c r="I506" s="13">
        <f>100*C506/C$7</f>
        <v/>
      </c>
      <c r="J506" s="13">
        <f>100*D506/D$7</f>
        <v/>
      </c>
      <c r="K506" s="13">
        <f>100*E506/E$7</f>
        <v/>
      </c>
      <c r="L506" s="13">
        <f>100*F506/F$7</f>
        <v/>
      </c>
      <c r="M506" s="13">
        <f>100*G506/G$7</f>
        <v/>
      </c>
    </row>
    <row r="507">
      <c r="A507" s="11" t="n">
        <v>45628</v>
      </c>
      <c r="B507" s="12" t="n">
        <v>543.21521</v>
      </c>
      <c r="C507" s="12" t="n">
        <v>66.053566</v>
      </c>
      <c r="D507" s="12" t="n">
        <v>50.175335</v>
      </c>
      <c r="E507" s="12" t="n">
        <v>54.168957</v>
      </c>
      <c r="F507" s="12" t="n">
        <v>15.782522</v>
      </c>
      <c r="G507" s="12" t="n">
        <v>73.39447800000001</v>
      </c>
      <c r="H507" s="13">
        <f>100*B507/B$7</f>
        <v/>
      </c>
      <c r="I507" s="13">
        <f>100*C507/C$7</f>
        <v/>
      </c>
      <c r="J507" s="13">
        <f>100*D507/D$7</f>
        <v/>
      </c>
      <c r="K507" s="13">
        <f>100*E507/E$7</f>
        <v/>
      </c>
      <c r="L507" s="13">
        <f>100*F507/F$7</f>
        <v/>
      </c>
      <c r="M507" s="13">
        <f>100*G507/G$7</f>
        <v/>
      </c>
    </row>
    <row r="508">
      <c r="A508" s="11" t="n">
        <v>45629</v>
      </c>
      <c r="B508" s="12" t="n">
        <v>543.342407</v>
      </c>
      <c r="C508" s="12" t="n">
        <v>66.999329</v>
      </c>
      <c r="D508" s="12" t="n">
        <v>50.369778</v>
      </c>
      <c r="E508" s="12" t="n">
        <v>53.309284</v>
      </c>
      <c r="F508" s="12" t="n">
        <v>15.892248</v>
      </c>
      <c r="G508" s="12" t="n">
        <v>73.470421</v>
      </c>
      <c r="H508" s="13">
        <f>100*B508/B$7</f>
        <v/>
      </c>
      <c r="I508" s="13">
        <f>100*C508/C$7</f>
        <v/>
      </c>
      <c r="J508" s="13">
        <f>100*D508/D$7</f>
        <v/>
      </c>
      <c r="K508" s="13">
        <f>100*E508/E$7</f>
        <v/>
      </c>
      <c r="L508" s="13">
        <f>100*F508/F$7</f>
        <v/>
      </c>
      <c r="M508" s="13">
        <f>100*G508/G$7</f>
        <v/>
      </c>
    </row>
    <row r="509">
      <c r="A509" s="11" t="n">
        <v>45630</v>
      </c>
      <c r="B509" s="12" t="n">
        <v>546.768066</v>
      </c>
      <c r="C509" s="12" t="n">
        <v>66.624771</v>
      </c>
      <c r="D509" s="12" t="n">
        <v>50.934586</v>
      </c>
      <c r="E509" s="12" t="n">
        <v>53.69136</v>
      </c>
      <c r="F509" s="12" t="n">
        <v>15.764236</v>
      </c>
      <c r="G509" s="12" t="n">
        <v>72.853416</v>
      </c>
      <c r="H509" s="13">
        <f>100*B509/B$7</f>
        <v/>
      </c>
      <c r="I509" s="13">
        <f>100*C509/C$7</f>
        <v/>
      </c>
      <c r="J509" s="13">
        <f>100*D509/D$7</f>
        <v/>
      </c>
      <c r="K509" s="13">
        <f>100*E509/E$7</f>
        <v/>
      </c>
      <c r="L509" s="13">
        <f>100*F509/F$7</f>
        <v/>
      </c>
      <c r="M509" s="13">
        <f>100*G509/G$7</f>
        <v/>
      </c>
    </row>
    <row r="510">
      <c r="A510" s="11" t="n">
        <v>45631</v>
      </c>
      <c r="B510" s="12" t="n">
        <v>545.857788</v>
      </c>
      <c r="C510" s="12" t="n">
        <v>66.50303599999999</v>
      </c>
      <c r="D510" s="12" t="n">
        <v>51.027176</v>
      </c>
      <c r="E510" s="12" t="n">
        <v>53.03228</v>
      </c>
      <c r="F510" s="12" t="n">
        <v>15.80081</v>
      </c>
      <c r="G510" s="12" t="n">
        <v>73.337532</v>
      </c>
      <c r="H510" s="13">
        <f>100*B510/B$7</f>
        <v/>
      </c>
      <c r="I510" s="13">
        <f>100*C510/C$7</f>
        <v/>
      </c>
      <c r="J510" s="13">
        <f>100*D510/D$7</f>
        <v/>
      </c>
      <c r="K510" s="13">
        <f>100*E510/E$7</f>
        <v/>
      </c>
      <c r="L510" s="13">
        <f>100*F510/F$7</f>
        <v/>
      </c>
      <c r="M510" s="13">
        <f>100*G510/G$7</f>
        <v/>
      </c>
    </row>
    <row r="511">
      <c r="A511" s="11" t="n">
        <v>45632</v>
      </c>
      <c r="B511" s="12" t="n">
        <v>546.944153</v>
      </c>
      <c r="C511" s="12" t="n">
        <v>66.559219</v>
      </c>
      <c r="D511" s="12" t="n">
        <v>50.786438</v>
      </c>
      <c r="E511" s="12" t="n">
        <v>52.497368</v>
      </c>
      <c r="F511" s="12" t="n">
        <v>15.809956</v>
      </c>
      <c r="G511" s="12" t="n">
        <v>73.93553900000001</v>
      </c>
      <c r="H511" s="13">
        <f>100*B511/B$7</f>
        <v/>
      </c>
      <c r="I511" s="13">
        <f>100*C511/C$7</f>
        <v/>
      </c>
      <c r="J511" s="13">
        <f>100*D511/D$7</f>
        <v/>
      </c>
      <c r="K511" s="13">
        <f>100*E511/E$7</f>
        <v/>
      </c>
      <c r="L511" s="13">
        <f>100*F511/F$7</f>
        <v/>
      </c>
      <c r="M511" s="13">
        <f>100*G511/G$7</f>
        <v/>
      </c>
    </row>
    <row r="512">
      <c r="A512" s="11" t="n">
        <v>45635</v>
      </c>
      <c r="B512" s="12" t="n">
        <v>544.096008</v>
      </c>
      <c r="C512" s="12" t="n">
        <v>65.978645</v>
      </c>
      <c r="D512" s="12" t="n">
        <v>50.841995</v>
      </c>
      <c r="E512" s="12" t="n">
        <v>51.265171</v>
      </c>
      <c r="F512" s="12" t="n">
        <v>16.696922</v>
      </c>
      <c r="G512" s="12" t="n">
        <v>79.488533</v>
      </c>
      <c r="H512" s="13">
        <f>100*B512/B$7</f>
        <v/>
      </c>
      <c r="I512" s="13">
        <f>100*C512/C$7</f>
        <v/>
      </c>
      <c r="J512" s="13">
        <f>100*D512/D$7</f>
        <v/>
      </c>
      <c r="K512" s="13">
        <f>100*E512/E$7</f>
        <v/>
      </c>
      <c r="L512" s="13">
        <f>100*F512/F$7</f>
        <v/>
      </c>
      <c r="M512" s="13">
        <f>100*G512/G$7</f>
        <v/>
      </c>
    </row>
    <row r="513">
      <c r="A513" s="11" t="n">
        <v>45636</v>
      </c>
      <c r="B513" s="12" t="n">
        <v>542.549683</v>
      </c>
      <c r="C513" s="12" t="n">
        <v>65.622818</v>
      </c>
      <c r="D513" s="12" t="n">
        <v>49.934597</v>
      </c>
      <c r="E513" s="12" t="n">
        <v>51.513523</v>
      </c>
      <c r="F513" s="12" t="n">
        <v>16.258011</v>
      </c>
      <c r="G513" s="12" t="n">
        <v>75.815033</v>
      </c>
      <c r="H513" s="13">
        <f>100*B513/B$7</f>
        <v/>
      </c>
      <c r="I513" s="13">
        <f>100*C513/C$7</f>
        <v/>
      </c>
      <c r="J513" s="13">
        <f>100*D513/D$7</f>
        <v/>
      </c>
      <c r="K513" s="13">
        <f>100*E513/E$7</f>
        <v/>
      </c>
      <c r="L513" s="13">
        <f>100*F513/F$7</f>
        <v/>
      </c>
      <c r="M513" s="13">
        <f>100*G513/G$7</f>
        <v/>
      </c>
    </row>
    <row r="514">
      <c r="A514" s="11" t="n">
        <v>45637</v>
      </c>
      <c r="B514" s="12" t="n">
        <v>546.6604610000001</v>
      </c>
      <c r="C514" s="12" t="n">
        <v>66.54985000000001</v>
      </c>
      <c r="D514" s="12" t="n">
        <v>50.406815</v>
      </c>
      <c r="E514" s="12" t="n">
        <v>53.013172</v>
      </c>
      <c r="F514" s="12" t="n">
        <v>16.084274</v>
      </c>
      <c r="G514" s="12" t="n">
        <v>75.378372</v>
      </c>
      <c r="H514" s="13">
        <f>100*B514/B$7</f>
        <v/>
      </c>
      <c r="I514" s="13">
        <f>100*C514/C$7</f>
        <v/>
      </c>
      <c r="J514" s="13">
        <f>100*D514/D$7</f>
        <v/>
      </c>
      <c r="K514" s="13">
        <f>100*E514/E$7</f>
        <v/>
      </c>
      <c r="L514" s="13">
        <f>100*F514/F$7</f>
        <v/>
      </c>
      <c r="M514" s="13">
        <f>100*G514/G$7</f>
        <v/>
      </c>
    </row>
    <row r="515">
      <c r="A515" s="11" t="n">
        <v>45638</v>
      </c>
      <c r="B515" s="12" t="n">
        <v>543.841736</v>
      </c>
      <c r="C515" s="12" t="n">
        <v>65.894379</v>
      </c>
      <c r="D515" s="12" t="n">
        <v>50.054966</v>
      </c>
      <c r="E515" s="12" t="n">
        <v>52.994072</v>
      </c>
      <c r="F515" s="12" t="n">
        <v>15.947116</v>
      </c>
      <c r="G515" s="12" t="n">
        <v>75.501778</v>
      </c>
      <c r="H515" s="13">
        <f>100*B515/B$7</f>
        <v/>
      </c>
      <c r="I515" s="13">
        <f>100*C515/C$7</f>
        <v/>
      </c>
      <c r="J515" s="13">
        <f>100*D515/D$7</f>
        <v/>
      </c>
      <c r="K515" s="13">
        <f>100*E515/E$7</f>
        <v/>
      </c>
      <c r="L515" s="13">
        <f>100*F515/F$7</f>
        <v/>
      </c>
      <c r="M515" s="13">
        <f>100*G515/G$7</f>
        <v/>
      </c>
    </row>
    <row r="516">
      <c r="A516" s="11" t="n">
        <v>45639</v>
      </c>
      <c r="B516" s="12" t="n">
        <v>543.802429</v>
      </c>
      <c r="C516" s="12" t="n">
        <v>65.117165</v>
      </c>
      <c r="D516" s="12" t="n">
        <v>50.601257</v>
      </c>
      <c r="E516" s="12" t="n">
        <v>53.481216</v>
      </c>
      <c r="F516" s="12" t="n">
        <v>15.84653</v>
      </c>
      <c r="G516" s="12" t="n">
        <v>74.52407100000001</v>
      </c>
      <c r="H516" s="13">
        <f>100*B516/B$7</f>
        <v/>
      </c>
      <c r="I516" s="13">
        <f>100*C516/C$7</f>
        <v/>
      </c>
      <c r="J516" s="13">
        <f>100*D516/D$7</f>
        <v/>
      </c>
      <c r="K516" s="13">
        <f>100*E516/E$7</f>
        <v/>
      </c>
      <c r="L516" s="13">
        <f>100*F516/F$7</f>
        <v/>
      </c>
      <c r="M516" s="13">
        <f>100*G516/G$7</f>
        <v/>
      </c>
    </row>
    <row r="517">
      <c r="A517" s="11" t="n">
        <v>45642</v>
      </c>
      <c r="B517" s="12" t="n">
        <v>545.936157</v>
      </c>
      <c r="C517" s="12" t="n">
        <v>64.78006000000001</v>
      </c>
      <c r="D517" s="12" t="n">
        <v>50.425331</v>
      </c>
      <c r="E517" s="12" t="n">
        <v>53.089588</v>
      </c>
      <c r="F517" s="12" t="n">
        <v>15.617929</v>
      </c>
      <c r="G517" s="12" t="n">
        <v>73.37550400000001</v>
      </c>
      <c r="H517" s="13">
        <f>100*B517/B$7</f>
        <v/>
      </c>
      <c r="I517" s="13">
        <f>100*C517/C$7</f>
        <v/>
      </c>
      <c r="J517" s="13">
        <f>100*D517/D$7</f>
        <v/>
      </c>
      <c r="K517" s="13">
        <f>100*E517/E$7</f>
        <v/>
      </c>
      <c r="L517" s="13">
        <f>100*F517/F$7</f>
        <v/>
      </c>
      <c r="M517" s="13">
        <f>100*G517/G$7</f>
        <v/>
      </c>
    </row>
    <row r="518">
      <c r="A518" s="11" t="n">
        <v>45643</v>
      </c>
      <c r="B518" s="12" t="n">
        <v>543.645874</v>
      </c>
      <c r="C518" s="12" t="n">
        <v>64.555611</v>
      </c>
      <c r="D518" s="12" t="n">
        <v>50.251328</v>
      </c>
      <c r="E518" s="12" t="n">
        <v>52.393227</v>
      </c>
      <c r="F518" s="12" t="n">
        <v>15.622597</v>
      </c>
      <c r="G518" s="12" t="n">
        <v>74.191833</v>
      </c>
      <c r="H518" s="13">
        <f>100*B518/B$7</f>
        <v/>
      </c>
      <c r="I518" s="13">
        <f>100*C518/C$7</f>
        <v/>
      </c>
      <c r="J518" s="13">
        <f>100*D518/D$7</f>
        <v/>
      </c>
      <c r="K518" s="13">
        <f>100*E518/E$7</f>
        <v/>
      </c>
      <c r="L518" s="13">
        <f>100*F518/F$7</f>
        <v/>
      </c>
      <c r="M518" s="13">
        <f>100*G518/G$7</f>
        <v/>
      </c>
    </row>
    <row r="519">
      <c r="A519" s="11" t="n">
        <v>45644</v>
      </c>
      <c r="B519" s="12" t="n">
        <v>527.682556</v>
      </c>
      <c r="C519" s="12" t="n">
        <v>62.938873</v>
      </c>
      <c r="D519" s="12" t="n">
        <v>49.170963</v>
      </c>
      <c r="E519" s="12" t="n">
        <v>50.965302</v>
      </c>
      <c r="F519" s="12" t="n">
        <v>15.314624</v>
      </c>
      <c r="G519" s="12" t="n">
        <v>73.014786</v>
      </c>
      <c r="H519" s="13">
        <f>100*B519/B$7</f>
        <v/>
      </c>
      <c r="I519" s="13">
        <f>100*C519/C$7</f>
        <v/>
      </c>
      <c r="J519" s="13">
        <f>100*D519/D$7</f>
        <v/>
      </c>
      <c r="K519" s="13">
        <f>100*E519/E$7</f>
        <v/>
      </c>
      <c r="L519" s="13">
        <f>100*F519/F$7</f>
        <v/>
      </c>
      <c r="M519" s="13">
        <f>100*G519/G$7</f>
        <v/>
      </c>
    </row>
    <row r="520">
      <c r="A520" s="11" t="n">
        <v>45645</v>
      </c>
      <c r="B520" s="12" t="n">
        <v>527.486755</v>
      </c>
      <c r="C520" s="12" t="n">
        <v>63.138584</v>
      </c>
      <c r="D520" s="12" t="n">
        <v>49.572514</v>
      </c>
      <c r="E520" s="12" t="n">
        <v>51.434757</v>
      </c>
      <c r="F520" s="12" t="n">
        <v>15.361286</v>
      </c>
      <c r="G520" s="12" t="n">
        <v>73.42295799999999</v>
      </c>
      <c r="H520" s="13">
        <f>100*B520/B$7</f>
        <v/>
      </c>
      <c r="I520" s="13">
        <f>100*C520/C$7</f>
        <v/>
      </c>
      <c r="J520" s="13">
        <f>100*D520/D$7</f>
        <v/>
      </c>
      <c r="K520" s="13">
        <f>100*E520/E$7</f>
        <v/>
      </c>
      <c r="L520" s="13">
        <f>100*F520/F$7</f>
        <v/>
      </c>
      <c r="M520" s="13">
        <f>100*G520/G$7</f>
        <v/>
      </c>
    </row>
    <row r="521">
      <c r="A521" s="11" t="n">
        <v>45646</v>
      </c>
      <c r="B521" s="12" t="n">
        <v>533.457092</v>
      </c>
      <c r="C521" s="12" t="n">
        <v>62.9674</v>
      </c>
      <c r="D521" s="12" t="n">
        <v>49.926262</v>
      </c>
      <c r="E521" s="12" t="n">
        <v>51.190247</v>
      </c>
      <c r="F521" s="12" t="n">
        <v>15.454612</v>
      </c>
      <c r="G521" s="12" t="n">
        <v>73.93553900000001</v>
      </c>
      <c r="H521" s="13">
        <f>100*B521/B$7</f>
        <v/>
      </c>
      <c r="I521" s="13">
        <f>100*C521/C$7</f>
        <v/>
      </c>
      <c r="J521" s="13">
        <f>100*D521/D$7</f>
        <v/>
      </c>
      <c r="K521" s="13">
        <f>100*E521/E$7</f>
        <v/>
      </c>
      <c r="L521" s="13">
        <f>100*F521/F$7</f>
        <v/>
      </c>
      <c r="M521" s="13">
        <f>100*G521/G$7</f>
        <v/>
      </c>
    </row>
    <row r="522">
      <c r="A522" s="11" t="n">
        <v>45649</v>
      </c>
      <c r="B522" s="12" t="n">
        <v>537.275635</v>
      </c>
      <c r="C522" s="12" t="n">
        <v>63.233692</v>
      </c>
      <c r="D522" s="12" t="n">
        <v>50.853653</v>
      </c>
      <c r="E522" s="12" t="n">
        <v>51.610802</v>
      </c>
      <c r="F522" s="12" t="n">
        <v>15.594599</v>
      </c>
      <c r="G522" s="12" t="n">
        <v>74.063301</v>
      </c>
      <c r="H522" s="13">
        <f>100*B522/B$7</f>
        <v/>
      </c>
      <c r="I522" s="13">
        <f>100*C522/C$7</f>
        <v/>
      </c>
      <c r="J522" s="13">
        <f>100*D522/D$7</f>
        <v/>
      </c>
      <c r="K522" s="13">
        <f>100*E522/E$7</f>
        <v/>
      </c>
      <c r="L522" s="13">
        <f>100*F522/F$7</f>
        <v/>
      </c>
      <c r="M522" s="13">
        <f>100*G522/G$7</f>
        <v/>
      </c>
    </row>
    <row r="523">
      <c r="A523" s="11" t="n">
        <v>45650</v>
      </c>
      <c r="B523" s="12" t="n">
        <v>542.8036499999999</v>
      </c>
      <c r="C523" s="12" t="n">
        <v>63.195648</v>
      </c>
      <c r="D523" s="12" t="n">
        <v>50.777168</v>
      </c>
      <c r="E523" s="12" t="n">
        <v>51.55212</v>
      </c>
      <c r="F523" s="12" t="n">
        <v>15.790584</v>
      </c>
      <c r="G523" s="12" t="n">
        <v>74.721474</v>
      </c>
      <c r="H523" s="13">
        <f>100*B523/B$7</f>
        <v/>
      </c>
      <c r="I523" s="13">
        <f>100*C523/C$7</f>
        <v/>
      </c>
      <c r="J523" s="13">
        <f>100*D523/D$7</f>
        <v/>
      </c>
      <c r="K523" s="13">
        <f>100*E523/E$7</f>
        <v/>
      </c>
      <c r="L523" s="13">
        <f>100*F523/F$7</f>
        <v/>
      </c>
      <c r="M523" s="13">
        <f>100*G523/G$7</f>
        <v/>
      </c>
    </row>
    <row r="524">
      <c r="A524" s="11" t="n">
        <v>45651</v>
      </c>
      <c r="B524" s="12" t="n">
        <v>542.8036499999999</v>
      </c>
      <c r="C524" s="12" t="n">
        <v>63.195648</v>
      </c>
      <c r="D524" s="12" t="n">
        <v>50.777168</v>
      </c>
      <c r="E524" s="12" t="n">
        <v>51.55212</v>
      </c>
      <c r="F524" s="12" t="n">
        <v>15.790584</v>
      </c>
      <c r="G524" s="12" t="n">
        <v>74.721474</v>
      </c>
      <c r="H524" s="13">
        <f>100*B524/B$7</f>
        <v/>
      </c>
      <c r="I524" s="13">
        <f>100*C524/C$7</f>
        <v/>
      </c>
      <c r="J524" s="13">
        <f>100*D524/D$7</f>
        <v/>
      </c>
      <c r="K524" s="13">
        <f>100*E524/E$7</f>
        <v/>
      </c>
      <c r="L524" s="13">
        <f>100*F524/F$7</f>
        <v/>
      </c>
      <c r="M524" s="13">
        <f>100*G524/G$7</f>
        <v/>
      </c>
    </row>
    <row r="525">
      <c r="A525" s="11" t="n">
        <v>45652</v>
      </c>
      <c r="B525" s="12" t="n">
        <v>542.793823</v>
      </c>
      <c r="C525" s="12" t="n">
        <v>63.927937</v>
      </c>
      <c r="D525" s="12" t="n">
        <v>50.318253</v>
      </c>
      <c r="E525" s="12" t="n">
        <v>50.828377</v>
      </c>
      <c r="F525" s="12" t="n">
        <v>15.855909</v>
      </c>
      <c r="G525" s="12" t="n">
        <v>75.03119700000001</v>
      </c>
      <c r="H525" s="13">
        <f>100*B525/B$7</f>
        <v/>
      </c>
      <c r="I525" s="13">
        <f>100*C525/C$7</f>
        <v/>
      </c>
      <c r="J525" s="13">
        <f>100*D525/D$7</f>
        <v/>
      </c>
      <c r="K525" s="13">
        <f>100*E525/E$7</f>
        <v/>
      </c>
      <c r="L525" s="13">
        <f>100*F525/F$7</f>
        <v/>
      </c>
      <c r="M525" s="13">
        <f>100*G525/G$7</f>
        <v/>
      </c>
    </row>
    <row r="526">
      <c r="A526" s="11" t="n">
        <v>45653</v>
      </c>
      <c r="B526" s="12" t="n">
        <v>537.1676639999999</v>
      </c>
      <c r="C526" s="12" t="n">
        <v>64.412971</v>
      </c>
      <c r="D526" s="12" t="n">
        <v>50.241768</v>
      </c>
      <c r="E526" s="12" t="n">
        <v>50.329578</v>
      </c>
      <c r="F526" s="12" t="n">
        <v>15.641262</v>
      </c>
      <c r="G526" s="12" t="n">
        <v>74.59565000000001</v>
      </c>
      <c r="H526" s="13">
        <f>100*B526/B$7</f>
        <v/>
      </c>
      <c r="I526" s="13">
        <f>100*C526/C$7</f>
        <v/>
      </c>
      <c r="J526" s="13">
        <f>100*D526/D$7</f>
        <v/>
      </c>
      <c r="K526" s="13">
        <f>100*E526/E$7</f>
        <v/>
      </c>
      <c r="L526" s="13">
        <f>100*F526/F$7</f>
        <v/>
      </c>
      <c r="M526" s="13">
        <f>100*G526/G$7</f>
        <v/>
      </c>
    </row>
    <row r="527">
      <c r="A527" s="11" t="n">
        <v>45656</v>
      </c>
      <c r="B527" s="12" t="n">
        <v>531.187988</v>
      </c>
      <c r="C527" s="12" t="n">
        <v>63.870884</v>
      </c>
      <c r="D527" s="12" t="n">
        <v>49.687244</v>
      </c>
      <c r="E527" s="12" t="n">
        <v>50.06551</v>
      </c>
      <c r="F527" s="12" t="n">
        <v>15.519938</v>
      </c>
      <c r="G527" s="12" t="n">
        <v>73.77293400000001</v>
      </c>
      <c r="H527" s="13">
        <f>100*B527/B$7</f>
        <v/>
      </c>
      <c r="I527" s="13">
        <f>100*C527/C$7</f>
        <v/>
      </c>
      <c r="J527" s="13">
        <f>100*D527/D$7</f>
        <v/>
      </c>
      <c r="K527" s="13">
        <f>100*E527/E$7</f>
        <v/>
      </c>
      <c r="L527" s="13">
        <f>100*F527/F$7</f>
        <v/>
      </c>
      <c r="M527" s="13">
        <f>100*G527/G$7</f>
        <v/>
      </c>
    </row>
    <row r="528">
      <c r="A528" s="11" t="n">
        <v>45657</v>
      </c>
      <c r="B528" s="12" t="n">
        <v>529.0474850000001</v>
      </c>
      <c r="C528" s="12" t="n">
        <v>63.813812</v>
      </c>
      <c r="D528" s="12" t="n">
        <v>49.486465</v>
      </c>
      <c r="E528" s="12" t="n">
        <v>49.772099</v>
      </c>
      <c r="F528" s="12" t="n">
        <v>15.547937</v>
      </c>
      <c r="G528" s="12" t="n">
        <v>73.443848</v>
      </c>
      <c r="H528" s="13">
        <f>100*B528/B$7</f>
        <v/>
      </c>
      <c r="I528" s="13">
        <f>100*C528/C$7</f>
        <v/>
      </c>
      <c r="J528" s="13">
        <f>100*D528/D$7</f>
        <v/>
      </c>
      <c r="K528" s="13">
        <f>100*E528/E$7</f>
        <v/>
      </c>
      <c r="L528" s="13">
        <f>100*F528/F$7</f>
        <v/>
      </c>
      <c r="M528" s="13">
        <f>100*G528/G$7</f>
        <v/>
      </c>
    </row>
    <row r="529">
      <c r="A529" s="11" t="n">
        <v>45658</v>
      </c>
      <c r="B529" s="12" t="n">
        <v>529.0474850000001</v>
      </c>
      <c r="C529" s="12" t="n">
        <v>63.813812</v>
      </c>
      <c r="D529" s="12" t="n">
        <v>49.486465</v>
      </c>
      <c r="E529" s="12" t="n">
        <v>49.772099</v>
      </c>
      <c r="F529" s="12" t="n">
        <v>15.547937</v>
      </c>
      <c r="G529" s="12" t="n">
        <v>73.443848</v>
      </c>
      <c r="H529" s="13">
        <f>100*B529/B$7</f>
        <v/>
      </c>
      <c r="I529" s="13">
        <f>100*C529/C$7</f>
        <v/>
      </c>
      <c r="J529" s="13">
        <f>100*D529/D$7</f>
        <v/>
      </c>
      <c r="K529" s="13">
        <f>100*E529/E$7</f>
        <v/>
      </c>
      <c r="L529" s="13">
        <f>100*F529/F$7</f>
        <v/>
      </c>
      <c r="M529" s="13">
        <f>100*G529/G$7</f>
        <v/>
      </c>
    </row>
    <row r="530">
      <c r="A530" s="11" t="n">
        <v>45659</v>
      </c>
      <c r="B530" s="12" t="n">
        <v>527.721863</v>
      </c>
      <c r="C530" s="12" t="n">
        <v>63.728226</v>
      </c>
      <c r="D530" s="12" t="n">
        <v>49.084915</v>
      </c>
      <c r="E530" s="12" t="n">
        <v>49.997047</v>
      </c>
      <c r="F530" s="12" t="n">
        <v>15.305291</v>
      </c>
      <c r="G530" s="12" t="n">
        <v>72.059769</v>
      </c>
      <c r="H530" s="13">
        <f>100*B530/B$7</f>
        <v/>
      </c>
      <c r="I530" s="13">
        <f>100*C530/C$7</f>
        <v/>
      </c>
      <c r="J530" s="13">
        <f>100*D530/D$7</f>
        <v/>
      </c>
      <c r="K530" s="13">
        <f>100*E530/E$7</f>
        <v/>
      </c>
      <c r="L530" s="13">
        <f>100*F530/F$7</f>
        <v/>
      </c>
      <c r="M530" s="13">
        <f>100*G530/G$7</f>
        <v/>
      </c>
    </row>
    <row r="531">
      <c r="A531" s="11" t="n">
        <v>45660</v>
      </c>
      <c r="B531" s="12" t="n">
        <v>534.5361329999999</v>
      </c>
      <c r="C531" s="12" t="n">
        <v>63.984997</v>
      </c>
      <c r="D531" s="12" t="n">
        <v>49.935822</v>
      </c>
      <c r="E531" s="12" t="n">
        <v>51.679264</v>
      </c>
      <c r="F531" s="12" t="n">
        <v>15.426615</v>
      </c>
      <c r="G531" s="12" t="n">
        <v>72.23397799999999</v>
      </c>
      <c r="H531" s="13">
        <f>100*B531/B$7</f>
        <v/>
      </c>
      <c r="I531" s="13">
        <f>100*C531/C$7</f>
        <v/>
      </c>
      <c r="J531" s="13">
        <f>100*D531/D$7</f>
        <v/>
      </c>
      <c r="K531" s="13">
        <f>100*E531/E$7</f>
        <v/>
      </c>
      <c r="L531" s="13">
        <f>100*F531/F$7</f>
        <v/>
      </c>
      <c r="M531" s="13">
        <f>100*G531/G$7</f>
        <v/>
      </c>
    </row>
    <row r="532">
      <c r="A532" s="11" t="n">
        <v>45663</v>
      </c>
      <c r="B532" s="12" t="n">
        <v>537.648743</v>
      </c>
      <c r="C532" s="12" t="n">
        <v>64.127655</v>
      </c>
      <c r="D532" s="12" t="n">
        <v>51.455982</v>
      </c>
      <c r="E532" s="12" t="n">
        <v>53.204998</v>
      </c>
      <c r="F532" s="12" t="n">
        <v>15.370619</v>
      </c>
      <c r="G532" s="12" t="n">
        <v>71.372551</v>
      </c>
      <c r="H532" s="13">
        <f>100*B532/B$7</f>
        <v/>
      </c>
      <c r="I532" s="13">
        <f>100*C532/C$7</f>
        <v/>
      </c>
      <c r="J532" s="13">
        <f>100*D532/D$7</f>
        <v/>
      </c>
      <c r="K532" s="13">
        <f>100*E532/E$7</f>
        <v/>
      </c>
      <c r="L532" s="13">
        <f>100*F532/F$7</f>
        <v/>
      </c>
      <c r="M532" s="13">
        <f>100*G532/G$7</f>
        <v/>
      </c>
    </row>
    <row r="533">
      <c r="A533" s="11" t="n">
        <v>45664</v>
      </c>
      <c r="B533" s="12" t="n">
        <v>531.600281</v>
      </c>
      <c r="C533" s="12" t="n">
        <v>63.975491</v>
      </c>
      <c r="D533" s="12" t="n">
        <v>50.758049</v>
      </c>
      <c r="E533" s="12" t="n">
        <v>52.539936</v>
      </c>
      <c r="F533" s="12" t="n">
        <v>15.193303</v>
      </c>
      <c r="G533" s="12" t="n">
        <v>70.937004</v>
      </c>
      <c r="H533" s="13">
        <f>100*B533/B$7</f>
        <v/>
      </c>
      <c r="I533" s="13">
        <f>100*C533/C$7</f>
        <v/>
      </c>
      <c r="J533" s="13">
        <f>100*D533/D$7</f>
        <v/>
      </c>
      <c r="K533" s="13">
        <f>100*E533/E$7</f>
        <v/>
      </c>
      <c r="L533" s="13">
        <f>100*F533/F$7</f>
        <v/>
      </c>
      <c r="M533" s="13">
        <f>100*G533/G$7</f>
        <v/>
      </c>
    </row>
    <row r="534">
      <c r="A534" s="11" t="n">
        <v>45665</v>
      </c>
      <c r="B534" s="12" t="n">
        <v>532.3172</v>
      </c>
      <c r="C534" s="12" t="n">
        <v>63.813812</v>
      </c>
      <c r="D534" s="12" t="n">
        <v>50.184402</v>
      </c>
      <c r="E534" s="12" t="n">
        <v>53.126751</v>
      </c>
      <c r="F534" s="12" t="n">
        <v>15.025318</v>
      </c>
      <c r="G534" s="12" t="n">
        <v>70.50145000000001</v>
      </c>
      <c r="H534" s="13">
        <f>100*B534/B$7</f>
        <v/>
      </c>
      <c r="I534" s="13">
        <f>100*C534/C$7</f>
        <v/>
      </c>
      <c r="J534" s="13">
        <f>100*D534/D$7</f>
        <v/>
      </c>
      <c r="K534" s="13">
        <f>100*E534/E$7</f>
        <v/>
      </c>
      <c r="L534" s="13">
        <f>100*F534/F$7</f>
        <v/>
      </c>
      <c r="M534" s="13">
        <f>100*G534/G$7</f>
        <v/>
      </c>
    </row>
    <row r="535">
      <c r="A535" s="11" t="n">
        <v>45666</v>
      </c>
      <c r="B535" s="12" t="n">
        <v>532.3172</v>
      </c>
      <c r="C535" s="12" t="n">
        <v>63.813812</v>
      </c>
      <c r="D535" s="12" t="n">
        <v>50.184402</v>
      </c>
      <c r="E535" s="12" t="n">
        <v>53.126751</v>
      </c>
      <c r="F535" s="12" t="n">
        <v>15.025318</v>
      </c>
      <c r="G535" s="12" t="n">
        <v>70.50145000000001</v>
      </c>
      <c r="H535" s="13">
        <f>100*B535/B$7</f>
        <v/>
      </c>
      <c r="I535" s="13">
        <f>100*C535/C$7</f>
        <v/>
      </c>
      <c r="J535" s="13">
        <f>100*D535/D$7</f>
        <v/>
      </c>
      <c r="K535" s="13">
        <f>100*E535/E$7</f>
        <v/>
      </c>
      <c r="L535" s="13">
        <f>100*F535/F$7</f>
        <v/>
      </c>
      <c r="M535" s="13">
        <f>100*G535/G$7</f>
        <v/>
      </c>
    </row>
    <row r="536">
      <c r="A536" s="11" t="n">
        <v>45667</v>
      </c>
      <c r="B536" s="12" t="n">
        <v>524.216614</v>
      </c>
      <c r="C536" s="12" t="n">
        <v>62.044903</v>
      </c>
      <c r="D536" s="12" t="n">
        <v>48.8937</v>
      </c>
      <c r="E536" s="12" t="n">
        <v>52.344326</v>
      </c>
      <c r="F536" s="12" t="n">
        <v>14.77334</v>
      </c>
      <c r="G536" s="12" t="n">
        <v>68.681808</v>
      </c>
      <c r="H536" s="13">
        <f>100*B536/B$7</f>
        <v/>
      </c>
      <c r="I536" s="13">
        <f>100*C536/C$7</f>
        <v/>
      </c>
      <c r="J536" s="13">
        <f>100*D536/D$7</f>
        <v/>
      </c>
      <c r="K536" s="13">
        <f>100*E536/E$7</f>
        <v/>
      </c>
      <c r="L536" s="13">
        <f>100*F536/F$7</f>
        <v/>
      </c>
      <c r="M536" s="13">
        <f>100*G536/G$7</f>
        <v/>
      </c>
    </row>
    <row r="537">
      <c r="A537" s="11" t="n">
        <v>45670</v>
      </c>
      <c r="B537" s="12" t="n">
        <v>524.894043</v>
      </c>
      <c r="C537" s="12" t="n">
        <v>62.216095</v>
      </c>
      <c r="D537" s="12" t="n">
        <v>48.061916</v>
      </c>
      <c r="E537" s="12" t="n">
        <v>52.314987</v>
      </c>
      <c r="F537" s="12" t="n">
        <v>14.745343</v>
      </c>
      <c r="G537" s="12" t="n">
        <v>68.86571499999999</v>
      </c>
      <c r="H537" s="13">
        <f>100*B537/B$7</f>
        <v/>
      </c>
      <c r="I537" s="13">
        <f>100*C537/C$7</f>
        <v/>
      </c>
      <c r="J537" s="13">
        <f>100*D537/D$7</f>
        <v/>
      </c>
      <c r="K537" s="13">
        <f>100*E537/E$7</f>
        <v/>
      </c>
      <c r="L537" s="13">
        <f>100*F537/F$7</f>
        <v/>
      </c>
      <c r="M537" s="13">
        <f>100*G537/G$7</f>
        <v/>
      </c>
    </row>
    <row r="538">
      <c r="A538" s="11" t="n">
        <v>45671</v>
      </c>
      <c r="B538" s="12" t="n">
        <v>525.561707</v>
      </c>
      <c r="C538" s="12" t="n">
        <v>62.092461</v>
      </c>
      <c r="D538" s="12" t="n">
        <v>48.740726</v>
      </c>
      <c r="E538" s="12" t="n">
        <v>52.813782</v>
      </c>
      <c r="F538" s="12" t="n">
        <v>14.829335</v>
      </c>
      <c r="G538" s="12" t="n">
        <v>70.472404</v>
      </c>
      <c r="H538" s="13">
        <f>100*B538/B$7</f>
        <v/>
      </c>
      <c r="I538" s="13">
        <f>100*C538/C$7</f>
        <v/>
      </c>
      <c r="J538" s="13">
        <f>100*D538/D$7</f>
        <v/>
      </c>
      <c r="K538" s="13">
        <f>100*E538/E$7</f>
        <v/>
      </c>
      <c r="L538" s="13">
        <f>100*F538/F$7</f>
        <v/>
      </c>
      <c r="M538" s="13">
        <f>100*G538/G$7</f>
        <v/>
      </c>
    </row>
    <row r="539">
      <c r="A539" s="11" t="n">
        <v>45672</v>
      </c>
      <c r="B539" s="12" t="n">
        <v>535.174377</v>
      </c>
      <c r="C539" s="12" t="n">
        <v>63.024464</v>
      </c>
      <c r="D539" s="12" t="n">
        <v>49.266567</v>
      </c>
      <c r="E539" s="12" t="n">
        <v>53.58643</v>
      </c>
      <c r="F539" s="12" t="n">
        <v>15.015985</v>
      </c>
      <c r="G539" s="12" t="n">
        <v>71.062836</v>
      </c>
      <c r="H539" s="13">
        <f>100*B539/B$7</f>
        <v/>
      </c>
      <c r="I539" s="13">
        <f>100*C539/C$7</f>
        <v/>
      </c>
      <c r="J539" s="13">
        <f>100*D539/D$7</f>
        <v/>
      </c>
      <c r="K539" s="13">
        <f>100*E539/E$7</f>
        <v/>
      </c>
      <c r="L539" s="13">
        <f>100*F539/F$7</f>
        <v/>
      </c>
      <c r="M539" s="13">
        <f>100*G539/G$7</f>
        <v/>
      </c>
    </row>
    <row r="540">
      <c r="A540" s="11" t="n">
        <v>45673</v>
      </c>
      <c r="B540" s="12" t="n">
        <v>534.3790279999999</v>
      </c>
      <c r="C540" s="12" t="n">
        <v>62.625034</v>
      </c>
      <c r="D540" s="12" t="n">
        <v>49.696804</v>
      </c>
      <c r="E540" s="12" t="n">
        <v>53.341923</v>
      </c>
      <c r="F540" s="12" t="n">
        <v>15.043983</v>
      </c>
      <c r="G540" s="12" t="n">
        <v>71.062836</v>
      </c>
      <c r="H540" s="13">
        <f>100*B540/B$7</f>
        <v/>
      </c>
      <c r="I540" s="13">
        <f>100*C540/C$7</f>
        <v/>
      </c>
      <c r="J540" s="13">
        <f>100*D540/D$7</f>
        <v/>
      </c>
      <c r="K540" s="13">
        <f>100*E540/E$7</f>
        <v/>
      </c>
      <c r="L540" s="13">
        <f>100*F540/F$7</f>
        <v/>
      </c>
      <c r="M540" s="13">
        <f>100*G540/G$7</f>
        <v/>
      </c>
    </row>
    <row r="541">
      <c r="A541" s="11" t="n">
        <v>45674</v>
      </c>
      <c r="B541" s="12" t="n">
        <v>539.504517</v>
      </c>
      <c r="C541" s="12" t="n">
        <v>62.938873</v>
      </c>
      <c r="D541" s="12" t="n">
        <v>49.744606</v>
      </c>
      <c r="E541" s="12" t="n">
        <v>53.625553</v>
      </c>
      <c r="F541" s="12" t="n">
        <v>15.305291</v>
      </c>
      <c r="G541" s="12" t="n">
        <v>72.32109800000001</v>
      </c>
      <c r="H541" s="13">
        <f>100*B541/B$7</f>
        <v/>
      </c>
      <c r="I541" s="13">
        <f>100*C541/C$7</f>
        <v/>
      </c>
      <c r="J541" s="13">
        <f>100*D541/D$7</f>
        <v/>
      </c>
      <c r="K541" s="13">
        <f>100*E541/E$7</f>
        <v/>
      </c>
      <c r="L541" s="13">
        <f>100*F541/F$7</f>
        <v/>
      </c>
      <c r="M541" s="13">
        <f>100*G541/G$7</f>
        <v/>
      </c>
    </row>
    <row r="542">
      <c r="A542" s="11" t="n">
        <v>45677</v>
      </c>
      <c r="B542" s="12" t="n">
        <v>539.504517</v>
      </c>
      <c r="C542" s="12" t="n">
        <v>62.938873</v>
      </c>
      <c r="D542" s="12" t="n">
        <v>49.744606</v>
      </c>
      <c r="E542" s="12" t="n">
        <v>53.625553</v>
      </c>
      <c r="F542" s="12" t="n">
        <v>15.305291</v>
      </c>
      <c r="G542" s="12" t="n">
        <v>72.32109800000001</v>
      </c>
      <c r="H542" s="13">
        <f>100*B542/B$7</f>
        <v/>
      </c>
      <c r="I542" s="13">
        <f>100*C542/C$7</f>
        <v/>
      </c>
      <c r="J542" s="13">
        <f>100*D542/D$7</f>
        <v/>
      </c>
      <c r="K542" s="13">
        <f>100*E542/E$7</f>
        <v/>
      </c>
      <c r="L542" s="13">
        <f>100*F542/F$7</f>
        <v/>
      </c>
      <c r="M542" s="13">
        <f>100*G542/G$7</f>
        <v/>
      </c>
    </row>
    <row r="543">
      <c r="A543" s="11" t="n">
        <v>45678</v>
      </c>
      <c r="B543" s="12" t="n">
        <v>544.41394</v>
      </c>
      <c r="C543" s="12" t="n">
        <v>64.032555</v>
      </c>
      <c r="D543" s="12" t="n">
        <v>50.777168</v>
      </c>
      <c r="E543" s="12" t="n">
        <v>54.456879</v>
      </c>
      <c r="F543" s="12" t="n">
        <v>15.407949</v>
      </c>
      <c r="G543" s="12" t="n">
        <v>72.834076</v>
      </c>
      <c r="H543" s="13">
        <f>100*B543/B$7</f>
        <v/>
      </c>
      <c r="I543" s="13">
        <f>100*C543/C$7</f>
        <v/>
      </c>
      <c r="J543" s="13">
        <f>100*D543/D$7</f>
        <v/>
      </c>
      <c r="K543" s="13">
        <f>100*E543/E$7</f>
        <v/>
      </c>
      <c r="L543" s="13">
        <f>100*F543/F$7</f>
        <v/>
      </c>
      <c r="M543" s="13">
        <f>100*G543/G$7</f>
        <v/>
      </c>
    </row>
    <row r="544">
      <c r="A544" s="11" t="n">
        <v>45679</v>
      </c>
      <c r="B544" s="12" t="n">
        <v>547.5067749999999</v>
      </c>
      <c r="C544" s="12" t="n">
        <v>63.95647</v>
      </c>
      <c r="D544" s="12" t="n">
        <v>51.006626</v>
      </c>
      <c r="E544" s="12" t="n">
        <v>54.877434</v>
      </c>
      <c r="F544" s="12" t="n">
        <v>15.29596</v>
      </c>
      <c r="G544" s="12" t="n">
        <v>72.504997</v>
      </c>
      <c r="H544" s="13">
        <f>100*B544/B$7</f>
        <v/>
      </c>
      <c r="I544" s="13">
        <f>100*C544/C$7</f>
        <v/>
      </c>
      <c r="J544" s="13">
        <f>100*D544/D$7</f>
        <v/>
      </c>
      <c r="K544" s="13">
        <f>100*E544/E$7</f>
        <v/>
      </c>
      <c r="L544" s="13">
        <f>100*F544/F$7</f>
        <v/>
      </c>
      <c r="M544" s="13">
        <f>100*G544/G$7</f>
        <v/>
      </c>
    </row>
    <row r="545">
      <c r="A545" s="11" t="n">
        <v>45680</v>
      </c>
      <c r="B545" s="12" t="n">
        <v>550.540833</v>
      </c>
      <c r="C545" s="12" t="n">
        <v>64.498558</v>
      </c>
      <c r="D545" s="12" t="n">
        <v>51.236084</v>
      </c>
      <c r="E545" s="12" t="n">
        <v>54.447094</v>
      </c>
      <c r="F545" s="12" t="n">
        <v>15.211967</v>
      </c>
      <c r="G545" s="12" t="n">
        <v>72.572746</v>
      </c>
      <c r="H545" s="13">
        <f>100*B545/B$7</f>
        <v/>
      </c>
      <c r="I545" s="13">
        <f>100*C545/C$7</f>
        <v/>
      </c>
      <c r="J545" s="13">
        <f>100*D545/D$7</f>
        <v/>
      </c>
      <c r="K545" s="13">
        <f>100*E545/E$7</f>
        <v/>
      </c>
      <c r="L545" s="13">
        <f>100*F545/F$7</f>
        <v/>
      </c>
      <c r="M545" s="13">
        <f>100*G545/G$7</f>
        <v/>
      </c>
    </row>
    <row r="546">
      <c r="A546" s="11" t="n">
        <v>45681</v>
      </c>
      <c r="B546" s="12" t="n">
        <v>548.88147</v>
      </c>
      <c r="C546" s="12" t="n">
        <v>65.12623600000001</v>
      </c>
      <c r="D546" s="12" t="n">
        <v>51.083115</v>
      </c>
      <c r="E546" s="12" t="n">
        <v>54.672047</v>
      </c>
      <c r="F546" s="12" t="n">
        <v>15.33329</v>
      </c>
      <c r="G546" s="12" t="n">
        <v>74.15042099999999</v>
      </c>
      <c r="H546" s="13">
        <f>100*B546/B$7</f>
        <v/>
      </c>
      <c r="I546" s="13">
        <f>100*C546/C$7</f>
        <v/>
      </c>
      <c r="J546" s="13">
        <f>100*D546/D$7</f>
        <v/>
      </c>
      <c r="K546" s="13">
        <f>100*E546/E$7</f>
        <v/>
      </c>
      <c r="L546" s="13">
        <f>100*F546/F$7</f>
        <v/>
      </c>
      <c r="M546" s="13">
        <f>100*G546/G$7</f>
        <v/>
      </c>
    </row>
    <row r="547">
      <c r="A547" s="11" t="n">
        <v>45684</v>
      </c>
      <c r="B547" s="12" t="n">
        <v>541.242371</v>
      </c>
      <c r="C547" s="12" t="n">
        <v>64.42247</v>
      </c>
      <c r="D547" s="12" t="n">
        <v>48.214886</v>
      </c>
      <c r="E547" s="12" t="n">
        <v>53.3517</v>
      </c>
      <c r="F547" s="12" t="n">
        <v>15.33329</v>
      </c>
      <c r="G547" s="12" t="n">
        <v>74.51821099999999</v>
      </c>
      <c r="H547" s="13">
        <f>100*B547/B$7</f>
        <v/>
      </c>
      <c r="I547" s="13">
        <f>100*C547/C$7</f>
        <v/>
      </c>
      <c r="J547" s="13">
        <f>100*D547/D$7</f>
        <v/>
      </c>
      <c r="K547" s="13">
        <f>100*E547/E$7</f>
        <v/>
      </c>
      <c r="L547" s="13">
        <f>100*F547/F$7</f>
        <v/>
      </c>
      <c r="M547" s="13">
        <f>100*G547/G$7</f>
        <v/>
      </c>
    </row>
    <row r="548">
      <c r="A548" s="11" t="n">
        <v>45685</v>
      </c>
      <c r="B548" s="12" t="n">
        <v>545.778687</v>
      </c>
      <c r="C548" s="12" t="n">
        <v>64.96455400000001</v>
      </c>
      <c r="D548" s="12" t="n">
        <v>48.931942</v>
      </c>
      <c r="E548" s="12" t="n">
        <v>53.107193</v>
      </c>
      <c r="F548" s="12" t="n">
        <v>15.407949</v>
      </c>
      <c r="G548" s="12" t="n">
        <v>75.12799099999999</v>
      </c>
      <c r="H548" s="13">
        <f>100*B548/B$7</f>
        <v/>
      </c>
      <c r="I548" s="13">
        <f>100*C548/C$7</f>
        <v/>
      </c>
      <c r="J548" s="13">
        <f>100*D548/D$7</f>
        <v/>
      </c>
      <c r="K548" s="13">
        <f>100*E548/E$7</f>
        <v/>
      </c>
      <c r="L548" s="13">
        <f>100*F548/F$7</f>
        <v/>
      </c>
      <c r="M548" s="13">
        <f>100*G548/G$7</f>
        <v/>
      </c>
    </row>
    <row r="549">
      <c r="A549" s="11" t="n">
        <v>45686</v>
      </c>
      <c r="B549" s="12" t="n">
        <v>543.382874</v>
      </c>
      <c r="C549" s="12" t="n">
        <v>64.76483899999999</v>
      </c>
      <c r="D549" s="12" t="n">
        <v>48.836338</v>
      </c>
      <c r="E549" s="12" t="n">
        <v>53.224556</v>
      </c>
      <c r="F549" s="12" t="n">
        <v>15.342623</v>
      </c>
      <c r="G549" s="12" t="n">
        <v>74.963448</v>
      </c>
      <c r="H549" s="13">
        <f>100*B549/B$7</f>
        <v/>
      </c>
      <c r="I549" s="13">
        <f>100*C549/C$7</f>
        <v/>
      </c>
      <c r="J549" s="13">
        <f>100*D549/D$7</f>
        <v/>
      </c>
      <c r="K549" s="13">
        <f>100*E549/E$7</f>
        <v/>
      </c>
      <c r="L549" s="13">
        <f>100*F549/F$7</f>
        <v/>
      </c>
      <c r="M549" s="13">
        <f>100*G549/G$7</f>
        <v/>
      </c>
    </row>
    <row r="550">
      <c r="A550" s="11" t="n">
        <v>45687</v>
      </c>
      <c r="B550" s="12" t="n">
        <v>546.22052</v>
      </c>
      <c r="C550" s="12" t="n">
        <v>65.734894</v>
      </c>
      <c r="D550" s="12" t="n">
        <v>49.400417</v>
      </c>
      <c r="E550" s="12" t="n">
        <v>54.055885</v>
      </c>
      <c r="F550" s="12" t="n">
        <v>15.594599</v>
      </c>
      <c r="G550" s="12" t="n">
        <v>76.63790899999999</v>
      </c>
      <c r="H550" s="13">
        <f>100*B550/B$7</f>
        <v/>
      </c>
      <c r="I550" s="13">
        <f>100*C550/C$7</f>
        <v/>
      </c>
      <c r="J550" s="13">
        <f>100*D550/D$7</f>
        <v/>
      </c>
      <c r="K550" s="13">
        <f>100*E550/E$7</f>
        <v/>
      </c>
      <c r="L550" s="13">
        <f>100*F550/F$7</f>
        <v/>
      </c>
      <c r="M550" s="13">
        <f>100*G550/G$7</f>
        <v/>
      </c>
    </row>
    <row r="551">
      <c r="A551" s="11" t="n">
        <v>45688</v>
      </c>
      <c r="B551" s="12" t="n">
        <v>543.304382</v>
      </c>
      <c r="C551" s="12" t="n">
        <v>64.96455400000001</v>
      </c>
      <c r="D551" s="12" t="n">
        <v>49.190086</v>
      </c>
      <c r="E551" s="12" t="n">
        <v>52.784443</v>
      </c>
      <c r="F551" s="12" t="n">
        <v>15.398617</v>
      </c>
      <c r="G551" s="12" t="n">
        <v>75.011848</v>
      </c>
      <c r="H551" s="13">
        <f>100*B551/B$7</f>
        <v/>
      </c>
      <c r="I551" s="13">
        <f>100*C551/C$7</f>
        <v/>
      </c>
      <c r="J551" s="13">
        <f>100*D551/D$7</f>
        <v/>
      </c>
      <c r="K551" s="13">
        <f>100*E551/E$7</f>
        <v/>
      </c>
      <c r="L551" s="13">
        <f>100*F551/F$7</f>
        <v/>
      </c>
      <c r="M551" s="13">
        <f>100*G551/G$7</f>
        <v/>
      </c>
    </row>
    <row r="552">
      <c r="A552" s="11" t="n">
        <v>45691</v>
      </c>
      <c r="B552" s="12" t="n">
        <v>539.740173</v>
      </c>
      <c r="C552" s="12" t="n">
        <v>64.34639</v>
      </c>
      <c r="D552" s="12" t="n">
        <v>48.769409</v>
      </c>
      <c r="E552" s="12" t="n">
        <v>52.207401</v>
      </c>
      <c r="F552" s="12" t="n">
        <v>15.221299</v>
      </c>
      <c r="G552" s="12" t="n">
        <v>74.58596799999999</v>
      </c>
      <c r="H552" s="13">
        <f>100*B552/B$7</f>
        <v/>
      </c>
      <c r="I552" s="13">
        <f>100*C552/C$7</f>
        <v/>
      </c>
      <c r="J552" s="13">
        <f>100*D552/D$7</f>
        <v/>
      </c>
      <c r="K552" s="13">
        <f>100*E552/E$7</f>
        <v/>
      </c>
      <c r="L552" s="13">
        <f>100*F552/F$7</f>
        <v/>
      </c>
      <c r="M552" s="13">
        <f>100*G552/G$7</f>
        <v/>
      </c>
    </row>
    <row r="553">
      <c r="A553" s="11" t="n">
        <v>45692</v>
      </c>
      <c r="B553" s="12" t="n">
        <v>543.323975</v>
      </c>
      <c r="C553" s="12" t="n">
        <v>64.926506</v>
      </c>
      <c r="D553" s="12" t="n">
        <v>49.486465</v>
      </c>
      <c r="E553" s="12" t="n">
        <v>53.156094</v>
      </c>
      <c r="F553" s="12" t="n">
        <v>15.361286</v>
      </c>
      <c r="G553" s="12" t="n">
        <v>76.241074</v>
      </c>
      <c r="H553" s="13">
        <f>100*B553/B$7</f>
        <v/>
      </c>
      <c r="I553" s="13">
        <f>100*C553/C$7</f>
        <v/>
      </c>
      <c r="J553" s="13">
        <f>100*D553/D$7</f>
        <v/>
      </c>
      <c r="K553" s="13">
        <f>100*E553/E$7</f>
        <v/>
      </c>
      <c r="L553" s="13">
        <f>100*F553/F$7</f>
        <v/>
      </c>
      <c r="M553" s="13">
        <f>100*G553/G$7</f>
        <v/>
      </c>
    </row>
    <row r="554">
      <c r="A554" s="11" t="n">
        <v>45693</v>
      </c>
      <c r="B554" s="12" t="n">
        <v>545.5527949999999</v>
      </c>
      <c r="C554" s="12" t="n">
        <v>65.734894</v>
      </c>
      <c r="D554" s="12" t="n">
        <v>49.840218</v>
      </c>
      <c r="E554" s="12" t="n">
        <v>53.752693</v>
      </c>
      <c r="F554" s="12" t="n">
        <v>15.118643</v>
      </c>
      <c r="G554" s="12" t="n">
        <v>75.108627</v>
      </c>
      <c r="H554" s="13">
        <f>100*B554/B$7</f>
        <v/>
      </c>
      <c r="I554" s="13">
        <f>100*C554/C$7</f>
        <v/>
      </c>
      <c r="J554" s="13">
        <f>100*D554/D$7</f>
        <v/>
      </c>
      <c r="K554" s="13">
        <f>100*E554/E$7</f>
        <v/>
      </c>
      <c r="L554" s="13">
        <f>100*F554/F$7</f>
        <v/>
      </c>
      <c r="M554" s="13">
        <f>100*G554/G$7</f>
        <v/>
      </c>
    </row>
    <row r="555">
      <c r="A555" s="11" t="n">
        <v>45694</v>
      </c>
      <c r="B555" s="12" t="n">
        <v>547.516663</v>
      </c>
      <c r="C555" s="12" t="n">
        <v>66.001175</v>
      </c>
      <c r="D555" s="12" t="n">
        <v>49.964504</v>
      </c>
      <c r="E555" s="12" t="n">
        <v>54.006985</v>
      </c>
      <c r="F555" s="12" t="n">
        <v>15.230632</v>
      </c>
      <c r="G555" s="12" t="n">
        <v>76.066841</v>
      </c>
      <c r="H555" s="13">
        <f>100*B555/B$7</f>
        <v/>
      </c>
      <c r="I555" s="13">
        <f>100*C555/C$7</f>
        <v/>
      </c>
      <c r="J555" s="13">
        <f>100*D555/D$7</f>
        <v/>
      </c>
      <c r="K555" s="13">
        <f>100*E555/E$7</f>
        <v/>
      </c>
      <c r="L555" s="13">
        <f>100*F555/F$7</f>
        <v/>
      </c>
      <c r="M555" s="13">
        <f>100*G555/G$7</f>
        <v/>
      </c>
    </row>
    <row r="556">
      <c r="A556" s="11" t="n">
        <v>45695</v>
      </c>
      <c r="B556" s="12" t="n">
        <v>542.194824</v>
      </c>
      <c r="C556" s="12" t="n">
        <v>65.12623600000001</v>
      </c>
      <c r="D556" s="12" t="n">
        <v>49.725483</v>
      </c>
      <c r="E556" s="12" t="n">
        <v>52.950706</v>
      </c>
      <c r="F556" s="12" t="n">
        <v>15.127975</v>
      </c>
      <c r="G556" s="12" t="n">
        <v>77.296074</v>
      </c>
      <c r="H556" s="13">
        <f>100*B556/B$7</f>
        <v/>
      </c>
      <c r="I556" s="13">
        <f>100*C556/C$7</f>
        <v/>
      </c>
      <c r="J556" s="13">
        <f>100*D556/D$7</f>
        <v/>
      </c>
      <c r="K556" s="13">
        <f>100*E556/E$7</f>
        <v/>
      </c>
      <c r="L556" s="13">
        <f>100*F556/F$7</f>
        <v/>
      </c>
      <c r="M556" s="13">
        <f>100*G556/G$7</f>
        <v/>
      </c>
    </row>
    <row r="557">
      <c r="A557" s="11" t="n">
        <v>45698</v>
      </c>
      <c r="B557" s="12" t="n">
        <v>546.073303</v>
      </c>
      <c r="C557" s="12" t="n">
        <v>65.383003</v>
      </c>
      <c r="D557" s="12" t="n">
        <v>50.213085</v>
      </c>
      <c r="E557" s="12" t="n">
        <v>53.928738</v>
      </c>
      <c r="F557" s="12" t="n">
        <v>15.249297</v>
      </c>
      <c r="G557" s="12" t="n">
        <v>78.970528</v>
      </c>
      <c r="H557" s="13">
        <f>100*B557/B$7</f>
        <v/>
      </c>
      <c r="I557" s="13">
        <f>100*C557/C$7</f>
        <v/>
      </c>
      <c r="J557" s="13">
        <f>100*D557/D$7</f>
        <v/>
      </c>
      <c r="K557" s="13">
        <f>100*E557/E$7</f>
        <v/>
      </c>
      <c r="L557" s="13">
        <f>100*F557/F$7</f>
        <v/>
      </c>
      <c r="M557" s="13">
        <f>100*G557/G$7</f>
        <v/>
      </c>
    </row>
    <row r="558">
      <c r="A558" s="11" t="n">
        <v>45699</v>
      </c>
      <c r="B558" s="12" t="n">
        <v>546.564209</v>
      </c>
      <c r="C558" s="12" t="n">
        <v>65.373497</v>
      </c>
      <c r="D558" s="12" t="n">
        <v>50.213085</v>
      </c>
      <c r="E558" s="12" t="n">
        <v>53.860279</v>
      </c>
      <c r="F558" s="12" t="n">
        <v>15.099978</v>
      </c>
      <c r="G558" s="12" t="n">
        <v>78.14782</v>
      </c>
      <c r="H558" s="13">
        <f>100*B558/B$7</f>
        <v/>
      </c>
      <c r="I558" s="13">
        <f>100*C558/C$7</f>
        <v/>
      </c>
      <c r="J558" s="13">
        <f>100*D558/D$7</f>
        <v/>
      </c>
      <c r="K558" s="13">
        <f>100*E558/E$7</f>
        <v/>
      </c>
      <c r="L558" s="13">
        <f>100*F558/F$7</f>
        <v/>
      </c>
      <c r="M558" s="13">
        <f>100*G558/G$7</f>
        <v/>
      </c>
    </row>
    <row r="559">
      <c r="A559" s="11" t="n">
        <v>45700</v>
      </c>
      <c r="B559" s="12" t="n">
        <v>544.757629</v>
      </c>
      <c r="C559" s="12" t="n">
        <v>64.688751</v>
      </c>
      <c r="D559" s="12" t="n">
        <v>50.050549</v>
      </c>
      <c r="E559" s="12" t="n">
        <v>53.948299</v>
      </c>
      <c r="F559" s="12" t="n">
        <v>15.547937</v>
      </c>
      <c r="G559" s="12" t="n">
        <v>79.986816</v>
      </c>
      <c r="H559" s="13">
        <f>100*B559/B$7</f>
        <v/>
      </c>
      <c r="I559" s="13">
        <f>100*C559/C$7</f>
        <v/>
      </c>
      <c r="J559" s="13">
        <f>100*D559/D$7</f>
        <v/>
      </c>
      <c r="K559" s="13">
        <f>100*E559/E$7</f>
        <v/>
      </c>
      <c r="L559" s="13">
        <f>100*F559/F$7</f>
        <v/>
      </c>
      <c r="M559" s="13">
        <f>100*G559/G$7</f>
        <v/>
      </c>
    </row>
    <row r="560">
      <c r="A560" s="11" t="n">
        <v>45701</v>
      </c>
      <c r="B560" s="12" t="n">
        <v>550.511353</v>
      </c>
      <c r="C560" s="12" t="n">
        <v>65.86803399999999</v>
      </c>
      <c r="D560" s="12" t="n">
        <v>50.54771</v>
      </c>
      <c r="E560" s="12" t="n">
        <v>55.11216</v>
      </c>
      <c r="F560" s="12" t="n">
        <v>15.706591</v>
      </c>
      <c r="G560" s="12" t="n">
        <v>79.890022</v>
      </c>
      <c r="H560" s="13">
        <f>100*B560/B$7</f>
        <v/>
      </c>
      <c r="I560" s="13">
        <f>100*C560/C$7</f>
        <v/>
      </c>
      <c r="J560" s="13">
        <f>100*D560/D$7</f>
        <v/>
      </c>
      <c r="K560" s="13">
        <f>100*E560/E$7</f>
        <v/>
      </c>
      <c r="L560" s="13">
        <f>100*F560/F$7</f>
        <v/>
      </c>
      <c r="M560" s="13">
        <f>100*G560/G$7</f>
        <v/>
      </c>
    </row>
    <row r="561">
      <c r="A561" s="11" t="n">
        <v>45702</v>
      </c>
      <c r="B561" s="12" t="n">
        <v>550.531006</v>
      </c>
      <c r="C561" s="12" t="n">
        <v>65.972649</v>
      </c>
      <c r="D561" s="12" t="n">
        <v>50.432983</v>
      </c>
      <c r="E561" s="12" t="n">
        <v>55.43491</v>
      </c>
      <c r="F561" s="12" t="n">
        <v>15.846577</v>
      </c>
      <c r="G561" s="12" t="n">
        <v>82.09684</v>
      </c>
      <c r="H561" s="13">
        <f>100*B561/B$7</f>
        <v/>
      </c>
      <c r="I561" s="13">
        <f>100*C561/C$7</f>
        <v/>
      </c>
      <c r="J561" s="13">
        <f>100*D561/D$7</f>
        <v/>
      </c>
      <c r="K561" s="13">
        <f>100*E561/E$7</f>
        <v/>
      </c>
      <c r="L561" s="13">
        <f>100*F561/F$7</f>
        <v/>
      </c>
      <c r="M561" s="13">
        <f>100*G561/G$7</f>
        <v/>
      </c>
    </row>
    <row r="562">
      <c r="A562" s="11" t="n">
        <v>45705</v>
      </c>
      <c r="B562" s="12" t="n">
        <v>550.531006</v>
      </c>
      <c r="C562" s="12" t="n">
        <v>65.972649</v>
      </c>
      <c r="D562" s="12" t="n">
        <v>50.432983</v>
      </c>
      <c r="E562" s="12" t="n">
        <v>55.43491</v>
      </c>
      <c r="F562" s="12" t="n">
        <v>15.846577</v>
      </c>
      <c r="G562" s="12" t="n">
        <v>82.09684</v>
      </c>
      <c r="H562" s="13">
        <f>100*B562/B$7</f>
        <v/>
      </c>
      <c r="I562" s="13">
        <f>100*C562/C$7</f>
        <v/>
      </c>
      <c r="J562" s="13">
        <f>100*D562/D$7</f>
        <v/>
      </c>
      <c r="K562" s="13">
        <f>100*E562/E$7</f>
        <v/>
      </c>
      <c r="L562" s="13">
        <f>100*F562/F$7</f>
        <v/>
      </c>
      <c r="M562" s="13">
        <f>100*G562/G$7</f>
        <v/>
      </c>
    </row>
    <row r="563">
      <c r="A563" s="11" t="n">
        <v>45706</v>
      </c>
      <c r="B563" s="12" t="n">
        <v>552.121704</v>
      </c>
      <c r="C563" s="12" t="n">
        <v>66.666893</v>
      </c>
      <c r="D563" s="12" t="n">
        <v>50.834534</v>
      </c>
      <c r="E563" s="12" t="n">
        <v>56.178215</v>
      </c>
      <c r="F563" s="12" t="n">
        <v>15.762584</v>
      </c>
      <c r="G563" s="12" t="n">
        <v>82.619499</v>
      </c>
      <c r="H563" s="13">
        <f>100*B563/B$7</f>
        <v/>
      </c>
      <c r="I563" s="13">
        <f>100*C563/C$7</f>
        <v/>
      </c>
      <c r="J563" s="13">
        <f>100*D563/D$7</f>
        <v/>
      </c>
      <c r="K563" s="13">
        <f>100*E563/E$7</f>
        <v/>
      </c>
      <c r="L563" s="13">
        <f>100*F563/F$7</f>
        <v/>
      </c>
      <c r="M563" s="13">
        <f>100*G563/G$7</f>
        <v/>
      </c>
    </row>
    <row r="564">
      <c r="A564" s="11" t="n">
        <v>45707</v>
      </c>
      <c r="B564" s="12" t="n">
        <v>553.45697</v>
      </c>
      <c r="C564" s="12" t="n">
        <v>66.210403</v>
      </c>
      <c r="D564" s="12" t="n">
        <v>50.777168</v>
      </c>
      <c r="E564" s="12" t="n">
        <v>56.999763</v>
      </c>
      <c r="F564" s="12" t="n">
        <v>15.781249</v>
      </c>
      <c r="G564" s="12" t="n">
        <v>82.396873</v>
      </c>
      <c r="H564" s="13">
        <f>100*B564/B$7</f>
        <v/>
      </c>
      <c r="I564" s="13">
        <f>100*C564/C$7</f>
        <v/>
      </c>
      <c r="J564" s="13">
        <f>100*D564/D$7</f>
        <v/>
      </c>
      <c r="K564" s="13">
        <f>100*E564/E$7</f>
        <v/>
      </c>
      <c r="L564" s="13">
        <f>100*F564/F$7</f>
        <v/>
      </c>
      <c r="M564" s="13">
        <f>100*G564/G$7</f>
        <v/>
      </c>
    </row>
    <row r="565">
      <c r="A565" s="11" t="n">
        <v>45708</v>
      </c>
      <c r="B565" s="12" t="n">
        <v>551.130005</v>
      </c>
      <c r="C565" s="12" t="n">
        <v>66.295998</v>
      </c>
      <c r="D565" s="12" t="n">
        <v>50.834534</v>
      </c>
      <c r="E565" s="12" t="n">
        <v>57.175808</v>
      </c>
      <c r="F565" s="12" t="n">
        <v>15.855909</v>
      </c>
      <c r="G565" s="12" t="n">
        <v>83.761612</v>
      </c>
      <c r="H565" s="13">
        <f>100*B565/B$7</f>
        <v/>
      </c>
      <c r="I565" s="13">
        <f>100*C565/C$7</f>
        <v/>
      </c>
      <c r="J565" s="13">
        <f>100*D565/D$7</f>
        <v/>
      </c>
      <c r="K565" s="13">
        <f>100*E565/E$7</f>
        <v/>
      </c>
      <c r="L565" s="13">
        <f>100*F565/F$7</f>
        <v/>
      </c>
      <c r="M565" s="13">
        <f>100*G565/G$7</f>
        <v/>
      </c>
    </row>
    <row r="566">
      <c r="A566" s="11" t="n">
        <v>45709</v>
      </c>
      <c r="B566" s="12" t="n">
        <v>541.753052</v>
      </c>
      <c r="C566" s="12" t="n">
        <v>65.706352</v>
      </c>
      <c r="D566" s="12" t="n">
        <v>50.624199</v>
      </c>
      <c r="E566" s="12" t="n">
        <v>56.324921</v>
      </c>
      <c r="F566" s="12" t="n">
        <v>16.042561</v>
      </c>
      <c r="G566" s="12" t="n">
        <v>85.15537999999999</v>
      </c>
      <c r="H566" s="13">
        <f>100*B566/B$7</f>
        <v/>
      </c>
      <c r="I566" s="13">
        <f>100*C566/C$7</f>
        <v/>
      </c>
      <c r="J566" s="13">
        <f>100*D566/D$7</f>
        <v/>
      </c>
      <c r="K566" s="13">
        <f>100*E566/E$7</f>
        <v/>
      </c>
      <c r="L566" s="13">
        <f>100*F566/F$7</f>
        <v/>
      </c>
      <c r="M566" s="13">
        <f>100*G566/G$7</f>
        <v/>
      </c>
    </row>
    <row r="567">
      <c r="A567" s="11" t="n">
        <v>45712</v>
      </c>
      <c r="B567" s="12" t="n">
        <v>539.190308</v>
      </c>
      <c r="C567" s="12" t="n">
        <v>65.411545</v>
      </c>
      <c r="D567" s="12" t="n">
        <v>50.260887</v>
      </c>
      <c r="E567" s="12" t="n">
        <v>56.207558</v>
      </c>
      <c r="F567" s="12" t="n">
        <v>16.070557</v>
      </c>
      <c r="G567" s="12" t="n">
        <v>82.24202</v>
      </c>
      <c r="H567" s="13">
        <f>100*B567/B$7</f>
        <v/>
      </c>
      <c r="I567" s="13">
        <f>100*C567/C$7</f>
        <v/>
      </c>
      <c r="J567" s="13">
        <f>100*D567/D$7</f>
        <v/>
      </c>
      <c r="K567" s="13">
        <f>100*E567/E$7</f>
        <v/>
      </c>
      <c r="L567" s="13">
        <f>100*F567/F$7</f>
        <v/>
      </c>
      <c r="M567" s="13">
        <f>100*G567/G$7</f>
        <v/>
      </c>
    </row>
    <row r="568">
      <c r="A568" s="11" t="n">
        <v>45713</v>
      </c>
      <c r="B568" s="12" t="n">
        <v>536.5097050000001</v>
      </c>
      <c r="C568" s="12" t="n">
        <v>66.067741</v>
      </c>
      <c r="D568" s="12" t="n">
        <v>50.069672</v>
      </c>
      <c r="E568" s="12" t="n">
        <v>56.285797</v>
      </c>
      <c r="F568" s="12" t="n">
        <v>16.219875</v>
      </c>
      <c r="G568" s="12" t="n">
        <v>82.784035</v>
      </c>
      <c r="H568" s="13">
        <f>100*B568/B$7</f>
        <v/>
      </c>
      <c r="I568" s="13">
        <f>100*C568/C$7</f>
        <v/>
      </c>
      <c r="J568" s="13">
        <f>100*D568/D$7</f>
        <v/>
      </c>
      <c r="K568" s="13">
        <f>100*E568/E$7</f>
        <v/>
      </c>
      <c r="L568" s="13">
        <f>100*F568/F$7</f>
        <v/>
      </c>
      <c r="M568" s="13">
        <f>100*G568/G$7</f>
        <v/>
      </c>
    </row>
    <row r="569">
      <c r="A569" s="11" t="n">
        <v>45714</v>
      </c>
      <c r="B569" s="12" t="n">
        <v>536.843567</v>
      </c>
      <c r="C569" s="12" t="n">
        <v>66.105789</v>
      </c>
      <c r="D569" s="12" t="n">
        <v>50.748489</v>
      </c>
      <c r="E569" s="12" t="n">
        <v>56.540089</v>
      </c>
      <c r="F569" s="12" t="n">
        <v>16.471853</v>
      </c>
      <c r="G569" s="12" t="n">
        <v>84.526253</v>
      </c>
      <c r="H569" s="13">
        <f>100*B569/B$7</f>
        <v/>
      </c>
      <c r="I569" s="13">
        <f>100*C569/C$7</f>
        <v/>
      </c>
      <c r="J569" s="13">
        <f>100*D569/D$7</f>
        <v/>
      </c>
      <c r="K569" s="13">
        <f>100*E569/E$7</f>
        <v/>
      </c>
      <c r="L569" s="13">
        <f>100*F569/F$7</f>
        <v/>
      </c>
      <c r="M569" s="13">
        <f>100*G569/G$7</f>
        <v/>
      </c>
    </row>
    <row r="570">
      <c r="A570" s="11" t="n">
        <v>45715</v>
      </c>
      <c r="B570" s="12" t="n">
        <v>528.222717</v>
      </c>
      <c r="C570" s="12" t="n">
        <v>65.620758</v>
      </c>
      <c r="D570" s="12" t="n">
        <v>48.597321</v>
      </c>
      <c r="E570" s="12" t="n">
        <v>54.720947</v>
      </c>
      <c r="F570" s="12" t="n">
        <v>16.471853</v>
      </c>
      <c r="G570" s="12" t="n">
        <v>84.061661</v>
      </c>
      <c r="H570" s="13">
        <f>100*B570/B$7</f>
        <v/>
      </c>
      <c r="I570" s="13">
        <f>100*C570/C$7</f>
        <v/>
      </c>
      <c r="J570" s="13">
        <f>100*D570/D$7</f>
        <v/>
      </c>
      <c r="K570" s="13">
        <f>100*E570/E$7</f>
        <v/>
      </c>
      <c r="L570" s="13">
        <f>100*F570/F$7</f>
        <v/>
      </c>
      <c r="M570" s="13">
        <f>100*G570/G$7</f>
        <v/>
      </c>
    </row>
    <row r="571">
      <c r="A571" s="11" t="n">
        <v>45716</v>
      </c>
      <c r="B571" s="12" t="n">
        <v>536.431152</v>
      </c>
      <c r="C571" s="12" t="n">
        <v>65.116722</v>
      </c>
      <c r="D571" s="12" t="n">
        <v>48.578197</v>
      </c>
      <c r="E571" s="12" t="n">
        <v>53.469063</v>
      </c>
      <c r="F571" s="12" t="n">
        <v>16.415859</v>
      </c>
      <c r="G571" s="12" t="n">
        <v>82.22266399999999</v>
      </c>
      <c r="H571" s="13">
        <f>100*B571/B$7</f>
        <v/>
      </c>
      <c r="I571" s="13">
        <f>100*C571/C$7</f>
        <v/>
      </c>
      <c r="J571" s="13">
        <f>100*D571/D$7</f>
        <v/>
      </c>
      <c r="K571" s="13">
        <f>100*E571/E$7</f>
        <v/>
      </c>
      <c r="L571" s="13">
        <f>100*F571/F$7</f>
        <v/>
      </c>
      <c r="M571" s="13">
        <f>100*G571/G$7</f>
        <v/>
      </c>
    </row>
    <row r="572">
      <c r="A572" s="11" t="n">
        <v>45719</v>
      </c>
      <c r="B572" s="12" t="n">
        <v>527.191772</v>
      </c>
      <c r="C572" s="12" t="n">
        <v>65.82048</v>
      </c>
      <c r="D572" s="12" t="n">
        <v>48.042793</v>
      </c>
      <c r="E572" s="12" t="n">
        <v>53.126751</v>
      </c>
      <c r="F572" s="12" t="n">
        <v>16.154549</v>
      </c>
      <c r="G572" s="12" t="n">
        <v>81.245079</v>
      </c>
      <c r="H572" s="13">
        <f>100*B572/B$7</f>
        <v/>
      </c>
      <c r="I572" s="13">
        <f>100*C572/C$7</f>
        <v/>
      </c>
      <c r="J572" s="13">
        <f>100*D572/D$7</f>
        <v/>
      </c>
      <c r="K572" s="13">
        <f>100*E572/E$7</f>
        <v/>
      </c>
      <c r="L572" s="13">
        <f>100*F572/F$7</f>
        <v/>
      </c>
      <c r="M572" s="13">
        <f>100*G572/G$7</f>
        <v/>
      </c>
    </row>
    <row r="573">
      <c r="A573" s="11" t="n">
        <v>45720</v>
      </c>
      <c r="B573" s="12" t="n">
        <v>520.838989</v>
      </c>
      <c r="C573" s="12" t="n">
        <v>65.278397</v>
      </c>
      <c r="D573" s="12" t="n">
        <v>48.798096</v>
      </c>
      <c r="E573" s="12" t="n">
        <v>53.371262</v>
      </c>
      <c r="F573" s="12" t="n">
        <v>16.378529</v>
      </c>
      <c r="G573" s="12" t="n">
        <v>82.435593</v>
      </c>
      <c r="H573" s="13">
        <f>100*B573/B$7</f>
        <v/>
      </c>
      <c r="I573" s="13">
        <f>100*C573/C$7</f>
        <v/>
      </c>
      <c r="J573" s="13">
        <f>100*D573/D$7</f>
        <v/>
      </c>
      <c r="K573" s="13">
        <f>100*E573/E$7</f>
        <v/>
      </c>
      <c r="L573" s="13">
        <f>100*F573/F$7</f>
        <v/>
      </c>
      <c r="M573" s="13">
        <f>100*G573/G$7</f>
        <v/>
      </c>
    </row>
    <row r="574">
      <c r="A574" s="11" t="n">
        <v>45721</v>
      </c>
      <c r="B574" s="12" t="n">
        <v>526.681152</v>
      </c>
      <c r="C574" s="12" t="n">
        <v>66.71444700000001</v>
      </c>
      <c r="D574" s="12" t="n">
        <v>49.782852</v>
      </c>
      <c r="E574" s="12" t="n">
        <v>54.818748</v>
      </c>
      <c r="F574" s="12" t="n">
        <v>16.966478</v>
      </c>
      <c r="G574" s="12" t="n">
        <v>85.94905900000001</v>
      </c>
      <c r="H574" s="13">
        <f>100*B574/B$7</f>
        <v/>
      </c>
      <c r="I574" s="13">
        <f>100*C574/C$7</f>
        <v/>
      </c>
      <c r="J574" s="13">
        <f>100*D574/D$7</f>
        <v/>
      </c>
      <c r="K574" s="13">
        <f>100*E574/E$7</f>
        <v/>
      </c>
      <c r="L574" s="13">
        <f>100*F574/F$7</f>
        <v/>
      </c>
      <c r="M574" s="13">
        <f>100*G574/G$7</f>
        <v/>
      </c>
    </row>
    <row r="575">
      <c r="A575" s="11" t="n">
        <v>45722</v>
      </c>
      <c r="B575" s="12" t="n">
        <v>517.127441</v>
      </c>
      <c r="C575" s="12" t="n">
        <v>66.20089</v>
      </c>
      <c r="D575" s="12" t="n">
        <v>48.559074</v>
      </c>
      <c r="E575" s="12" t="n">
        <v>53.733131</v>
      </c>
      <c r="F575" s="12" t="n">
        <v>17.115797</v>
      </c>
      <c r="G575" s="12" t="n">
        <v>86.43300600000001</v>
      </c>
      <c r="H575" s="13">
        <f>100*B575/B$7</f>
        <v/>
      </c>
      <c r="I575" s="13">
        <f>100*C575/C$7</f>
        <v/>
      </c>
      <c r="J575" s="13">
        <f>100*D575/D$7</f>
        <v/>
      </c>
      <c r="K575" s="13">
        <f>100*E575/E$7</f>
        <v/>
      </c>
      <c r="L575" s="13">
        <f>100*F575/F$7</f>
        <v/>
      </c>
      <c r="M575" s="13">
        <f>100*G575/G$7</f>
        <v/>
      </c>
    </row>
    <row r="576">
      <c r="A576" s="11" t="n">
        <v>45723</v>
      </c>
      <c r="B576" s="12" t="n">
        <v>519.915894</v>
      </c>
      <c r="C576" s="12" t="n">
        <v>66.733467</v>
      </c>
      <c r="D576" s="12" t="n">
        <v>48.979748</v>
      </c>
      <c r="E576" s="12" t="n">
        <v>54.456879</v>
      </c>
      <c r="F576" s="12" t="n">
        <v>17.087797</v>
      </c>
      <c r="G576" s="12" t="n">
        <v>86.38460499999999</v>
      </c>
      <c r="H576" s="13">
        <f>100*B576/B$7</f>
        <v/>
      </c>
      <c r="I576" s="13">
        <f>100*C576/C$7</f>
        <v/>
      </c>
      <c r="J576" s="13">
        <f>100*D576/D$7</f>
        <v/>
      </c>
      <c r="K576" s="13">
        <f>100*E576/E$7</f>
        <v/>
      </c>
      <c r="L576" s="13">
        <f>100*F576/F$7</f>
        <v/>
      </c>
      <c r="M576" s="13">
        <f>100*G576/G$7</f>
        <v/>
      </c>
    </row>
    <row r="577">
      <c r="A577" s="11" t="n">
        <v>45726</v>
      </c>
      <c r="B577" s="12" t="n">
        <v>506.169617</v>
      </c>
      <c r="C577" s="12" t="n">
        <v>65.31643699999999</v>
      </c>
      <c r="D577" s="12" t="n">
        <v>47.698605</v>
      </c>
      <c r="E577" s="12" t="n">
        <v>52.901806</v>
      </c>
      <c r="F577" s="12" t="n">
        <v>16.751831</v>
      </c>
      <c r="G577" s="12" t="n">
        <v>84.119736</v>
      </c>
      <c r="H577" s="13">
        <f>100*B577/B$7</f>
        <v/>
      </c>
      <c r="I577" s="13">
        <f>100*C577/C$7</f>
        <v/>
      </c>
      <c r="J577" s="13">
        <f>100*D577/D$7</f>
        <v/>
      </c>
      <c r="K577" s="13">
        <f>100*E577/E$7</f>
        <v/>
      </c>
      <c r="L577" s="13">
        <f>100*F577/F$7</f>
        <v/>
      </c>
      <c r="M577" s="13">
        <f>100*G577/G$7</f>
        <v/>
      </c>
    </row>
    <row r="578">
      <c r="A578" s="11" t="n">
        <v>45727</v>
      </c>
      <c r="B578" s="12" t="n">
        <v>502.016266</v>
      </c>
      <c r="C578" s="12" t="n">
        <v>64.917007</v>
      </c>
      <c r="D578" s="12" t="n">
        <v>47.784653</v>
      </c>
      <c r="E578" s="12" t="n">
        <v>53.488625</v>
      </c>
      <c r="F578" s="12" t="n">
        <v>16.90115</v>
      </c>
      <c r="G578" s="12" t="n">
        <v>85.619972</v>
      </c>
      <c r="H578" s="13">
        <f>100*B578/B$7</f>
        <v/>
      </c>
      <c r="I578" s="13">
        <f>100*C578/C$7</f>
        <v/>
      </c>
      <c r="J578" s="13">
        <f>100*D578/D$7</f>
        <v/>
      </c>
      <c r="K578" s="13">
        <f>100*E578/E$7</f>
        <v/>
      </c>
      <c r="L578" s="13">
        <f>100*F578/F$7</f>
        <v/>
      </c>
      <c r="M578" s="13">
        <f>100*G578/G$7</f>
        <v/>
      </c>
    </row>
    <row r="579">
      <c r="A579" s="11" t="n">
        <v>45728</v>
      </c>
      <c r="B579" s="12" t="n">
        <v>504.451355</v>
      </c>
      <c r="C579" s="12" t="n">
        <v>66.115295</v>
      </c>
      <c r="D579" s="12" t="n">
        <v>48.444344</v>
      </c>
      <c r="E579" s="12" t="n">
        <v>54.720947</v>
      </c>
      <c r="F579" s="12" t="n">
        <v>16.994471</v>
      </c>
      <c r="G579" s="12" t="n">
        <v>85.34895299999999</v>
      </c>
      <c r="H579" s="13">
        <f>100*B579/B$7</f>
        <v/>
      </c>
      <c r="I579" s="13">
        <f>100*C579/C$7</f>
        <v/>
      </c>
      <c r="J579" s="13">
        <f>100*D579/D$7</f>
        <v/>
      </c>
      <c r="K579" s="13">
        <f>100*E579/E$7</f>
        <v/>
      </c>
      <c r="L579" s="13">
        <f>100*F579/F$7</f>
        <v/>
      </c>
      <c r="M579" s="13">
        <f>100*G579/G$7</f>
        <v/>
      </c>
    </row>
    <row r="580">
      <c r="A580" s="11" t="n">
        <v>45729</v>
      </c>
      <c r="B580" s="12" t="n">
        <v>497.862915</v>
      </c>
      <c r="C580" s="12" t="n">
        <v>65.86803399999999</v>
      </c>
      <c r="D580" s="12" t="n">
        <v>47.450027</v>
      </c>
      <c r="E580" s="12" t="n">
        <v>54.006985</v>
      </c>
      <c r="F580" s="12" t="n">
        <v>16.957146</v>
      </c>
      <c r="G580" s="12" t="n">
        <v>85.484459</v>
      </c>
      <c r="H580" s="13">
        <f>100*B580/B$7</f>
        <v/>
      </c>
      <c r="I580" s="13">
        <f>100*C580/C$7</f>
        <v/>
      </c>
      <c r="J580" s="13">
        <f>100*D580/D$7</f>
        <v/>
      </c>
      <c r="K580" s="13">
        <f>100*E580/E$7</f>
        <v/>
      </c>
      <c r="L580" s="13">
        <f>100*F580/F$7</f>
        <v/>
      </c>
      <c r="M580" s="13">
        <f>100*G580/G$7</f>
        <v/>
      </c>
    </row>
    <row r="581">
      <c r="A581" s="11" t="n">
        <v>45730</v>
      </c>
      <c r="B581" s="12" t="n">
        <v>508.08429</v>
      </c>
      <c r="C581" s="12" t="n">
        <v>66.90464799999999</v>
      </c>
      <c r="D581" s="12" t="n">
        <v>48.061916</v>
      </c>
      <c r="E581" s="12" t="n">
        <v>54.906773</v>
      </c>
      <c r="F581" s="12" t="n">
        <v>16.938478</v>
      </c>
      <c r="G581" s="12" t="n">
        <v>87.962273</v>
      </c>
      <c r="H581" s="13">
        <f>100*B581/B$7</f>
        <v/>
      </c>
      <c r="I581" s="13">
        <f>100*C581/C$7</f>
        <v/>
      </c>
      <c r="J581" s="13">
        <f>100*D581/D$7</f>
        <v/>
      </c>
      <c r="K581" s="13">
        <f>100*E581/E$7</f>
        <v/>
      </c>
      <c r="L581" s="13">
        <f>100*F581/F$7</f>
        <v/>
      </c>
      <c r="M581" s="13">
        <f>100*G581/G$7</f>
        <v/>
      </c>
    </row>
    <row r="582">
      <c r="A582" s="11" t="n">
        <v>45733</v>
      </c>
      <c r="B582" s="12" t="n">
        <v>511.962616</v>
      </c>
      <c r="C582" s="12" t="n">
        <v>67.608406</v>
      </c>
      <c r="D582" s="12" t="n">
        <v>48.482586</v>
      </c>
      <c r="E582" s="12" t="n">
        <v>56.588989</v>
      </c>
      <c r="F582" s="12" t="n">
        <v>17.162458</v>
      </c>
      <c r="G582" s="12" t="n">
        <v>89.675453</v>
      </c>
      <c r="H582" s="13">
        <f>100*B582/B$7</f>
        <v/>
      </c>
      <c r="I582" s="13">
        <f>100*C582/C$7</f>
        <v/>
      </c>
      <c r="J582" s="13">
        <f>100*D582/D$7</f>
        <v/>
      </c>
      <c r="K582" s="13">
        <f>100*E582/E$7</f>
        <v/>
      </c>
      <c r="L582" s="13">
        <f>100*F582/F$7</f>
        <v/>
      </c>
      <c r="M582" s="13">
        <f>100*G582/G$7</f>
        <v/>
      </c>
    </row>
    <row r="583">
      <c r="A583" s="11" t="n">
        <v>45734</v>
      </c>
      <c r="B583" s="12" t="n">
        <v>506.562317</v>
      </c>
      <c r="C583" s="12" t="n">
        <v>67.418198</v>
      </c>
      <c r="D583" s="12" t="n">
        <v>47.994991</v>
      </c>
      <c r="E583" s="12" t="n">
        <v>55.71854</v>
      </c>
      <c r="F583" s="12" t="n">
        <v>17.003805</v>
      </c>
      <c r="G583" s="12" t="n">
        <v>89.085037</v>
      </c>
      <c r="H583" s="13">
        <f>100*B583/B$7</f>
        <v/>
      </c>
      <c r="I583" s="13">
        <f>100*C583/C$7</f>
        <v/>
      </c>
      <c r="J583" s="13">
        <f>100*D583/D$7</f>
        <v/>
      </c>
      <c r="K583" s="13">
        <f>100*E583/E$7</f>
        <v/>
      </c>
      <c r="L583" s="13">
        <f>100*F583/F$7</f>
        <v/>
      </c>
      <c r="M583" s="13">
        <f>100*G583/G$7</f>
        <v/>
      </c>
    </row>
    <row r="584">
      <c r="A584" s="11" t="n">
        <v>45735</v>
      </c>
      <c r="B584" s="12" t="n">
        <v>511.884125</v>
      </c>
      <c r="C584" s="12" t="n">
        <v>68.18853</v>
      </c>
      <c r="D584" s="12" t="n">
        <v>47.937626</v>
      </c>
      <c r="E584" s="12" t="n">
        <v>55.982613</v>
      </c>
      <c r="F584" s="12" t="n">
        <v>17.143795</v>
      </c>
      <c r="G584" s="12" t="n">
        <v>88.988243</v>
      </c>
      <c r="H584" s="13">
        <f>100*B584/B$7</f>
        <v/>
      </c>
      <c r="I584" s="13">
        <f>100*C584/C$7</f>
        <v/>
      </c>
      <c r="J584" s="13">
        <f>100*D584/D$7</f>
        <v/>
      </c>
      <c r="K584" s="13">
        <f>100*E584/E$7</f>
        <v/>
      </c>
      <c r="L584" s="13">
        <f>100*F584/F$7</f>
        <v/>
      </c>
      <c r="M584" s="13">
        <f>100*G584/G$7</f>
        <v/>
      </c>
    </row>
    <row r="585">
      <c r="A585" s="11" t="n">
        <v>45736</v>
      </c>
      <c r="B585" s="12" t="n">
        <v>510.705902</v>
      </c>
      <c r="C585" s="12" t="n">
        <v>67.827141</v>
      </c>
      <c r="D585" s="12" t="n">
        <v>48.071476</v>
      </c>
      <c r="E585" s="12" t="n">
        <v>55.48381</v>
      </c>
      <c r="F585" s="12" t="n">
        <v>16.817156</v>
      </c>
      <c r="G585" s="12" t="n">
        <v>86.62657900000001</v>
      </c>
      <c r="H585" s="13">
        <f>100*B585/B$7</f>
        <v/>
      </c>
      <c r="I585" s="13">
        <f>100*C585/C$7</f>
        <v/>
      </c>
      <c r="J585" s="13">
        <f>100*D585/D$7</f>
        <v/>
      </c>
      <c r="K585" s="13">
        <f>100*E585/E$7</f>
        <v/>
      </c>
      <c r="L585" s="13">
        <f>100*F585/F$7</f>
        <v/>
      </c>
      <c r="M585" s="13">
        <f>100*G585/G$7</f>
        <v/>
      </c>
    </row>
    <row r="586">
      <c r="A586" s="11" t="n">
        <v>45737</v>
      </c>
      <c r="B586" s="12" t="n">
        <v>510.833618</v>
      </c>
      <c r="C586" s="12" t="n">
        <v>67.83665499999999</v>
      </c>
      <c r="D586" s="12" t="n">
        <v>48.014111</v>
      </c>
      <c r="E586" s="12" t="n">
        <v>55.610958</v>
      </c>
      <c r="F586" s="12" t="n">
        <v>16.649172</v>
      </c>
      <c r="G586" s="12" t="n">
        <v>85.165054</v>
      </c>
      <c r="H586" s="13">
        <f>100*B586/B$7</f>
        <v/>
      </c>
      <c r="I586" s="13">
        <f>100*C586/C$7</f>
        <v/>
      </c>
      <c r="J586" s="13">
        <f>100*D586/D$7</f>
        <v/>
      </c>
      <c r="K586" s="13">
        <f>100*E586/E$7</f>
        <v/>
      </c>
      <c r="L586" s="13">
        <f>100*F586/F$7</f>
        <v/>
      </c>
      <c r="M586" s="13">
        <f>100*G586/G$7</f>
        <v/>
      </c>
    </row>
    <row r="587">
      <c r="A587" s="11" t="n">
        <v>45740</v>
      </c>
      <c r="B587" s="12" t="n">
        <v>519.798096</v>
      </c>
      <c r="C587" s="12" t="n">
        <v>67.68448600000001</v>
      </c>
      <c r="D587" s="12" t="n">
        <v>48.167084</v>
      </c>
      <c r="E587" s="12" t="n">
        <v>56.051071</v>
      </c>
      <c r="F587" s="12" t="n">
        <v>16.555847</v>
      </c>
      <c r="G587" s="12" t="n">
        <v>84.80693100000001</v>
      </c>
      <c r="H587" s="13">
        <f>100*B587/B$7</f>
        <v/>
      </c>
      <c r="I587" s="13">
        <f>100*C587/C$7</f>
        <v/>
      </c>
      <c r="J587" s="13">
        <f>100*D587/D$7</f>
        <v/>
      </c>
      <c r="K587" s="13">
        <f>100*E587/E$7</f>
        <v/>
      </c>
      <c r="L587" s="13">
        <f>100*F587/F$7</f>
        <v/>
      </c>
      <c r="M587" s="13">
        <f>100*G587/G$7</f>
        <v/>
      </c>
    </row>
    <row r="588">
      <c r="A588" s="11" t="n">
        <v>45741</v>
      </c>
      <c r="B588" s="12" t="n">
        <v>521.035339</v>
      </c>
      <c r="C588" s="12" t="n">
        <v>68.16951</v>
      </c>
      <c r="D588" s="12" t="n">
        <v>48.243568</v>
      </c>
      <c r="E588" s="12" t="n">
        <v>55.816345</v>
      </c>
      <c r="F588" s="12" t="n">
        <v>16.509184</v>
      </c>
      <c r="G588" s="12" t="n">
        <v>84.032616</v>
      </c>
      <c r="H588" s="13">
        <f>100*B588/B$7</f>
        <v/>
      </c>
      <c r="I588" s="13">
        <f>100*C588/C$7</f>
        <v/>
      </c>
      <c r="J588" s="13">
        <f>100*D588/D$7</f>
        <v/>
      </c>
      <c r="K588" s="13">
        <f>100*E588/E$7</f>
        <v/>
      </c>
      <c r="L588" s="13">
        <f>100*F588/F$7</f>
        <v/>
      </c>
      <c r="M588" s="13">
        <f>100*G588/G$7</f>
        <v/>
      </c>
    </row>
    <row r="589">
      <c r="A589" s="11" t="n">
        <v>45742</v>
      </c>
      <c r="B589" s="12" t="n">
        <v>514.957458</v>
      </c>
      <c r="C589" s="12" t="n">
        <v>67.28505699999999</v>
      </c>
      <c r="D589" s="12" t="n">
        <v>47.335297</v>
      </c>
      <c r="E589" s="12" t="n">
        <v>55.562057</v>
      </c>
      <c r="F589" s="12" t="n">
        <v>16.397194</v>
      </c>
      <c r="G589" s="12" t="n">
        <v>84.14876599999999</v>
      </c>
      <c r="H589" s="13">
        <f>100*B589/B$7</f>
        <v/>
      </c>
      <c r="I589" s="13">
        <f>100*C589/C$7</f>
        <v/>
      </c>
      <c r="J589" s="13">
        <f>100*D589/D$7</f>
        <v/>
      </c>
      <c r="K589" s="13">
        <f>100*E589/E$7</f>
        <v/>
      </c>
      <c r="L589" s="13">
        <f>100*F589/F$7</f>
        <v/>
      </c>
      <c r="M589" s="13">
        <f>100*G589/G$7</f>
        <v/>
      </c>
    </row>
    <row r="590">
      <c r="A590" s="11" t="n">
        <v>45743</v>
      </c>
      <c r="B590" s="12" t="n">
        <v>513.54071</v>
      </c>
      <c r="C590" s="12" t="n">
        <v>67.18995700000001</v>
      </c>
      <c r="D590" s="12" t="n">
        <v>47.038914</v>
      </c>
      <c r="E590" s="12" t="n">
        <v>55.249084</v>
      </c>
      <c r="F590" s="12" t="n">
        <v>16.621174</v>
      </c>
      <c r="G590" s="12" t="n">
        <v>85.319923</v>
      </c>
      <c r="H590" s="13">
        <f>100*B590/B$7</f>
        <v/>
      </c>
      <c r="I590" s="13">
        <f>100*C590/C$7</f>
        <v/>
      </c>
      <c r="J590" s="13">
        <f>100*D590/D$7</f>
        <v/>
      </c>
      <c r="K590" s="13">
        <f>100*E590/E$7</f>
        <v/>
      </c>
      <c r="L590" s="13">
        <f>100*F590/F$7</f>
        <v/>
      </c>
      <c r="M590" s="13">
        <f>100*G590/G$7</f>
        <v/>
      </c>
    </row>
    <row r="591">
      <c r="A591" s="11" t="n">
        <v>45744</v>
      </c>
      <c r="B591" s="12" t="n">
        <v>503.283783</v>
      </c>
      <c r="C591" s="12" t="n">
        <v>65.829987</v>
      </c>
      <c r="D591" s="12" t="n">
        <v>45.719528</v>
      </c>
      <c r="E591" s="12" t="n">
        <v>53.58643</v>
      </c>
      <c r="F591" s="12" t="n">
        <v>16.387861</v>
      </c>
      <c r="G591" s="12" t="n">
        <v>83.480919</v>
      </c>
      <c r="H591" s="13">
        <f>100*B591/B$7</f>
        <v/>
      </c>
      <c r="I591" s="13">
        <f>100*C591/C$7</f>
        <v/>
      </c>
      <c r="J591" s="13">
        <f>100*D591/D$7</f>
        <v/>
      </c>
      <c r="K591" s="13">
        <f>100*E591/E$7</f>
        <v/>
      </c>
      <c r="L591" s="13">
        <f>100*F591/F$7</f>
        <v/>
      </c>
      <c r="M591" s="13">
        <f>100*G591/G$7</f>
        <v/>
      </c>
    </row>
    <row r="592">
      <c r="A592" s="11" t="n">
        <v>45747</v>
      </c>
      <c r="B592" s="12" t="n">
        <v>506.348022</v>
      </c>
      <c r="C592" s="12" t="n">
        <v>65.202316</v>
      </c>
      <c r="D592" s="12" t="n">
        <v>45.394463</v>
      </c>
      <c r="E592" s="12" t="n">
        <v>52.852905</v>
      </c>
      <c r="F592" s="12" t="n">
        <v>16.3412</v>
      </c>
      <c r="G592" s="12" t="n">
        <v>83.238953</v>
      </c>
      <c r="H592" s="13">
        <f>100*B592/B$7</f>
        <v/>
      </c>
      <c r="I592" s="13">
        <f>100*C592/C$7</f>
        <v/>
      </c>
      <c r="J592" s="13">
        <f>100*D592/D$7</f>
        <v/>
      </c>
      <c r="K592" s="13">
        <f>100*E592/E$7</f>
        <v/>
      </c>
      <c r="L592" s="13">
        <f>100*F592/F$7</f>
        <v/>
      </c>
      <c r="M592" s="13">
        <f>100*G592/G$7</f>
        <v/>
      </c>
    </row>
    <row r="593">
      <c r="A593" s="11" t="n">
        <v>45748</v>
      </c>
      <c r="B593" s="12" t="n">
        <v>508.210205</v>
      </c>
      <c r="C593" s="12" t="n">
        <v>64.85994700000001</v>
      </c>
      <c r="D593" s="12" t="n">
        <v>46.08284</v>
      </c>
      <c r="E593" s="12" t="n">
        <v>53.645107</v>
      </c>
      <c r="F593" s="12" t="n">
        <v>16.555847</v>
      </c>
      <c r="G593" s="12" t="n">
        <v>83.39381400000001</v>
      </c>
      <c r="H593" s="13">
        <f>100*B593/B$7</f>
        <v/>
      </c>
      <c r="I593" s="13">
        <f>100*C593/C$7</f>
        <v/>
      </c>
      <c r="J593" s="13">
        <f>100*D593/D$7</f>
        <v/>
      </c>
      <c r="K593" s="13">
        <f>100*E593/E$7</f>
        <v/>
      </c>
      <c r="L593" s="13">
        <f>100*F593/F$7</f>
        <v/>
      </c>
      <c r="M593" s="13">
        <f>100*G593/G$7</f>
        <v/>
      </c>
    </row>
    <row r="594">
      <c r="A594" s="11" t="n">
        <v>45749</v>
      </c>
      <c r="B594" s="12" t="n">
        <v>511.274414</v>
      </c>
      <c r="C594" s="12" t="n">
        <v>64.87896000000001</v>
      </c>
      <c r="D594" s="12" t="n">
        <v>46.35054</v>
      </c>
      <c r="E594" s="12" t="n">
        <v>53.429943</v>
      </c>
      <c r="F594" s="12" t="n">
        <v>16.60251</v>
      </c>
      <c r="G594" s="12" t="n">
        <v>82.948578</v>
      </c>
      <c r="H594" s="13">
        <f>100*B594/B$7</f>
        <v/>
      </c>
      <c r="I594" s="13">
        <f>100*C594/C$7</f>
        <v/>
      </c>
      <c r="J594" s="13">
        <f>100*D594/D$7</f>
        <v/>
      </c>
      <c r="K594" s="13">
        <f>100*E594/E$7</f>
        <v/>
      </c>
      <c r="L594" s="13">
        <f>100*F594/F$7</f>
        <v/>
      </c>
      <c r="M594" s="13">
        <f>100*G594/G$7</f>
        <v/>
      </c>
    </row>
    <row r="595">
      <c r="A595" s="11" t="n">
        <v>45750</v>
      </c>
      <c r="B595" s="12" t="n">
        <v>486.888641</v>
      </c>
      <c r="C595" s="12" t="n">
        <v>62.206585</v>
      </c>
      <c r="D595" s="12" t="n">
        <v>44.027275</v>
      </c>
      <c r="E595" s="12" t="n">
        <v>51.972672</v>
      </c>
      <c r="F595" s="12" t="n">
        <v>16.3132</v>
      </c>
      <c r="G595" s="12" t="n">
        <v>82.174271</v>
      </c>
      <c r="H595" s="13">
        <f>100*B595/B$7</f>
        <v/>
      </c>
      <c r="I595" s="13">
        <f>100*C595/C$7</f>
        <v/>
      </c>
      <c r="J595" s="13">
        <f>100*D595/D$7</f>
        <v/>
      </c>
      <c r="K595" s="13">
        <f>100*E595/E$7</f>
        <v/>
      </c>
      <c r="L595" s="13">
        <f>100*F595/F$7</f>
        <v/>
      </c>
      <c r="M595" s="13">
        <f>100*G595/G$7</f>
        <v/>
      </c>
    </row>
    <row r="596">
      <c r="A596" s="11" t="n">
        <v>45751</v>
      </c>
      <c r="B596" s="12" t="n">
        <v>458.670074</v>
      </c>
      <c r="C596" s="12" t="n">
        <v>58.497581</v>
      </c>
      <c r="D596" s="12" t="n">
        <v>41.895229</v>
      </c>
      <c r="E596" s="12" t="n">
        <v>50.124191</v>
      </c>
      <c r="F596" s="12" t="n">
        <v>15.286627</v>
      </c>
      <c r="G596" s="12" t="n">
        <v>76.91860200000001</v>
      </c>
      <c r="H596" s="13">
        <f>100*B596/B$7</f>
        <v/>
      </c>
      <c r="I596" s="13">
        <f>100*C596/C$7</f>
        <v/>
      </c>
      <c r="J596" s="13">
        <f>100*D596/D$7</f>
        <v/>
      </c>
      <c r="K596" s="13">
        <f>100*E596/E$7</f>
        <v/>
      </c>
      <c r="L596" s="13">
        <f>100*F596/F$7</f>
        <v/>
      </c>
      <c r="M596" s="13">
        <f>100*G596/G$7</f>
        <v/>
      </c>
    </row>
    <row r="597">
      <c r="A597" s="11" t="n">
        <v>45754</v>
      </c>
      <c r="B597" s="12" t="n">
        <v>456.738892</v>
      </c>
      <c r="C597" s="12" t="n">
        <v>58.316887</v>
      </c>
      <c r="D597" s="12" t="n">
        <v>40.183853</v>
      </c>
      <c r="E597" s="12" t="n">
        <v>49.664516</v>
      </c>
      <c r="F597" s="12" t="n">
        <v>14.633352</v>
      </c>
      <c r="G597" s="12" t="n">
        <v>70.714386</v>
      </c>
      <c r="H597" s="13">
        <f>100*B597/B$7</f>
        <v/>
      </c>
      <c r="I597" s="13">
        <f>100*C597/C$7</f>
        <v/>
      </c>
      <c r="J597" s="13">
        <f>100*D597/D$7</f>
        <v/>
      </c>
      <c r="K597" s="13">
        <f>100*E597/E$7</f>
        <v/>
      </c>
      <c r="L597" s="13">
        <f>100*F597/F$7</f>
        <v/>
      </c>
      <c r="M597" s="13">
        <f>100*G597/G$7</f>
        <v/>
      </c>
    </row>
    <row r="598">
      <c r="A598" s="11" t="n">
        <v>45755</v>
      </c>
      <c r="B598" s="12" t="n">
        <v>450.019257</v>
      </c>
      <c r="C598" s="12" t="n">
        <v>58.63073</v>
      </c>
      <c r="D598" s="12" t="n">
        <v>39.151291</v>
      </c>
      <c r="E598" s="12" t="n">
        <v>47.845371</v>
      </c>
      <c r="F598" s="12" t="n">
        <v>14.185391</v>
      </c>
      <c r="G598" s="12" t="n">
        <v>69.58195499999999</v>
      </c>
      <c r="H598" s="13">
        <f>100*B598/B$7</f>
        <v/>
      </c>
      <c r="I598" s="13">
        <f>100*C598/C$7</f>
        <v/>
      </c>
      <c r="J598" s="13">
        <f>100*D598/D$7</f>
        <v/>
      </c>
      <c r="K598" s="13">
        <f>100*E598/E$7</f>
        <v/>
      </c>
      <c r="L598" s="13">
        <f>100*F598/F$7</f>
        <v/>
      </c>
      <c r="M598" s="13">
        <f>100*G598/G$7</f>
        <v/>
      </c>
    </row>
    <row r="599">
      <c r="A599" s="11" t="n">
        <v>45756</v>
      </c>
      <c r="B599" s="12" t="n">
        <v>491.755951</v>
      </c>
      <c r="C599" s="12" t="n">
        <v>63.091034</v>
      </c>
      <c r="D599" s="12" t="n">
        <v>42.82262</v>
      </c>
      <c r="E599" s="12" t="n">
        <v>52.109596</v>
      </c>
      <c r="F599" s="12" t="n">
        <v>14.73601</v>
      </c>
      <c r="G599" s="12" t="n">
        <v>74.08266399999999</v>
      </c>
      <c r="H599" s="13">
        <f>100*B599/B$7</f>
        <v/>
      </c>
      <c r="I599" s="13">
        <f>100*C599/C$7</f>
        <v/>
      </c>
      <c r="J599" s="13">
        <f>100*D599/D$7</f>
        <v/>
      </c>
      <c r="K599" s="13">
        <f>100*E599/E$7</f>
        <v/>
      </c>
      <c r="L599" s="13">
        <f>100*F599/F$7</f>
        <v/>
      </c>
      <c r="M599" s="13">
        <f>100*G599/G$7</f>
        <v/>
      </c>
    </row>
    <row r="600">
      <c r="A600" s="11" t="n">
        <v>45757</v>
      </c>
      <c r="B600" s="12" t="n">
        <v>474.966705</v>
      </c>
      <c r="C600" s="12" t="n">
        <v>61.074863</v>
      </c>
      <c r="D600" s="12" t="n">
        <v>41.417191</v>
      </c>
      <c r="E600" s="12" t="n">
        <v>50.681671</v>
      </c>
      <c r="F600" s="12" t="n">
        <v>14.717345</v>
      </c>
      <c r="G600" s="12" t="n">
        <v>73.753578</v>
      </c>
      <c r="H600" s="13">
        <f>100*B600/B$7</f>
        <v/>
      </c>
      <c r="I600" s="13">
        <f>100*C600/C$7</f>
        <v/>
      </c>
      <c r="J600" s="13">
        <f>100*D600/D$7</f>
        <v/>
      </c>
      <c r="K600" s="13">
        <f>100*E600/E$7</f>
        <v/>
      </c>
      <c r="L600" s="13">
        <f>100*F600/F$7</f>
        <v/>
      </c>
      <c r="M600" s="13">
        <f>100*G600/G$7</f>
        <v/>
      </c>
    </row>
    <row r="601">
      <c r="A601" s="11" t="n">
        <v>45758</v>
      </c>
      <c r="B601" s="12" t="n">
        <v>483.331726</v>
      </c>
      <c r="C601" s="12" t="n">
        <v>62.596504</v>
      </c>
      <c r="D601" s="12" t="n">
        <v>43.616161</v>
      </c>
      <c r="E601" s="12" t="n">
        <v>53.116974</v>
      </c>
      <c r="F601" s="12" t="n">
        <v>14.903996</v>
      </c>
      <c r="G601" s="12" t="n">
        <v>76.52175099999999</v>
      </c>
      <c r="H601" s="13">
        <f>100*B601/B$7</f>
        <v/>
      </c>
      <c r="I601" s="13">
        <f>100*C601/C$7</f>
        <v/>
      </c>
      <c r="J601" s="13">
        <f>100*D601/D$7</f>
        <v/>
      </c>
      <c r="K601" s="13">
        <f>100*E601/E$7</f>
        <v/>
      </c>
      <c r="L601" s="13">
        <f>100*F601/F$7</f>
        <v/>
      </c>
      <c r="M601" s="13">
        <f>100*G601/G$7</f>
        <v/>
      </c>
    </row>
    <row r="602">
      <c r="A602" s="11" t="n">
        <v>45761</v>
      </c>
      <c r="B602" s="12" t="n">
        <v>488.18924</v>
      </c>
      <c r="C602" s="12" t="n">
        <v>63.623611</v>
      </c>
      <c r="D602" s="12" t="n">
        <v>43.759575</v>
      </c>
      <c r="E602" s="12" t="n">
        <v>53.156094</v>
      </c>
      <c r="F602" s="12" t="n">
        <v>15.267962</v>
      </c>
      <c r="G602" s="12" t="n">
        <v>77.683228</v>
      </c>
      <c r="H602" s="13">
        <f>100*B602/B$7</f>
        <v/>
      </c>
      <c r="I602" s="13">
        <f>100*C602/C$7</f>
        <v/>
      </c>
      <c r="J602" s="13">
        <f>100*D602/D$7</f>
        <v/>
      </c>
      <c r="K602" s="13">
        <f>100*E602/E$7</f>
        <v/>
      </c>
      <c r="L602" s="13">
        <f>100*F602/F$7</f>
        <v/>
      </c>
      <c r="M602" s="13">
        <f>100*G602/G$7</f>
        <v/>
      </c>
    </row>
    <row r="603">
      <c r="A603" s="11" t="n">
        <v>45762</v>
      </c>
      <c r="B603" s="12" t="n">
        <v>486.819672</v>
      </c>
      <c r="C603" s="12" t="n">
        <v>64.137169</v>
      </c>
      <c r="D603" s="12" t="n">
        <v>44.027275</v>
      </c>
      <c r="E603" s="12" t="n">
        <v>53.185436</v>
      </c>
      <c r="F603" s="12" t="n">
        <v>15.25863</v>
      </c>
      <c r="G603" s="12" t="n">
        <v>76.966988</v>
      </c>
      <c r="H603" s="13">
        <f>100*B603/B$7</f>
        <v/>
      </c>
      <c r="I603" s="13">
        <f>100*C603/C$7</f>
        <v/>
      </c>
      <c r="J603" s="13">
        <f>100*D603/D$7</f>
        <v/>
      </c>
      <c r="K603" s="13">
        <f>100*E603/E$7</f>
        <v/>
      </c>
      <c r="L603" s="13">
        <f>100*F603/F$7</f>
        <v/>
      </c>
      <c r="M603" s="13">
        <f>100*G603/G$7</f>
        <v/>
      </c>
    </row>
    <row r="604">
      <c r="A604" s="11" t="n">
        <v>45763</v>
      </c>
      <c r="B604" s="12" t="n">
        <v>476.119507</v>
      </c>
      <c r="C604" s="12" t="n">
        <v>63.509487</v>
      </c>
      <c r="D604" s="12" t="n">
        <v>43.01384</v>
      </c>
      <c r="E604" s="12" t="n">
        <v>52.872467</v>
      </c>
      <c r="F604" s="12" t="n">
        <v>15.249297</v>
      </c>
      <c r="G604" s="12" t="n">
        <v>75.563545</v>
      </c>
      <c r="H604" s="13">
        <f>100*B604/B$7</f>
        <v/>
      </c>
      <c r="I604" s="13">
        <f>100*C604/C$7</f>
        <v/>
      </c>
      <c r="J604" s="13">
        <f>100*D604/D$7</f>
        <v/>
      </c>
      <c r="K604" s="13">
        <f>100*E604/E$7</f>
        <v/>
      </c>
      <c r="L604" s="13">
        <f>100*F604/F$7</f>
        <v/>
      </c>
      <c r="M604" s="13">
        <f>100*G604/G$7</f>
        <v/>
      </c>
    </row>
    <row r="605">
      <c r="A605" s="11" t="n">
        <v>45764</v>
      </c>
      <c r="B605" s="12" t="n">
        <v>476.779572</v>
      </c>
      <c r="C605" s="12" t="n">
        <v>64.736313</v>
      </c>
      <c r="D605" s="12" t="n">
        <v>42.908669</v>
      </c>
      <c r="E605" s="12" t="n">
        <v>53.116974</v>
      </c>
      <c r="F605" s="12" t="n">
        <v>15.33329</v>
      </c>
      <c r="G605" s="12" t="n">
        <v>75.592575</v>
      </c>
      <c r="H605" s="13">
        <f>100*B605/B$7</f>
        <v/>
      </c>
      <c r="I605" s="13">
        <f>100*C605/C$7</f>
        <v/>
      </c>
      <c r="J605" s="13">
        <f>100*D605/D$7</f>
        <v/>
      </c>
      <c r="K605" s="13">
        <f>100*E605/E$7</f>
        <v/>
      </c>
      <c r="L605" s="13">
        <f>100*F605/F$7</f>
        <v/>
      </c>
      <c r="M605" s="13">
        <f>100*G605/G$7</f>
        <v/>
      </c>
    </row>
    <row r="606">
      <c r="A606" s="11" t="n">
        <v>45765</v>
      </c>
      <c r="B606" s="12" t="n">
        <v>476.779572</v>
      </c>
      <c r="C606" s="12" t="n">
        <v>64.736313</v>
      </c>
      <c r="D606" s="12" t="n">
        <v>42.908669</v>
      </c>
      <c r="E606" s="12" t="n">
        <v>53.116974</v>
      </c>
      <c r="F606" s="12" t="n">
        <v>15.33329</v>
      </c>
      <c r="G606" s="12" t="n">
        <v>75.592575</v>
      </c>
      <c r="H606" s="13">
        <f>100*B606/B$7</f>
        <v/>
      </c>
      <c r="I606" s="13">
        <f>100*C606/C$7</f>
        <v/>
      </c>
      <c r="J606" s="13">
        <f>100*D606/D$7</f>
        <v/>
      </c>
      <c r="K606" s="13">
        <f>100*E606/E$7</f>
        <v/>
      </c>
      <c r="L606" s="13">
        <f>100*F606/F$7</f>
        <v/>
      </c>
      <c r="M606" s="13">
        <f>100*G606/G$7</f>
        <v/>
      </c>
    </row>
    <row r="607">
      <c r="A607" s="11" t="n">
        <v>45768</v>
      </c>
      <c r="B607" s="12" t="n">
        <v>465.41925</v>
      </c>
      <c r="C607" s="12" t="n">
        <v>64.593658</v>
      </c>
      <c r="D607" s="12" t="n">
        <v>42.27766</v>
      </c>
      <c r="E607" s="12" t="n">
        <v>53.195213</v>
      </c>
      <c r="F607" s="12" t="n">
        <v>15.286627</v>
      </c>
      <c r="G607" s="12" t="n">
        <v>76.047493</v>
      </c>
      <c r="H607" s="13">
        <f>100*B607/B$7</f>
        <v/>
      </c>
      <c r="I607" s="13">
        <f>100*C607/C$7</f>
        <v/>
      </c>
      <c r="J607" s="13">
        <f>100*D607/D$7</f>
        <v/>
      </c>
      <c r="K607" s="13">
        <f>100*E607/E$7</f>
        <v/>
      </c>
      <c r="L607" s="13">
        <f>100*F607/F$7</f>
        <v/>
      </c>
      <c r="M607" s="13">
        <f>100*G607/G$7</f>
        <v/>
      </c>
    </row>
    <row r="608">
      <c r="A608" s="11" t="n">
        <v>45769</v>
      </c>
      <c r="B608" s="12" t="n">
        <v>477.16391</v>
      </c>
      <c r="C608" s="12" t="n">
        <v>65.87754099999999</v>
      </c>
      <c r="D608" s="12" t="n">
        <v>42.382828</v>
      </c>
      <c r="E608" s="12" t="n">
        <v>53.605991</v>
      </c>
      <c r="F608" s="12" t="n">
        <v>15.734586</v>
      </c>
      <c r="G608" s="12" t="n">
        <v>78.157501</v>
      </c>
      <c r="H608" s="13">
        <f>100*B608/B$7</f>
        <v/>
      </c>
      <c r="I608" s="13">
        <f>100*C608/C$7</f>
        <v/>
      </c>
      <c r="J608" s="13">
        <f>100*D608/D$7</f>
        <v/>
      </c>
      <c r="K608" s="13">
        <f>100*E608/E$7</f>
        <v/>
      </c>
      <c r="L608" s="13">
        <f>100*F608/F$7</f>
        <v/>
      </c>
      <c r="M608" s="13">
        <f>100*G608/G$7</f>
        <v/>
      </c>
    </row>
    <row r="609">
      <c r="A609" s="11" t="n">
        <v>45770</v>
      </c>
      <c r="B609" s="12" t="n">
        <v>484.829407</v>
      </c>
      <c r="C609" s="12" t="n">
        <v>66.077263</v>
      </c>
      <c r="D609" s="12" t="n">
        <v>43.501434</v>
      </c>
      <c r="E609" s="12" t="n">
        <v>54.378635</v>
      </c>
      <c r="F609" s="12" t="n">
        <v>15.939902</v>
      </c>
      <c r="G609" s="12" t="n">
        <v>79.038284</v>
      </c>
      <c r="H609" s="13">
        <f>100*B609/B$7</f>
        <v/>
      </c>
      <c r="I609" s="13">
        <f>100*C609/C$7</f>
        <v/>
      </c>
      <c r="J609" s="13">
        <f>100*D609/D$7</f>
        <v/>
      </c>
      <c r="K609" s="13">
        <f>100*E609/E$7</f>
        <v/>
      </c>
      <c r="L609" s="13">
        <f>100*F609/F$7</f>
        <v/>
      </c>
      <c r="M609" s="13">
        <f>100*G609/G$7</f>
        <v/>
      </c>
    </row>
    <row r="610">
      <c r="A610" s="11" t="n">
        <v>45771</v>
      </c>
      <c r="B610" s="12" t="n">
        <v>495.017273</v>
      </c>
      <c r="C610" s="12" t="n">
        <v>66.83807400000001</v>
      </c>
      <c r="D610" s="12" t="n">
        <v>44.151566</v>
      </c>
      <c r="E610" s="12" t="n">
        <v>54.720947</v>
      </c>
      <c r="F610" s="12" t="n">
        <v>16.023893</v>
      </c>
      <c r="G610" s="12" t="n">
        <v>79.55127</v>
      </c>
      <c r="H610" s="13">
        <f>100*B610/B$7</f>
        <v/>
      </c>
      <c r="I610" s="13">
        <f>100*C610/C$7</f>
        <v/>
      </c>
      <c r="J610" s="13">
        <f>100*D610/D$7</f>
        <v/>
      </c>
      <c r="K610" s="13">
        <f>100*E610/E$7</f>
        <v/>
      </c>
      <c r="L610" s="13">
        <f>100*F610/F$7</f>
        <v/>
      </c>
      <c r="M610" s="13">
        <f>100*G610/G$7</f>
        <v/>
      </c>
    </row>
    <row r="611">
      <c r="A611" s="11" t="n">
        <v>45772</v>
      </c>
      <c r="B611" s="12" t="n">
        <v>498.662811</v>
      </c>
      <c r="C611" s="12" t="n">
        <v>67.30407700000001</v>
      </c>
      <c r="D611" s="12" t="n">
        <v>44.304539</v>
      </c>
      <c r="E611" s="12" t="n">
        <v>54.584023</v>
      </c>
      <c r="F611" s="12" t="n">
        <v>16.033226</v>
      </c>
      <c r="G611" s="12" t="n">
        <v>79.31896999999999</v>
      </c>
      <c r="H611" s="13">
        <f>100*B611/B$7</f>
        <v/>
      </c>
      <c r="I611" s="13">
        <f>100*C611/C$7</f>
        <v/>
      </c>
      <c r="J611" s="13">
        <f>100*D611/D$7</f>
        <v/>
      </c>
      <c r="K611" s="13">
        <f>100*E611/E$7</f>
        <v/>
      </c>
      <c r="L611" s="13">
        <f>100*F611/F$7</f>
        <v/>
      </c>
      <c r="M611" s="13">
        <f>100*G611/G$7</f>
        <v/>
      </c>
    </row>
    <row r="612">
      <c r="A612" s="11" t="n">
        <v>45775</v>
      </c>
      <c r="B612" s="12" t="n">
        <v>498.968201</v>
      </c>
      <c r="C612" s="12" t="n">
        <v>68.22657</v>
      </c>
      <c r="D612" s="12" t="n">
        <v>44.428829</v>
      </c>
      <c r="E612" s="12" t="n">
        <v>54.42754</v>
      </c>
      <c r="F612" s="12" t="n">
        <v>15.986564</v>
      </c>
      <c r="G612" s="12" t="n">
        <v>79.202827</v>
      </c>
      <c r="H612" s="13">
        <f>100*B612/B$7</f>
        <v/>
      </c>
      <c r="I612" s="13">
        <f>100*C612/C$7</f>
        <v/>
      </c>
      <c r="J612" s="13">
        <f>100*D612/D$7</f>
        <v/>
      </c>
      <c r="K612" s="13">
        <f>100*E612/E$7</f>
        <v/>
      </c>
      <c r="L612" s="13">
        <f>100*F612/F$7</f>
        <v/>
      </c>
      <c r="M612" s="13">
        <f>100*G612/G$7</f>
        <v/>
      </c>
    </row>
    <row r="613">
      <c r="A613" s="11" t="n">
        <v>45776</v>
      </c>
      <c r="B613" s="12" t="n">
        <v>501.993073</v>
      </c>
      <c r="C613" s="12" t="n">
        <v>68.492867</v>
      </c>
      <c r="D613" s="12" t="n">
        <v>45.07896</v>
      </c>
      <c r="E613" s="12" t="n">
        <v>54.867649</v>
      </c>
      <c r="F613" s="12" t="n">
        <v>16.014561</v>
      </c>
      <c r="G613" s="12" t="n">
        <v>78.960854</v>
      </c>
      <c r="H613" s="13">
        <f>100*B613/B$7</f>
        <v/>
      </c>
      <c r="I613" s="13">
        <f>100*C613/C$7</f>
        <v/>
      </c>
      <c r="J613" s="13">
        <f>100*D613/D$7</f>
        <v/>
      </c>
      <c r="K613" s="13">
        <f>100*E613/E$7</f>
        <v/>
      </c>
      <c r="L613" s="13">
        <f>100*F613/F$7</f>
        <v/>
      </c>
      <c r="M613" s="13">
        <f>100*G613/G$7</f>
        <v/>
      </c>
    </row>
    <row r="614">
      <c r="A614" s="11" t="n">
        <v>45777</v>
      </c>
      <c r="B614" s="12" t="n">
        <v>502.23938</v>
      </c>
      <c r="C614" s="12" t="n">
        <v>67.931755</v>
      </c>
      <c r="D614" s="12" t="n">
        <v>45.394463</v>
      </c>
      <c r="E614" s="12" t="n">
        <v>54.955673</v>
      </c>
      <c r="F614" s="12" t="n">
        <v>16.350533</v>
      </c>
      <c r="G614" s="12" t="n">
        <v>79.193146</v>
      </c>
      <c r="H614" s="13">
        <f>100*B614/B$7</f>
        <v/>
      </c>
      <c r="I614" s="13">
        <f>100*C614/C$7</f>
        <v/>
      </c>
      <c r="J614" s="13">
        <f>100*D614/D$7</f>
        <v/>
      </c>
      <c r="K614" s="13">
        <f>100*E614/E$7</f>
        <v/>
      </c>
      <c r="L614" s="13">
        <f>100*F614/F$7</f>
        <v/>
      </c>
      <c r="M614" s="13">
        <f>100*G614/G$7</f>
        <v/>
      </c>
    </row>
    <row r="615">
      <c r="A615" s="11" t="n">
        <v>45778</v>
      </c>
      <c r="B615" s="12" t="n">
        <v>505.796234</v>
      </c>
      <c r="C615" s="12" t="n">
        <v>67.68448600000001</v>
      </c>
      <c r="D615" s="12" t="n">
        <v>45.719528</v>
      </c>
      <c r="E615" s="12" t="n">
        <v>54.378635</v>
      </c>
      <c r="F615" s="12" t="n">
        <v>16.303867</v>
      </c>
      <c r="G615" s="12" t="n">
        <v>78.92214199999999</v>
      </c>
      <c r="H615" s="13">
        <f>100*B615/B$7</f>
        <v/>
      </c>
      <c r="I615" s="13">
        <f>100*C615/C$7</f>
        <v/>
      </c>
      <c r="J615" s="13">
        <f>100*D615/D$7</f>
        <v/>
      </c>
      <c r="K615" s="13">
        <f>100*E615/E$7</f>
        <v/>
      </c>
      <c r="L615" s="13">
        <f>100*F615/F$7</f>
        <v/>
      </c>
      <c r="M615" s="13">
        <f>100*G615/G$7</f>
        <v/>
      </c>
    </row>
    <row r="616">
      <c r="A616" s="11" t="n">
        <v>45779</v>
      </c>
      <c r="B616" s="12" t="n">
        <v>513.047974</v>
      </c>
      <c r="C616" s="12" t="n">
        <v>68.369225</v>
      </c>
      <c r="D616" s="12" t="n">
        <v>48.712048</v>
      </c>
      <c r="E616" s="12" t="n">
        <v>56.442284</v>
      </c>
      <c r="F616" s="12" t="n">
        <v>16.611841</v>
      </c>
      <c r="G616" s="12" t="n">
        <v>81.496735</v>
      </c>
      <c r="H616" s="13">
        <f>100*B616/B$7</f>
        <v/>
      </c>
      <c r="I616" s="13">
        <f>100*C616/C$7</f>
        <v/>
      </c>
      <c r="J616" s="13">
        <f>100*D616/D$7</f>
        <v/>
      </c>
      <c r="K616" s="13">
        <f>100*E616/E$7</f>
        <v/>
      </c>
      <c r="L616" s="13">
        <f>100*F616/F$7</f>
        <v/>
      </c>
      <c r="M616" s="13">
        <f>100*G616/G$7</f>
        <v/>
      </c>
    </row>
    <row r="617">
      <c r="A617" s="11" t="n">
        <v>45782</v>
      </c>
      <c r="B617" s="12" t="n">
        <v>510.36795</v>
      </c>
      <c r="C617" s="12" t="n">
        <v>68.844742</v>
      </c>
      <c r="D617" s="12" t="n">
        <v>50.633759</v>
      </c>
      <c r="E617" s="12" t="n">
        <v>57.097569</v>
      </c>
      <c r="F617" s="12" t="n">
        <v>16.621174</v>
      </c>
      <c r="G617" s="12" t="n">
        <v>81.564491</v>
      </c>
      <c r="H617" s="13">
        <f>100*B617/B$7</f>
        <v/>
      </c>
      <c r="I617" s="13">
        <f>100*C617/C$7</f>
        <v/>
      </c>
      <c r="J617" s="13">
        <f>100*D617/D$7</f>
        <v/>
      </c>
      <c r="K617" s="13">
        <f>100*E617/E$7</f>
        <v/>
      </c>
      <c r="L617" s="13">
        <f>100*F617/F$7</f>
        <v/>
      </c>
      <c r="M617" s="13">
        <f>100*G617/G$7</f>
        <v/>
      </c>
    </row>
    <row r="618">
      <c r="A618" s="11" t="n">
        <v>45783</v>
      </c>
      <c r="B618" s="12" t="n">
        <v>506.022888</v>
      </c>
      <c r="C618" s="12" t="n">
        <v>68.88278200000001</v>
      </c>
      <c r="D618" s="12" t="n">
        <v>49.295254</v>
      </c>
      <c r="E618" s="12" t="n">
        <v>57.214931</v>
      </c>
      <c r="F618" s="12" t="n">
        <v>16.994471</v>
      </c>
      <c r="G618" s="12" t="n">
        <v>82.280731</v>
      </c>
      <c r="H618" s="13">
        <f>100*B618/B$7</f>
        <v/>
      </c>
      <c r="I618" s="13">
        <f>100*C618/C$7</f>
        <v/>
      </c>
      <c r="J618" s="13">
        <f>100*D618/D$7</f>
        <v/>
      </c>
      <c r="K618" s="13">
        <f>100*E618/E$7</f>
        <v/>
      </c>
      <c r="L618" s="13">
        <f>100*F618/F$7</f>
        <v/>
      </c>
      <c r="M618" s="13">
        <f>100*G618/G$7</f>
        <v/>
      </c>
    </row>
    <row r="619">
      <c r="A619" s="11" t="n">
        <v>45784</v>
      </c>
      <c r="B619" s="12" t="n">
        <v>508.308807</v>
      </c>
      <c r="C619" s="12" t="n">
        <v>68.45483400000001</v>
      </c>
      <c r="D619" s="12" t="n">
        <v>48.75985</v>
      </c>
      <c r="E619" s="12" t="n">
        <v>56.520527</v>
      </c>
      <c r="F619" s="12" t="n">
        <v>17.078465</v>
      </c>
      <c r="G619" s="12" t="n">
        <v>80.499802</v>
      </c>
      <c r="H619" s="13">
        <f>100*B619/B$7</f>
        <v/>
      </c>
      <c r="I619" s="13">
        <f>100*C619/C$7</f>
        <v/>
      </c>
      <c r="J619" s="13">
        <f>100*D619/D$7</f>
        <v/>
      </c>
      <c r="K619" s="13">
        <f>100*E619/E$7</f>
        <v/>
      </c>
      <c r="L619" s="13">
        <f>100*F619/F$7</f>
        <v/>
      </c>
      <c r="M619" s="13">
        <f>100*G619/G$7</f>
        <v/>
      </c>
    </row>
    <row r="620">
      <c r="A620" s="11" t="n">
        <v>45785</v>
      </c>
      <c r="B620" s="12" t="n">
        <v>511.698212</v>
      </c>
      <c r="C620" s="12" t="n">
        <v>68.312164</v>
      </c>
      <c r="D620" s="12" t="n">
        <v>48.912823</v>
      </c>
      <c r="E620" s="12" t="n">
        <v>55.943489</v>
      </c>
      <c r="F620" s="12" t="n">
        <v>17.013138</v>
      </c>
      <c r="G620" s="12" t="n">
        <v>81.458023</v>
      </c>
      <c r="H620" s="13">
        <f>100*B620/B$7</f>
        <v/>
      </c>
      <c r="I620" s="13">
        <f>100*C620/C$7</f>
        <v/>
      </c>
      <c r="J620" s="13">
        <f>100*D620/D$7</f>
        <v/>
      </c>
      <c r="K620" s="13">
        <f>100*E620/E$7</f>
        <v/>
      </c>
      <c r="L620" s="13">
        <f>100*F620/F$7</f>
        <v/>
      </c>
      <c r="M620" s="13">
        <f>100*G620/G$7</f>
        <v/>
      </c>
    </row>
    <row r="621">
      <c r="A621" s="11" t="n">
        <v>45786</v>
      </c>
      <c r="B621" s="12" t="n">
        <v>511.01828</v>
      </c>
      <c r="C621" s="12" t="n">
        <v>68.48336</v>
      </c>
      <c r="D621" s="12" t="n">
        <v>49.476906</v>
      </c>
      <c r="E621" s="12" t="n">
        <v>56.422722</v>
      </c>
      <c r="F621" s="12" t="n">
        <v>17.12513</v>
      </c>
      <c r="G621" s="12" t="n">
        <v>81.187012</v>
      </c>
      <c r="H621" s="13">
        <f>100*B621/B$7</f>
        <v/>
      </c>
      <c r="I621" s="13">
        <f>100*C621/C$7</f>
        <v/>
      </c>
      <c r="J621" s="13">
        <f>100*D621/D$7</f>
        <v/>
      </c>
      <c r="K621" s="13">
        <f>100*E621/E$7</f>
        <v/>
      </c>
      <c r="L621" s="13">
        <f>100*F621/F$7</f>
        <v/>
      </c>
      <c r="M621" s="13">
        <f>100*G621/G$7</f>
        <v/>
      </c>
    </row>
    <row r="622">
      <c r="A622" s="11" t="n">
        <v>45789</v>
      </c>
      <c r="B622" s="12" t="n">
        <v>528.034119</v>
      </c>
      <c r="C622" s="12" t="n">
        <v>69.23466500000001</v>
      </c>
      <c r="D622" s="12" t="n">
        <v>50.624199</v>
      </c>
      <c r="E622" s="12" t="n">
        <v>56.765038</v>
      </c>
      <c r="F622" s="12" t="n">
        <v>17.4611</v>
      </c>
      <c r="G622" s="12" t="n">
        <v>83.819687</v>
      </c>
      <c r="H622" s="13">
        <f>100*B622/B$7</f>
        <v/>
      </c>
      <c r="I622" s="13">
        <f>100*C622/C$7</f>
        <v/>
      </c>
      <c r="J622" s="13">
        <f>100*D622/D$7</f>
        <v/>
      </c>
      <c r="K622" s="13">
        <f>100*E622/E$7</f>
        <v/>
      </c>
      <c r="L622" s="13">
        <f>100*F622/F$7</f>
        <v/>
      </c>
      <c r="M622" s="13">
        <f>100*G622/G$7</f>
        <v/>
      </c>
    </row>
    <row r="623">
      <c r="A623" s="11" t="n">
        <v>45790</v>
      </c>
      <c r="B623" s="12" t="n">
        <v>531.50238</v>
      </c>
      <c r="C623" s="12" t="n">
        <v>68.71159400000001</v>
      </c>
      <c r="D623" s="12" t="n">
        <v>50.939701</v>
      </c>
      <c r="E623" s="12" t="n">
        <v>56.843277</v>
      </c>
      <c r="F623" s="12" t="n">
        <v>17.433102</v>
      </c>
      <c r="G623" s="12" t="n">
        <v>83.355103</v>
      </c>
      <c r="H623" s="13">
        <f>100*B623/B$7</f>
        <v/>
      </c>
      <c r="I623" s="13">
        <f>100*C623/C$7</f>
        <v/>
      </c>
      <c r="J623" s="13">
        <f>100*D623/D$7</f>
        <v/>
      </c>
      <c r="K623" s="13">
        <f>100*E623/E$7</f>
        <v/>
      </c>
      <c r="L623" s="13">
        <f>100*F623/F$7</f>
        <v/>
      </c>
      <c r="M623" s="13">
        <f>100*G623/G$7</f>
        <v/>
      </c>
    </row>
    <row r="624">
      <c r="A624" s="11" t="n">
        <v>45791</v>
      </c>
      <c r="B624" s="12" t="n">
        <v>532.162476</v>
      </c>
      <c r="C624" s="12" t="n">
        <v>67.95077499999999</v>
      </c>
      <c r="D624" s="12" t="n">
        <v>51.40818</v>
      </c>
      <c r="E624" s="12" t="n">
        <v>57.322514</v>
      </c>
      <c r="F624" s="12" t="n">
        <v>17.638416</v>
      </c>
      <c r="G624" s="12" t="n">
        <v>84.390755</v>
      </c>
      <c r="H624" s="13">
        <f>100*B624/B$7</f>
        <v/>
      </c>
      <c r="I624" s="13">
        <f>100*C624/C$7</f>
        <v/>
      </c>
      <c r="J624" s="13">
        <f>100*D624/D$7</f>
        <v/>
      </c>
      <c r="K624" s="13">
        <f>100*E624/E$7</f>
        <v/>
      </c>
      <c r="L624" s="13">
        <f>100*F624/F$7</f>
        <v/>
      </c>
      <c r="M624" s="13">
        <f>100*G624/G$7</f>
        <v/>
      </c>
    </row>
    <row r="625">
      <c r="A625" s="11" t="n">
        <v>45792</v>
      </c>
      <c r="B625" s="12" t="n">
        <v>534.773499</v>
      </c>
      <c r="C625" s="12" t="n">
        <v>68.75915500000001</v>
      </c>
      <c r="D625" s="12" t="n">
        <v>51.618519</v>
      </c>
      <c r="E625" s="12" t="n">
        <v>57.508339</v>
      </c>
      <c r="F625" s="12" t="n">
        <v>17.54509</v>
      </c>
      <c r="G625" s="12" t="n">
        <v>82.755005</v>
      </c>
      <c r="H625" s="13">
        <f>100*B625/B$7</f>
        <v/>
      </c>
      <c r="I625" s="13">
        <f>100*C625/C$7</f>
        <v/>
      </c>
      <c r="J625" s="13">
        <f>100*D625/D$7</f>
        <v/>
      </c>
      <c r="K625" s="13">
        <f>100*E625/E$7</f>
        <v/>
      </c>
      <c r="L625" s="13">
        <f>100*F625/F$7</f>
        <v/>
      </c>
      <c r="M625" s="13">
        <f>100*G625/G$7</f>
        <v/>
      </c>
    </row>
    <row r="626">
      <c r="A626" s="11" t="n">
        <v>45793</v>
      </c>
      <c r="B626" s="12" t="n">
        <v>538.221985</v>
      </c>
      <c r="C626" s="12" t="n">
        <v>68.939842</v>
      </c>
      <c r="D626" s="12" t="n">
        <v>51.637634</v>
      </c>
      <c r="E626" s="12" t="n">
        <v>57.498562</v>
      </c>
      <c r="F626" s="12" t="n">
        <v>17.58242</v>
      </c>
      <c r="G626" s="12" t="n">
        <v>82.745323</v>
      </c>
      <c r="H626" s="13">
        <f>100*B626/B$7</f>
        <v/>
      </c>
      <c r="I626" s="13">
        <f>100*C626/C$7</f>
        <v/>
      </c>
      <c r="J626" s="13">
        <f>100*D626/D$7</f>
        <v/>
      </c>
      <c r="K626" s="13">
        <f>100*E626/E$7</f>
        <v/>
      </c>
      <c r="L626" s="13">
        <f>100*F626/F$7</f>
        <v/>
      </c>
      <c r="M626" s="13">
        <f>100*G626/G$7</f>
        <v/>
      </c>
    </row>
    <row r="627">
      <c r="A627" s="11" t="n">
        <v>45796</v>
      </c>
      <c r="B627" s="12" t="n">
        <v>538.773804</v>
      </c>
      <c r="C627" s="12" t="n">
        <v>69.01593</v>
      </c>
      <c r="D627" s="12" t="n">
        <v>51.455982</v>
      </c>
      <c r="E627" s="12" t="n">
        <v>57.527901</v>
      </c>
      <c r="F627" s="12" t="n">
        <v>17.647749</v>
      </c>
      <c r="G627" s="12" t="n">
        <v>83.190544</v>
      </c>
      <c r="H627" s="13">
        <f>100*B627/B$7</f>
        <v/>
      </c>
      <c r="I627" s="13">
        <f>100*C627/C$7</f>
        <v/>
      </c>
      <c r="J627" s="13">
        <f>100*D627/D$7</f>
        <v/>
      </c>
      <c r="K627" s="13">
        <f>100*E627/E$7</f>
        <v/>
      </c>
      <c r="L627" s="13">
        <f>100*F627/F$7</f>
        <v/>
      </c>
      <c r="M627" s="13">
        <f>100*G627/G$7</f>
        <v/>
      </c>
    </row>
    <row r="628">
      <c r="A628" s="11" t="n">
        <v>45797</v>
      </c>
      <c r="B628" s="12" t="n">
        <v>536.862305</v>
      </c>
      <c r="C628" s="12" t="n">
        <v>69.415359</v>
      </c>
      <c r="D628" s="12" t="n">
        <v>51.130917</v>
      </c>
      <c r="E628" s="12" t="n">
        <v>57.11713</v>
      </c>
      <c r="F628" s="12" t="n">
        <v>17.750406</v>
      </c>
      <c r="G628" s="12" t="n">
        <v>83.877762</v>
      </c>
      <c r="H628" s="13">
        <f>100*B628/B$7</f>
        <v/>
      </c>
      <c r="I628" s="13">
        <f>100*C628/C$7</f>
        <v/>
      </c>
      <c r="J628" s="13">
        <f>100*D628/D$7</f>
        <v/>
      </c>
      <c r="K628" s="13">
        <f>100*E628/E$7</f>
        <v/>
      </c>
      <c r="L628" s="13">
        <f>100*F628/F$7</f>
        <v/>
      </c>
      <c r="M628" s="13">
        <f>100*G628/G$7</f>
        <v/>
      </c>
    </row>
    <row r="629">
      <c r="A629" s="11" t="n">
        <v>45798</v>
      </c>
      <c r="B629" s="12" t="n">
        <v>527.886353</v>
      </c>
      <c r="C629" s="12" t="n">
        <v>68.768654</v>
      </c>
      <c r="D629" s="12" t="n">
        <v>51.360378</v>
      </c>
      <c r="E629" s="12" t="n">
        <v>57.80175</v>
      </c>
      <c r="F629" s="12" t="n">
        <v>17.563755</v>
      </c>
      <c r="G629" s="12" t="n">
        <v>83.684181</v>
      </c>
      <c r="H629" s="13">
        <f>100*B629/B$7</f>
        <v/>
      </c>
      <c r="I629" s="13">
        <f>100*C629/C$7</f>
        <v/>
      </c>
      <c r="J629" s="13">
        <f>100*D629/D$7</f>
        <v/>
      </c>
      <c r="K629" s="13">
        <f>100*E629/E$7</f>
        <v/>
      </c>
      <c r="L629" s="13">
        <f>100*F629/F$7</f>
        <v/>
      </c>
      <c r="M629" s="13">
        <f>100*G629/G$7</f>
        <v/>
      </c>
    </row>
    <row r="630">
      <c r="A630" s="11" t="n">
        <v>45799</v>
      </c>
      <c r="B630" s="12" t="n">
        <v>528.13269</v>
      </c>
      <c r="C630" s="12" t="n">
        <v>68.825729</v>
      </c>
      <c r="D630" s="12" t="n">
        <v>51.341255</v>
      </c>
      <c r="E630" s="12" t="n">
        <v>57.009544</v>
      </c>
      <c r="F630" s="12" t="n">
        <v>17.526426</v>
      </c>
      <c r="G630" s="12" t="n">
        <v>83.219589</v>
      </c>
      <c r="H630" s="13">
        <f>100*B630/B$7</f>
        <v/>
      </c>
      <c r="I630" s="13">
        <f>100*C630/C$7</f>
        <v/>
      </c>
      <c r="J630" s="13">
        <f>100*D630/D$7</f>
        <v/>
      </c>
      <c r="K630" s="13">
        <f>100*E630/E$7</f>
        <v/>
      </c>
      <c r="L630" s="13">
        <f>100*F630/F$7</f>
        <v/>
      </c>
      <c r="M630" s="13">
        <f>100*G630/G$7</f>
        <v/>
      </c>
    </row>
    <row r="631">
      <c r="A631" s="11" t="n">
        <v>45800</v>
      </c>
      <c r="B631" s="12" t="n">
        <v>524.56604</v>
      </c>
      <c r="C631" s="12" t="n">
        <v>69.45339199999999</v>
      </c>
      <c r="D631" s="12" t="n">
        <v>51.169159</v>
      </c>
      <c r="E631" s="12" t="n">
        <v>57.664825</v>
      </c>
      <c r="F631" s="12" t="n">
        <v>17.517094</v>
      </c>
      <c r="G631" s="12" t="n">
        <v>83.238953</v>
      </c>
      <c r="H631" s="13">
        <f>100*B631/B$7</f>
        <v/>
      </c>
      <c r="I631" s="13">
        <f>100*C631/C$7</f>
        <v/>
      </c>
      <c r="J631" s="13">
        <f>100*D631/D$7</f>
        <v/>
      </c>
      <c r="K631" s="13">
        <f>100*E631/E$7</f>
        <v/>
      </c>
      <c r="L631" s="13">
        <f>100*F631/F$7</f>
        <v/>
      </c>
      <c r="M631" s="13">
        <f>100*G631/G$7</f>
        <v/>
      </c>
    </row>
    <row r="632">
      <c r="A632" s="11" t="n">
        <v>45803</v>
      </c>
      <c r="B632" s="12" t="n">
        <v>524.56604</v>
      </c>
      <c r="C632" s="12" t="n">
        <v>69.45339199999999</v>
      </c>
      <c r="D632" s="12" t="n">
        <v>51.169159</v>
      </c>
      <c r="E632" s="12" t="n">
        <v>57.664825</v>
      </c>
      <c r="F632" s="12" t="n">
        <v>17.517094</v>
      </c>
      <c r="G632" s="12" t="n">
        <v>83.238953</v>
      </c>
      <c r="H632" s="13">
        <f>100*B632/B$7</f>
        <v/>
      </c>
      <c r="I632" s="13">
        <f>100*C632/C$7</f>
        <v/>
      </c>
      <c r="J632" s="13">
        <f>100*D632/D$7</f>
        <v/>
      </c>
      <c r="K632" s="13">
        <f>100*E632/E$7</f>
        <v/>
      </c>
      <c r="L632" s="13">
        <f>100*F632/F$7</f>
        <v/>
      </c>
      <c r="M632" s="13">
        <f>100*G632/G$7</f>
        <v/>
      </c>
    </row>
    <row r="633">
      <c r="A633" s="11" t="n">
        <v>45804</v>
      </c>
      <c r="B633" s="12" t="n">
        <v>535.3450319999999</v>
      </c>
      <c r="C633" s="12" t="n">
        <v>71.279366</v>
      </c>
      <c r="D633" s="12" t="n">
        <v>51.226528</v>
      </c>
      <c r="E633" s="12" t="n">
        <v>58.662418</v>
      </c>
      <c r="F633" s="12" t="n">
        <v>17.675745</v>
      </c>
      <c r="G633" s="12" t="n">
        <v>82.280731</v>
      </c>
      <c r="H633" s="13">
        <f>100*B633/B$7</f>
        <v/>
      </c>
      <c r="I633" s="13">
        <f>100*C633/C$7</f>
        <v/>
      </c>
      <c r="J633" s="13">
        <f>100*D633/D$7</f>
        <v/>
      </c>
      <c r="K633" s="13">
        <f>100*E633/E$7</f>
        <v/>
      </c>
      <c r="L633" s="13">
        <f>100*F633/F$7</f>
        <v/>
      </c>
      <c r="M633" s="13">
        <f>100*G633/G$7</f>
        <v/>
      </c>
    </row>
    <row r="634">
      <c r="A634" s="11" t="n">
        <v>45805</v>
      </c>
      <c r="B634" s="12" t="n">
        <v>532.290588</v>
      </c>
      <c r="C634" s="12" t="n">
        <v>70.00499000000001</v>
      </c>
      <c r="D634" s="12" t="n">
        <v>50.920578</v>
      </c>
      <c r="E634" s="12" t="n">
        <v>59.415504</v>
      </c>
      <c r="F634" s="12" t="n">
        <v>17.563755</v>
      </c>
      <c r="G634" s="12" t="n">
        <v>81.448341</v>
      </c>
      <c r="H634" s="13">
        <f>100*B634/B$7</f>
        <v/>
      </c>
      <c r="I634" s="13">
        <f>100*C634/C$7</f>
        <v/>
      </c>
      <c r="J634" s="13">
        <f>100*D634/D$7</f>
        <v/>
      </c>
      <c r="K634" s="13">
        <f>100*E634/E$7</f>
        <v/>
      </c>
      <c r="L634" s="13">
        <f>100*F634/F$7</f>
        <v/>
      </c>
      <c r="M634" s="13">
        <f>100*G634/G$7</f>
        <v/>
      </c>
    </row>
    <row r="635">
      <c r="A635" s="11" t="n">
        <v>45806</v>
      </c>
      <c r="B635" s="12" t="n">
        <v>534.339966</v>
      </c>
      <c r="C635" s="12" t="n">
        <v>70.404419</v>
      </c>
      <c r="D635" s="12" t="n">
        <v>50.54771</v>
      </c>
      <c r="E635" s="12" t="n">
        <v>60.44244</v>
      </c>
      <c r="F635" s="12" t="n">
        <v>17.769072</v>
      </c>
      <c r="G635" s="12" t="n">
        <v>82.37752500000001</v>
      </c>
      <c r="H635" s="13">
        <f>100*B635/B$7</f>
        <v/>
      </c>
      <c r="I635" s="13">
        <f>100*C635/C$7</f>
        <v/>
      </c>
      <c r="J635" s="13">
        <f>100*D635/D$7</f>
        <v/>
      </c>
      <c r="K635" s="13">
        <f>100*E635/E$7</f>
        <v/>
      </c>
      <c r="L635" s="13">
        <f>100*F635/F$7</f>
        <v/>
      </c>
      <c r="M635" s="13">
        <f>100*G635/G$7</f>
        <v/>
      </c>
    </row>
    <row r="636">
      <c r="A636" s="11" t="n">
        <v>45807</v>
      </c>
      <c r="B636" s="12" t="n">
        <v>533.788269</v>
      </c>
      <c r="C636" s="12" t="n">
        <v>70.490013</v>
      </c>
      <c r="D636" s="12" t="n">
        <v>50.079235</v>
      </c>
      <c r="E636" s="12" t="n">
        <v>59.298141</v>
      </c>
      <c r="F636" s="12" t="n">
        <v>17.675745</v>
      </c>
      <c r="G636" s="12" t="n">
        <v>80.993439</v>
      </c>
      <c r="H636" s="13">
        <f>100*B636/B$7</f>
        <v/>
      </c>
      <c r="I636" s="13">
        <f>100*C636/C$7</f>
        <v/>
      </c>
      <c r="J636" s="13">
        <f>100*D636/D$7</f>
        <v/>
      </c>
      <c r="K636" s="13">
        <f>100*E636/E$7</f>
        <v/>
      </c>
      <c r="L636" s="13">
        <f>100*F636/F$7</f>
        <v/>
      </c>
      <c r="M636" s="13">
        <f>100*G636/G$7</f>
        <v/>
      </c>
    </row>
    <row r="637">
      <c r="A637" s="11" t="n">
        <v>45810</v>
      </c>
      <c r="B637" s="12" t="n">
        <v>536.891846</v>
      </c>
      <c r="C637" s="12" t="n">
        <v>71.36496</v>
      </c>
      <c r="D637" s="12" t="n">
        <v>50.519028</v>
      </c>
      <c r="E637" s="12" t="n">
        <v>60.383759</v>
      </c>
      <c r="F637" s="12" t="n">
        <v>17.899725</v>
      </c>
      <c r="G637" s="12" t="n">
        <v>81.564491</v>
      </c>
      <c r="H637" s="13">
        <f>100*B637/B$7</f>
        <v/>
      </c>
      <c r="I637" s="13">
        <f>100*C637/C$7</f>
        <v/>
      </c>
      <c r="J637" s="13">
        <f>100*D637/D$7</f>
        <v/>
      </c>
      <c r="K637" s="13">
        <f>100*E637/E$7</f>
        <v/>
      </c>
      <c r="L637" s="13">
        <f>100*F637/F$7</f>
        <v/>
      </c>
      <c r="M637" s="13">
        <f>100*G637/G$7</f>
        <v/>
      </c>
    </row>
    <row r="638">
      <c r="A638" s="11" t="n">
        <v>45811</v>
      </c>
      <c r="B638" s="12" t="n">
        <v>539.936401</v>
      </c>
      <c r="C638" s="12" t="n">
        <v>70.499527</v>
      </c>
      <c r="D638" s="12" t="n">
        <v>50.815414</v>
      </c>
      <c r="E638" s="12" t="n">
        <v>60.53046</v>
      </c>
      <c r="F638" s="12" t="n">
        <v>18.086374</v>
      </c>
      <c r="G638" s="12" t="n">
        <v>82.24202</v>
      </c>
      <c r="H638" s="13">
        <f>100*B638/B$7</f>
        <v/>
      </c>
      <c r="I638" s="13">
        <f>100*C638/C$7</f>
        <v/>
      </c>
      <c r="J638" s="13">
        <f>100*D638/D$7</f>
        <v/>
      </c>
      <c r="K638" s="13">
        <f>100*E638/E$7</f>
        <v/>
      </c>
      <c r="L638" s="13">
        <f>100*F638/F$7</f>
        <v/>
      </c>
      <c r="M638" s="13">
        <f>100*G638/G$7</f>
        <v/>
      </c>
    </row>
    <row r="639">
      <c r="A639" s="11" t="n">
        <v>45812</v>
      </c>
      <c r="B639" s="12" t="n">
        <v>539.591614</v>
      </c>
      <c r="C639" s="12" t="n">
        <v>70.451973</v>
      </c>
      <c r="D639" s="12" t="n">
        <v>51.589832</v>
      </c>
      <c r="E639" s="12" t="n">
        <v>62.574551</v>
      </c>
      <c r="F639" s="12" t="n">
        <v>18.133039</v>
      </c>
      <c r="G639" s="12" t="n">
        <v>83.771294</v>
      </c>
      <c r="H639" s="13">
        <f>100*B639/B$7</f>
        <v/>
      </c>
      <c r="I639" s="13">
        <f>100*C639/C$7</f>
        <v/>
      </c>
      <c r="J639" s="13">
        <f>100*D639/D$7</f>
        <v/>
      </c>
      <c r="K639" s="13">
        <f>100*E639/E$7</f>
        <v/>
      </c>
      <c r="L639" s="13">
        <f>100*F639/F$7</f>
        <v/>
      </c>
      <c r="M639" s="13">
        <f>100*G639/G$7</f>
        <v/>
      </c>
    </row>
    <row r="640">
      <c r="A640" s="11" t="n">
        <v>45813</v>
      </c>
      <c r="B640" s="12" t="n">
        <v>537.0692749999999</v>
      </c>
      <c r="C640" s="12" t="n">
        <v>69.79576900000001</v>
      </c>
      <c r="D640" s="12" t="n">
        <v>51.379498</v>
      </c>
      <c r="E640" s="12" t="n">
        <v>63.924236</v>
      </c>
      <c r="F640" s="12" t="n">
        <v>18.179701</v>
      </c>
      <c r="G640" s="12" t="n">
        <v>84.032616</v>
      </c>
      <c r="H640" s="13">
        <f>100*B640/B$7</f>
        <v/>
      </c>
      <c r="I640" s="13">
        <f>100*C640/C$7</f>
        <v/>
      </c>
      <c r="J640" s="13">
        <f>100*D640/D$7</f>
        <v/>
      </c>
      <c r="K640" s="13">
        <f>100*E640/E$7</f>
        <v/>
      </c>
      <c r="L640" s="13">
        <f>100*F640/F$7</f>
        <v/>
      </c>
      <c r="M640" s="13">
        <f>100*G640/G$7</f>
        <v/>
      </c>
    </row>
    <row r="641">
      <c r="A641" s="11" t="n">
        <v>45814</v>
      </c>
      <c r="B641" s="12" t="n">
        <v>542.557251</v>
      </c>
      <c r="C641" s="12" t="n">
        <v>70.204712</v>
      </c>
      <c r="D641" s="12" t="n">
        <v>51.733246</v>
      </c>
      <c r="E641" s="12" t="n">
        <v>64.129623</v>
      </c>
      <c r="F641" s="12" t="n">
        <v>18.245026</v>
      </c>
      <c r="G641" s="12" t="n">
        <v>84.003586</v>
      </c>
      <c r="H641" s="13">
        <f>100*B641/B$7</f>
        <v/>
      </c>
      <c r="I641" s="13">
        <f>100*C641/C$7</f>
        <v/>
      </c>
      <c r="J641" s="13">
        <f>100*D641/D$7</f>
        <v/>
      </c>
      <c r="K641" s="13">
        <f>100*E641/E$7</f>
        <v/>
      </c>
      <c r="L641" s="13">
        <f>100*F641/F$7</f>
        <v/>
      </c>
      <c r="M641" s="13">
        <f>100*G641/G$7</f>
        <v/>
      </c>
    </row>
    <row r="642">
      <c r="A642" s="11" t="n">
        <v>45817</v>
      </c>
      <c r="B642" s="12" t="n">
        <v>543.13855</v>
      </c>
      <c r="C642" s="12" t="n">
        <v>70.309326</v>
      </c>
      <c r="D642" s="12" t="n">
        <v>52.306889</v>
      </c>
      <c r="E642" s="12" t="n">
        <v>65.019638</v>
      </c>
      <c r="F642" s="12" t="n">
        <v>18.422346</v>
      </c>
      <c r="G642" s="12" t="n">
        <v>85.000519</v>
      </c>
      <c r="H642" s="13">
        <f>100*B642/B$7</f>
        <v/>
      </c>
      <c r="I642" s="13">
        <f>100*C642/C$7</f>
        <v/>
      </c>
      <c r="J642" s="13">
        <f>100*D642/D$7</f>
        <v/>
      </c>
      <c r="K642" s="13">
        <f>100*E642/E$7</f>
        <v/>
      </c>
      <c r="L642" s="13">
        <f>100*F642/F$7</f>
        <v/>
      </c>
      <c r="M642" s="13">
        <f>100*G642/G$7</f>
        <v/>
      </c>
    </row>
    <row r="643">
      <c r="A643" s="11" t="n">
        <v>45818</v>
      </c>
      <c r="B643" s="12" t="n">
        <v>546.232361</v>
      </c>
      <c r="C643" s="12" t="n">
        <v>70.26177199999999</v>
      </c>
      <c r="D643" s="12" t="n">
        <v>53.34901</v>
      </c>
      <c r="E643" s="12" t="n">
        <v>64.706665</v>
      </c>
      <c r="F643" s="12" t="n">
        <v>18.552998</v>
      </c>
      <c r="G643" s="12" t="n">
        <v>85.116669</v>
      </c>
      <c r="H643" s="13">
        <f>100*B643/B$7</f>
        <v/>
      </c>
      <c r="I643" s="13">
        <f>100*C643/C$7</f>
        <v/>
      </c>
      <c r="J643" s="13">
        <f>100*D643/D$7</f>
        <v/>
      </c>
      <c r="K643" s="13">
        <f>100*E643/E$7</f>
        <v/>
      </c>
      <c r="L643" s="13">
        <f>100*F643/F$7</f>
        <v/>
      </c>
      <c r="M643" s="13">
        <f>100*G643/G$7</f>
        <v/>
      </c>
    </row>
    <row r="644">
      <c r="A644" s="11" t="n">
        <v>45819</v>
      </c>
      <c r="B644" s="12" t="n">
        <v>544.7248540000001</v>
      </c>
      <c r="C644" s="12" t="n">
        <v>70.06205</v>
      </c>
      <c r="D644" s="12" t="n">
        <v>53.377697</v>
      </c>
      <c r="E644" s="12" t="n">
        <v>65.518433</v>
      </c>
      <c r="F644" s="12" t="n">
        <v>18.627661</v>
      </c>
      <c r="G644" s="12" t="n">
        <v>85.42639200000001</v>
      </c>
      <c r="H644" s="13">
        <f>100*B644/B$7</f>
        <v/>
      </c>
      <c r="I644" s="13">
        <f>100*C644/C$7</f>
        <v/>
      </c>
      <c r="J644" s="13">
        <f>100*D644/D$7</f>
        <v/>
      </c>
      <c r="K644" s="13">
        <f>100*E644/E$7</f>
        <v/>
      </c>
      <c r="L644" s="13">
        <f>100*F644/F$7</f>
        <v/>
      </c>
      <c r="M644" s="13">
        <f>100*G644/G$7</f>
        <v/>
      </c>
    </row>
    <row r="645">
      <c r="A645" s="11" t="n">
        <v>45820</v>
      </c>
      <c r="B645" s="12" t="n">
        <v>546.78418</v>
      </c>
      <c r="C645" s="12" t="n">
        <v>70.575615</v>
      </c>
      <c r="D645" s="12" t="n">
        <v>54.247726</v>
      </c>
      <c r="E645" s="12" t="n">
        <v>66.203056</v>
      </c>
      <c r="F645" s="12" t="n">
        <v>18.599663</v>
      </c>
      <c r="G645" s="12" t="n">
        <v>85.503815</v>
      </c>
      <c r="H645" s="13">
        <f>100*B645/B$7</f>
        <v/>
      </c>
      <c r="I645" s="13">
        <f>100*C645/C$7</f>
        <v/>
      </c>
      <c r="J645" s="13">
        <f>100*D645/D$7</f>
        <v/>
      </c>
      <c r="K645" s="13">
        <f>100*E645/E$7</f>
        <v/>
      </c>
      <c r="L645" s="13">
        <f>100*F645/F$7</f>
        <v/>
      </c>
      <c r="M645" s="13">
        <f>100*G645/G$7</f>
        <v/>
      </c>
    </row>
    <row r="646">
      <c r="A646" s="11" t="n">
        <v>45821</v>
      </c>
      <c r="B646" s="12" t="n">
        <v>540.695129</v>
      </c>
      <c r="C646" s="12" t="n">
        <v>69.99548299999999</v>
      </c>
      <c r="D646" s="12" t="n">
        <v>53.396816</v>
      </c>
      <c r="E646" s="12" t="n">
        <v>64.960953</v>
      </c>
      <c r="F646" s="12" t="n">
        <v>18.431679</v>
      </c>
      <c r="G646" s="12" t="n">
        <v>84.09069100000001</v>
      </c>
      <c r="H646" s="13">
        <f>100*B646/B$7</f>
        <v/>
      </c>
      <c r="I646" s="13">
        <f>100*C646/C$7</f>
        <v/>
      </c>
      <c r="J646" s="13">
        <f>100*D646/D$7</f>
        <v/>
      </c>
      <c r="K646" s="13">
        <f>100*E646/E$7</f>
        <v/>
      </c>
      <c r="L646" s="13">
        <f>100*F646/F$7</f>
        <v/>
      </c>
      <c r="M646" s="13">
        <f>100*G646/G$7</f>
        <v/>
      </c>
    </row>
    <row r="647">
      <c r="A647" s="11" t="n">
        <v>45824</v>
      </c>
      <c r="B647" s="12" t="n">
        <v>545.917114</v>
      </c>
      <c r="C647" s="12" t="n">
        <v>70.130669</v>
      </c>
      <c r="D647" s="12" t="n">
        <v>53.980022</v>
      </c>
      <c r="E647" s="12" t="n">
        <v>66.69207</v>
      </c>
      <c r="F647" s="12" t="n">
        <v>18.697699</v>
      </c>
      <c r="G647" s="12" t="n">
        <v>85.07795</v>
      </c>
      <c r="H647" s="13">
        <f>100*B647/B$7</f>
        <v/>
      </c>
      <c r="I647" s="13">
        <f>100*C647/C$7</f>
        <v/>
      </c>
      <c r="J647" s="13">
        <f>100*D647/D$7</f>
        <v/>
      </c>
      <c r="K647" s="13">
        <f>100*E647/E$7</f>
        <v/>
      </c>
      <c r="L647" s="13">
        <f>100*F647/F$7</f>
        <v/>
      </c>
      <c r="M647" s="13">
        <f>100*G647/G$7</f>
        <v/>
      </c>
    </row>
    <row r="648">
      <c r="A648" s="11" t="n">
        <v>45825</v>
      </c>
      <c r="B648" s="12" t="n">
        <v>541.266541</v>
      </c>
      <c r="C648" s="12" t="n">
        <v>69.29657</v>
      </c>
      <c r="D648" s="12" t="n">
        <v>53.205601</v>
      </c>
      <c r="E648" s="12" t="n">
        <v>65.166336</v>
      </c>
      <c r="F648" s="12" t="n">
        <v>18.487932</v>
      </c>
      <c r="G648" s="12" t="n">
        <v>84.32299</v>
      </c>
      <c r="H648" s="13">
        <f>100*B648/B$7</f>
        <v/>
      </c>
      <c r="I648" s="13">
        <f>100*C648/C$7</f>
        <v/>
      </c>
      <c r="J648" s="13">
        <f>100*D648/D$7</f>
        <v/>
      </c>
      <c r="K648" s="13">
        <f>100*E648/E$7</f>
        <v/>
      </c>
      <c r="L648" s="13">
        <f>100*F648/F$7</f>
        <v/>
      </c>
      <c r="M648" s="13">
        <f>100*G648/G$7</f>
        <v/>
      </c>
    </row>
    <row r="649">
      <c r="A649" s="11" t="n">
        <v>45826</v>
      </c>
      <c r="B649" s="12" t="n">
        <v>541.158203</v>
      </c>
      <c r="C649" s="12" t="n">
        <v>70.03479</v>
      </c>
      <c r="D649" s="12" t="n">
        <v>53.568909</v>
      </c>
      <c r="E649" s="12" t="n">
        <v>66.379105</v>
      </c>
      <c r="F649" s="12" t="n">
        <v>18.325842</v>
      </c>
      <c r="G649" s="12" t="n">
        <v>83.57770499999999</v>
      </c>
      <c r="H649" s="13">
        <f>100*B649/B$7</f>
        <v/>
      </c>
      <c r="I649" s="13">
        <f>100*C649/C$7</f>
        <v/>
      </c>
      <c r="J649" s="13">
        <f>100*D649/D$7</f>
        <v/>
      </c>
      <c r="K649" s="13">
        <f>100*E649/E$7</f>
        <v/>
      </c>
      <c r="L649" s="13">
        <f>100*F649/F$7</f>
        <v/>
      </c>
      <c r="M649" s="13">
        <f>100*G649/G$7</f>
        <v/>
      </c>
    </row>
    <row r="650">
      <c r="A650" s="11" t="n">
        <v>45827</v>
      </c>
      <c r="B650" s="12" t="n">
        <v>541.158203</v>
      </c>
      <c r="C650" s="12" t="n">
        <v>70.03479</v>
      </c>
      <c r="D650" s="12" t="n">
        <v>53.568909</v>
      </c>
      <c r="E650" s="12" t="n">
        <v>66.379105</v>
      </c>
      <c r="F650" s="12" t="n">
        <v>18.325842</v>
      </c>
      <c r="G650" s="12" t="n">
        <v>83.57770499999999</v>
      </c>
      <c r="H650" s="13">
        <f>100*B650/B$7</f>
        <v/>
      </c>
      <c r="I650" s="13">
        <f>100*C650/C$7</f>
        <v/>
      </c>
      <c r="J650" s="13">
        <f>100*D650/D$7</f>
        <v/>
      </c>
      <c r="K650" s="13">
        <f>100*E650/E$7</f>
        <v/>
      </c>
      <c r="L650" s="13">
        <f>100*F650/F$7</f>
        <v/>
      </c>
      <c r="M650" s="13">
        <f>100*G650/G$7</f>
        <v/>
      </c>
    </row>
    <row r="651">
      <c r="A651" s="11" t="n">
        <v>45828</v>
      </c>
      <c r="B651" s="12" t="n">
        <v>539.6604610000001</v>
      </c>
      <c r="C651" s="12" t="n">
        <v>68.798035</v>
      </c>
      <c r="D651" s="12" t="n">
        <v>52.431179</v>
      </c>
      <c r="E651" s="12" t="n">
        <v>67.024597</v>
      </c>
      <c r="F651" s="12" t="n">
        <v>18.116077</v>
      </c>
      <c r="G651" s="12" t="n">
        <v>82.81307200000001</v>
      </c>
      <c r="H651" s="13">
        <f>100*B651/B$7</f>
        <v/>
      </c>
      <c r="I651" s="13">
        <f>100*C651/C$7</f>
        <v/>
      </c>
      <c r="J651" s="13">
        <f>100*D651/D$7</f>
        <v/>
      </c>
      <c r="K651" s="13">
        <f>100*E651/E$7</f>
        <v/>
      </c>
      <c r="L651" s="13">
        <f>100*F651/F$7</f>
        <v/>
      </c>
      <c r="M651" s="13">
        <f>100*G651/G$7</f>
        <v/>
      </c>
    </row>
    <row r="652">
      <c r="A652" s="11" t="n">
        <v>45831</v>
      </c>
      <c r="B652" s="12" t="n">
        <v>545.21759</v>
      </c>
      <c r="C652" s="12" t="n">
        <v>69.047302</v>
      </c>
      <c r="D652" s="12" t="n">
        <v>52.756245</v>
      </c>
      <c r="E652" s="12" t="n">
        <v>67.89505</v>
      </c>
      <c r="F652" s="12" t="n">
        <v>18.468864</v>
      </c>
      <c r="G652" s="12" t="n">
        <v>83.911919</v>
      </c>
      <c r="H652" s="13">
        <f>100*B652/B$7</f>
        <v/>
      </c>
      <c r="I652" s="13">
        <f>100*C652/C$7</f>
        <v/>
      </c>
      <c r="J652" s="13">
        <f>100*D652/D$7</f>
        <v/>
      </c>
      <c r="K652" s="13">
        <f>100*E652/E$7</f>
        <v/>
      </c>
      <c r="L652" s="13">
        <f>100*F652/F$7</f>
        <v/>
      </c>
      <c r="M652" s="13">
        <f>100*G652/G$7</f>
        <v/>
      </c>
    </row>
    <row r="653">
      <c r="A653" s="11" t="n">
        <v>45832</v>
      </c>
      <c r="B653" s="12" t="n">
        <v>551.208069</v>
      </c>
      <c r="C653" s="12" t="n">
        <v>69.737587</v>
      </c>
      <c r="D653" s="12" t="n">
        <v>54.324207</v>
      </c>
      <c r="E653" s="12" t="n">
        <v>71.05410000000001</v>
      </c>
      <c r="F653" s="12" t="n">
        <v>18.974207</v>
      </c>
      <c r="G653" s="12" t="n">
        <v>86.017555</v>
      </c>
      <c r="H653" s="13">
        <f>100*B653/B$7</f>
        <v/>
      </c>
      <c r="I653" s="13">
        <f>100*C653/C$7</f>
        <v/>
      </c>
      <c r="J653" s="13">
        <f>100*D653/D$7</f>
        <v/>
      </c>
      <c r="K653" s="13">
        <f>100*E653/E$7</f>
        <v/>
      </c>
      <c r="L653" s="13">
        <f>100*F653/F$7</f>
        <v/>
      </c>
      <c r="M653" s="13">
        <f>100*G653/G$7</f>
        <v/>
      </c>
    </row>
    <row r="654">
      <c r="A654" s="11" t="n">
        <v>45833</v>
      </c>
      <c r="B654" s="12" t="n">
        <v>551.4839480000001</v>
      </c>
      <c r="C654" s="12" t="n">
        <v>69.449966</v>
      </c>
      <c r="D654" s="12" t="n">
        <v>54.792686</v>
      </c>
      <c r="E654" s="12" t="n">
        <v>70.78025100000001</v>
      </c>
      <c r="F654" s="12" t="n">
        <v>19.126764</v>
      </c>
      <c r="G654" s="12" t="n">
        <v>86.007751</v>
      </c>
      <c r="H654" s="13">
        <f>100*B654/B$7</f>
        <v/>
      </c>
      <c r="I654" s="13">
        <f>100*C654/C$7</f>
        <v/>
      </c>
      <c r="J654" s="13">
        <f>100*D654/D$7</f>
        <v/>
      </c>
      <c r="K654" s="13">
        <f>100*E654/E$7</f>
        <v/>
      </c>
      <c r="L654" s="13">
        <f>100*F654/F$7</f>
        <v/>
      </c>
      <c r="M654" s="13">
        <f>100*G654/G$7</f>
        <v/>
      </c>
    </row>
    <row r="655">
      <c r="A655" s="11" t="n">
        <v>45834</v>
      </c>
      <c r="B655" s="12" t="n">
        <v>555.848755</v>
      </c>
      <c r="C655" s="12" t="n">
        <v>70.91681699999999</v>
      </c>
      <c r="D655" s="12" t="n">
        <v>55.308964</v>
      </c>
      <c r="E655" s="12" t="n">
        <v>70.359695</v>
      </c>
      <c r="F655" s="12" t="n">
        <v>18.993277</v>
      </c>
      <c r="G655" s="12" t="n">
        <v>86.027344</v>
      </c>
      <c r="H655" s="13">
        <f>100*B655/B$7</f>
        <v/>
      </c>
      <c r="I655" s="13">
        <f>100*C655/C$7</f>
        <v/>
      </c>
      <c r="J655" s="13">
        <f>100*D655/D$7</f>
        <v/>
      </c>
      <c r="K655" s="13">
        <f>100*E655/E$7</f>
        <v/>
      </c>
      <c r="L655" s="13">
        <f>100*F655/F$7</f>
        <v/>
      </c>
      <c r="M655" s="13">
        <f>100*G655/G$7</f>
        <v/>
      </c>
    </row>
    <row r="656">
      <c r="A656" s="11" t="n">
        <v>45835</v>
      </c>
      <c r="B656" s="12" t="n">
        <v>558.607666</v>
      </c>
      <c r="C656" s="12" t="n">
        <v>72.17274500000001</v>
      </c>
      <c r="D656" s="12" t="n">
        <v>55.308964</v>
      </c>
      <c r="E656" s="12" t="n">
        <v>69.18604999999999</v>
      </c>
      <c r="F656" s="12" t="n">
        <v>18.983742</v>
      </c>
      <c r="G656" s="12" t="n">
        <v>85.58663199999999</v>
      </c>
      <c r="H656" s="13">
        <f>100*B656/B$7</f>
        <v/>
      </c>
      <c r="I656" s="13">
        <f>100*C656/C$7</f>
        <v/>
      </c>
      <c r="J656" s="13">
        <f>100*D656/D$7</f>
        <v/>
      </c>
      <c r="K656" s="13">
        <f>100*E656/E$7</f>
        <v/>
      </c>
      <c r="L656" s="13">
        <f>100*F656/F$7</f>
        <v/>
      </c>
      <c r="M656" s="13">
        <f>100*G656/G$7</f>
        <v/>
      </c>
    </row>
    <row r="657">
      <c r="A657" s="11" t="n">
        <v>45838</v>
      </c>
      <c r="B657" s="12" t="n">
        <v>561.399597</v>
      </c>
      <c r="C657" s="12" t="n">
        <v>71.875542</v>
      </c>
      <c r="D657" s="12" t="n">
        <v>54.878735</v>
      </c>
      <c r="E657" s="12" t="n">
        <v>70.203209</v>
      </c>
      <c r="F657" s="12" t="n">
        <v>18.936068</v>
      </c>
      <c r="G657" s="12" t="n">
        <v>85.743332</v>
      </c>
      <c r="H657" s="13">
        <f>100*B657/B$7</f>
        <v/>
      </c>
      <c r="I657" s="13">
        <f>100*C657/C$7</f>
        <v/>
      </c>
      <c r="J657" s="13">
        <f>100*D657/D$7</f>
        <v/>
      </c>
      <c r="K657" s="13">
        <f>100*E657/E$7</f>
        <v/>
      </c>
      <c r="L657" s="13">
        <f>100*F657/F$7</f>
        <v/>
      </c>
      <c r="M657" s="13">
        <f>100*G657/G$7</f>
        <v/>
      </c>
    </row>
    <row r="658">
      <c r="A658" s="11" t="n">
        <v>45839</v>
      </c>
      <c r="B658" s="12" t="n">
        <v>561.142578</v>
      </c>
      <c r="C658" s="12" t="n">
        <v>71.34824399999999</v>
      </c>
      <c r="D658" s="12" t="n">
        <v>55.050827</v>
      </c>
      <c r="E658" s="12" t="n">
        <v>70.066284</v>
      </c>
      <c r="F658" s="12" t="n">
        <v>18.983742</v>
      </c>
      <c r="G658" s="12" t="n">
        <v>85.929405</v>
      </c>
      <c r="H658" s="13">
        <f>100*B658/B$7</f>
        <v/>
      </c>
      <c r="I658" s="13">
        <f>100*C658/C$7</f>
        <v/>
      </c>
      <c r="J658" s="13">
        <f>100*D658/D$7</f>
        <v/>
      </c>
      <c r="K658" s="13">
        <f>100*E658/E$7</f>
        <v/>
      </c>
      <c r="L658" s="13">
        <f>100*F658/F$7</f>
        <v/>
      </c>
      <c r="M658" s="13">
        <f>100*G658/G$7</f>
        <v/>
      </c>
    </row>
    <row r="659">
      <c r="A659" s="11" t="n">
        <v>45840</v>
      </c>
      <c r="B659" s="12" t="n">
        <v>563.633179</v>
      </c>
      <c r="C659" s="12" t="n">
        <v>71.386589</v>
      </c>
      <c r="D659" s="12" t="n">
        <v>56.169434</v>
      </c>
      <c r="E659" s="12" t="n">
        <v>70.369469</v>
      </c>
      <c r="F659" s="12" t="n">
        <v>19.174438</v>
      </c>
      <c r="G659" s="12" t="n">
        <v>85.449516</v>
      </c>
      <c r="H659" s="13">
        <f>100*B659/B$7</f>
        <v/>
      </c>
      <c r="I659" s="13">
        <f>100*C659/C$7</f>
        <v/>
      </c>
      <c r="J659" s="13">
        <f>100*D659/D$7</f>
        <v/>
      </c>
      <c r="K659" s="13">
        <f>100*E659/E$7</f>
        <v/>
      </c>
      <c r="L659" s="13">
        <f>100*F659/F$7</f>
        <v/>
      </c>
      <c r="M659" s="13">
        <f>100*G659/G$7</f>
        <v/>
      </c>
    </row>
    <row r="660">
      <c r="A660" s="11" t="n">
        <v>45841</v>
      </c>
      <c r="B660" s="12" t="n">
        <v>568.505615</v>
      </c>
      <c r="C660" s="12" t="n">
        <v>71.520805</v>
      </c>
      <c r="D660" s="12" t="n">
        <v>56.829124</v>
      </c>
      <c r="E660" s="12" t="n">
        <v>71.102997</v>
      </c>
      <c r="F660" s="12" t="n">
        <v>19.231646</v>
      </c>
      <c r="G660" s="12" t="n">
        <v>85.322205</v>
      </c>
      <c r="H660" s="13">
        <f>100*B660/B$7</f>
        <v/>
      </c>
      <c r="I660" s="13">
        <f>100*C660/C$7</f>
        <v/>
      </c>
      <c r="J660" s="13">
        <f>100*D660/D$7</f>
        <v/>
      </c>
      <c r="K660" s="13">
        <f>100*E660/E$7</f>
        <v/>
      </c>
      <c r="L660" s="13">
        <f>100*F660/F$7</f>
        <v/>
      </c>
      <c r="M660" s="13">
        <f>100*G660/G$7</f>
        <v/>
      </c>
    </row>
    <row r="661">
      <c r="A661" s="11" t="n">
        <v>45842</v>
      </c>
      <c r="B661" s="12" t="n">
        <v>568.505615</v>
      </c>
      <c r="C661" s="12" t="n">
        <v>71.520805</v>
      </c>
      <c r="D661" s="12" t="n">
        <v>56.829124</v>
      </c>
      <c r="E661" s="12" t="n">
        <v>71.102997</v>
      </c>
      <c r="F661" s="12" t="n">
        <v>19.231646</v>
      </c>
      <c r="G661" s="12" t="n">
        <v>85.322205</v>
      </c>
      <c r="H661" s="13">
        <f>100*B661/B$7</f>
        <v/>
      </c>
      <c r="I661" s="13">
        <f>100*C661/C$7</f>
        <v/>
      </c>
      <c r="J661" s="13">
        <f>100*D661/D$7</f>
        <v/>
      </c>
      <c r="K661" s="13">
        <f>100*E661/E$7</f>
        <v/>
      </c>
      <c r="L661" s="13">
        <f>100*F661/F$7</f>
        <v/>
      </c>
      <c r="M661" s="13">
        <f>100*G661/G$7</f>
        <v/>
      </c>
    </row>
    <row r="662">
      <c r="A662" s="11" t="n">
        <v>45845</v>
      </c>
      <c r="B662" s="12" t="n">
        <v>563.949463</v>
      </c>
      <c r="C662" s="12" t="n">
        <v>69.814278</v>
      </c>
      <c r="D662" s="12" t="n">
        <v>55.098633</v>
      </c>
      <c r="E662" s="12" t="n">
        <v>68.53076900000001</v>
      </c>
      <c r="F662" s="12" t="n">
        <v>18.897928</v>
      </c>
      <c r="G662" s="12" t="n">
        <v>85.302612</v>
      </c>
      <c r="H662" s="13">
        <f>100*B662/B$7</f>
        <v/>
      </c>
      <c r="I662" s="13">
        <f>100*C662/C$7</f>
        <v/>
      </c>
      <c r="J662" s="13">
        <f>100*D662/D$7</f>
        <v/>
      </c>
      <c r="K662" s="13">
        <f>100*E662/E$7</f>
        <v/>
      </c>
      <c r="L662" s="13">
        <f>100*F662/F$7</f>
        <v/>
      </c>
      <c r="M662" s="13">
        <f>100*G662/G$7</f>
        <v/>
      </c>
    </row>
    <row r="663">
      <c r="A663" s="11" t="n">
        <v>45846</v>
      </c>
      <c r="B663" s="12" t="n">
        <v>563.573853</v>
      </c>
      <c r="C663" s="12" t="n">
        <v>70.169014</v>
      </c>
      <c r="D663" s="12" t="n">
        <v>55.127312</v>
      </c>
      <c r="E663" s="12" t="n">
        <v>70.49661999999999</v>
      </c>
      <c r="F663" s="12" t="n">
        <v>18.983742</v>
      </c>
      <c r="G663" s="12" t="n">
        <v>86.135071</v>
      </c>
      <c r="H663" s="13">
        <f>100*B663/B$7</f>
        <v/>
      </c>
      <c r="I663" s="13">
        <f>100*C663/C$7</f>
        <v/>
      </c>
      <c r="J663" s="13">
        <f>100*D663/D$7</f>
        <v/>
      </c>
      <c r="K663" s="13">
        <f>100*E663/E$7</f>
        <v/>
      </c>
      <c r="L663" s="13">
        <f>100*F663/F$7</f>
        <v/>
      </c>
      <c r="M663" s="13">
        <f>100*G663/G$7</f>
        <v/>
      </c>
    </row>
    <row r="664">
      <c r="A664" s="11" t="n">
        <v>45847</v>
      </c>
      <c r="B664" s="12" t="n">
        <v>566.914429</v>
      </c>
      <c r="C664" s="12" t="n">
        <v>70.274475</v>
      </c>
      <c r="D664" s="12" t="n">
        <v>55.48106</v>
      </c>
      <c r="E664" s="12" t="n">
        <v>70.49661999999999</v>
      </c>
      <c r="F664" s="12" t="n">
        <v>19.002811</v>
      </c>
      <c r="G664" s="12" t="n">
        <v>85.48870100000001</v>
      </c>
      <c r="H664" s="13">
        <f>100*B664/B$7</f>
        <v/>
      </c>
      <c r="I664" s="13">
        <f>100*C664/C$7</f>
        <v/>
      </c>
      <c r="J664" s="13">
        <f>100*D664/D$7</f>
        <v/>
      </c>
      <c r="K664" s="13">
        <f>100*E664/E$7</f>
        <v/>
      </c>
      <c r="L664" s="13">
        <f>100*F664/F$7</f>
        <v/>
      </c>
      <c r="M664" s="13">
        <f>100*G664/G$7</f>
        <v/>
      </c>
    </row>
    <row r="665">
      <c r="A665" s="11" t="n">
        <v>45848</v>
      </c>
      <c r="B665" s="12" t="n">
        <v>568.57489</v>
      </c>
      <c r="C665" s="12" t="n">
        <v>69.929329</v>
      </c>
      <c r="D665" s="12" t="n">
        <v>55.815689</v>
      </c>
      <c r="E665" s="12" t="n">
        <v>71.533333</v>
      </c>
      <c r="F665" s="12" t="n">
        <v>19.012348</v>
      </c>
      <c r="G665" s="12" t="n">
        <v>86.095901</v>
      </c>
      <c r="H665" s="13">
        <f>100*B665/B$7</f>
        <v/>
      </c>
      <c r="I665" s="13">
        <f>100*C665/C$7</f>
        <v/>
      </c>
      <c r="J665" s="13">
        <f>100*D665/D$7</f>
        <v/>
      </c>
      <c r="K665" s="13">
        <f>100*E665/E$7</f>
        <v/>
      </c>
      <c r="L665" s="13">
        <f>100*F665/F$7</f>
        <v/>
      </c>
      <c r="M665" s="13">
        <f>100*G665/G$7</f>
        <v/>
      </c>
    </row>
    <row r="666">
      <c r="A666" s="11" t="n">
        <v>45849</v>
      </c>
      <c r="B666" s="12" t="n">
        <v>566.529053</v>
      </c>
      <c r="C666" s="12" t="n">
        <v>69.373268</v>
      </c>
      <c r="D666" s="12" t="n">
        <v>55.739201</v>
      </c>
      <c r="E666" s="12" t="n">
        <v>70.966072</v>
      </c>
      <c r="F666" s="12" t="n">
        <v>19.155367</v>
      </c>
      <c r="G666" s="12" t="n">
        <v>86.027344</v>
      </c>
      <c r="H666" s="13">
        <f>100*B666/B$7</f>
        <v/>
      </c>
      <c r="I666" s="13">
        <f>100*C666/C$7</f>
        <v/>
      </c>
      <c r="J666" s="13">
        <f>100*D666/D$7</f>
        <v/>
      </c>
      <c r="K666" s="13">
        <f>100*E666/E$7</f>
        <v/>
      </c>
      <c r="L666" s="13">
        <f>100*F666/F$7</f>
        <v/>
      </c>
      <c r="M666" s="13">
        <f>100*G666/G$7</f>
        <v/>
      </c>
    </row>
    <row r="667">
      <c r="A667" s="11" t="n">
        <v>45852</v>
      </c>
      <c r="B667" s="12" t="n">
        <v>567.645813</v>
      </c>
      <c r="C667" s="12" t="n">
        <v>69.421211</v>
      </c>
      <c r="D667" s="12" t="n">
        <v>55.270725</v>
      </c>
      <c r="E667" s="12" t="n">
        <v>71.59201</v>
      </c>
      <c r="F667" s="12" t="n">
        <v>19.174438</v>
      </c>
      <c r="G667" s="12" t="n">
        <v>86.78145600000001</v>
      </c>
      <c r="H667" s="13">
        <f>100*B667/B$7</f>
        <v/>
      </c>
      <c r="I667" s="13">
        <f>100*C667/C$7</f>
        <v/>
      </c>
      <c r="J667" s="13">
        <f>100*D667/D$7</f>
        <v/>
      </c>
      <c r="K667" s="13">
        <f>100*E667/E$7</f>
        <v/>
      </c>
      <c r="L667" s="13">
        <f>100*F667/F$7</f>
        <v/>
      </c>
      <c r="M667" s="13">
        <f>100*G667/G$7</f>
        <v/>
      </c>
    </row>
    <row r="668">
      <c r="A668" s="11" t="n">
        <v>45853</v>
      </c>
      <c r="B668" s="12" t="n">
        <v>565.184875</v>
      </c>
      <c r="C668" s="12" t="n">
        <v>68.73092699999999</v>
      </c>
      <c r="D668" s="12" t="n">
        <v>55.710518</v>
      </c>
      <c r="E668" s="12" t="n">
        <v>71.46487399999999</v>
      </c>
      <c r="F668" s="12" t="n">
        <v>19.155367</v>
      </c>
      <c r="G668" s="12" t="n">
        <v>88.270081</v>
      </c>
      <c r="H668" s="13">
        <f>100*B668/B$7</f>
        <v/>
      </c>
      <c r="I668" s="13">
        <f>100*C668/C$7</f>
        <v/>
      </c>
      <c r="J668" s="13">
        <f>100*D668/D$7</f>
        <v/>
      </c>
      <c r="K668" s="13">
        <f>100*E668/E$7</f>
        <v/>
      </c>
      <c r="L668" s="13">
        <f>100*F668/F$7</f>
        <v/>
      </c>
      <c r="M668" s="13">
        <f>100*G668/G$7</f>
        <v/>
      </c>
    </row>
    <row r="669">
      <c r="A669" s="11" t="n">
        <v>45854</v>
      </c>
      <c r="B669" s="12" t="n">
        <v>567.042908</v>
      </c>
      <c r="C669" s="12" t="n">
        <v>69.047302</v>
      </c>
      <c r="D669" s="12" t="n">
        <v>56.389332</v>
      </c>
      <c r="E669" s="12" t="n">
        <v>71.474655</v>
      </c>
      <c r="F669" s="12" t="n">
        <v>19.212576</v>
      </c>
      <c r="G669" s="12" t="n">
        <v>87.90772200000001</v>
      </c>
      <c r="H669" s="13">
        <f>100*B669/B$7</f>
        <v/>
      </c>
      <c r="I669" s="13">
        <f>100*C669/C$7</f>
        <v/>
      </c>
      <c r="J669" s="13">
        <f>100*D669/D$7</f>
        <v/>
      </c>
      <c r="K669" s="13">
        <f>100*E669/E$7</f>
        <v/>
      </c>
      <c r="L669" s="13">
        <f>100*F669/F$7</f>
        <v/>
      </c>
      <c r="M669" s="13">
        <f>100*G669/G$7</f>
        <v/>
      </c>
    </row>
    <row r="670">
      <c r="A670" s="11" t="n">
        <v>45855</v>
      </c>
      <c r="B670" s="12" t="n">
        <v>570.442749</v>
      </c>
      <c r="C670" s="12" t="n">
        <v>69.40203099999999</v>
      </c>
      <c r="D670" s="12" t="n">
        <v>56.867371</v>
      </c>
      <c r="E670" s="12" t="n">
        <v>71.45508599999999</v>
      </c>
      <c r="F670" s="12" t="n">
        <v>19.317459</v>
      </c>
      <c r="G670" s="12" t="n">
        <v>88.622658</v>
      </c>
      <c r="H670" s="13">
        <f>100*B670/B$7</f>
        <v/>
      </c>
      <c r="I670" s="13">
        <f>100*C670/C$7</f>
        <v/>
      </c>
      <c r="J670" s="13">
        <f>100*D670/D$7</f>
        <v/>
      </c>
      <c r="K670" s="13">
        <f>100*E670/E$7</f>
        <v/>
      </c>
      <c r="L670" s="13">
        <f>100*F670/F$7</f>
        <v/>
      </c>
      <c r="M670" s="13">
        <f>100*G670/G$7</f>
        <v/>
      </c>
    </row>
    <row r="671">
      <c r="A671" s="11" t="n">
        <v>45856</v>
      </c>
      <c r="B671" s="12" t="n">
        <v>570.185791</v>
      </c>
      <c r="C671" s="12" t="n">
        <v>68.84596999999999</v>
      </c>
      <c r="D671" s="12" t="n">
        <v>56.637913</v>
      </c>
      <c r="E671" s="12" t="n">
        <v>70.799812</v>
      </c>
      <c r="F671" s="12" t="n">
        <v>19.365131</v>
      </c>
      <c r="G671" s="12" t="n">
        <v>89.37676999999999</v>
      </c>
      <c r="H671" s="13">
        <f>100*B671/B$7</f>
        <v/>
      </c>
      <c r="I671" s="13">
        <f>100*C671/C$7</f>
        <v/>
      </c>
      <c r="J671" s="13">
        <f>100*D671/D$7</f>
        <v/>
      </c>
      <c r="K671" s="13">
        <f>100*E671/E$7</f>
        <v/>
      </c>
      <c r="L671" s="13">
        <f>100*F671/F$7</f>
        <v/>
      </c>
      <c r="M671" s="13">
        <f>100*G671/G$7</f>
        <v/>
      </c>
    </row>
    <row r="672">
      <c r="A672" s="11" t="n">
        <v>45859</v>
      </c>
      <c r="B672" s="12" t="n">
        <v>571.203857</v>
      </c>
      <c r="C672" s="12" t="n">
        <v>69.612953</v>
      </c>
      <c r="D672" s="12" t="n">
        <v>56.75264</v>
      </c>
      <c r="E672" s="12" t="n">
        <v>72.247299</v>
      </c>
      <c r="F672" s="12" t="n">
        <v>19.517689</v>
      </c>
      <c r="G672" s="12" t="n">
        <v>90.052528</v>
      </c>
      <c r="H672" s="13">
        <f>100*B672/B$7</f>
        <v/>
      </c>
      <c r="I672" s="13">
        <f>100*C672/C$7</f>
        <v/>
      </c>
      <c r="J672" s="13">
        <f>100*D672/D$7</f>
        <v/>
      </c>
      <c r="K672" s="13">
        <f>100*E672/E$7</f>
        <v/>
      </c>
      <c r="L672" s="13">
        <f>100*F672/F$7</f>
        <v/>
      </c>
      <c r="M672" s="13">
        <f>100*G672/G$7</f>
        <v/>
      </c>
    </row>
    <row r="673">
      <c r="A673" s="11" t="n">
        <v>45860</v>
      </c>
      <c r="B673" s="12" t="n">
        <v>571.203857</v>
      </c>
      <c r="C673" s="12" t="n">
        <v>69.967682</v>
      </c>
      <c r="D673" s="12" t="n">
        <v>56.140755</v>
      </c>
      <c r="E673" s="12" t="n">
        <v>71.288826</v>
      </c>
      <c r="F673" s="12" t="n">
        <v>19.803734</v>
      </c>
      <c r="G673" s="12" t="n">
        <v>91.20817599999999</v>
      </c>
      <c r="H673" s="13">
        <f>100*B673/B$7</f>
        <v/>
      </c>
      <c r="I673" s="13">
        <f>100*C673/C$7</f>
        <v/>
      </c>
      <c r="J673" s="13">
        <f>100*D673/D$7</f>
        <v/>
      </c>
      <c r="K673" s="13">
        <f>100*E673/E$7</f>
        <v/>
      </c>
      <c r="L673" s="13">
        <f>100*F673/F$7</f>
        <v/>
      </c>
      <c r="M673" s="13">
        <f>100*G673/G$7</f>
        <v/>
      </c>
    </row>
    <row r="674">
      <c r="A674" s="11" t="n">
        <v>45861</v>
      </c>
      <c r="B674" s="12" t="n">
        <v>576.056519</v>
      </c>
      <c r="C674" s="12" t="n">
        <v>73.332802</v>
      </c>
      <c r="D674" s="12" t="n">
        <v>57.173313</v>
      </c>
      <c r="E674" s="12" t="n">
        <v>72.227737</v>
      </c>
      <c r="F674" s="12" t="n">
        <v>19.841871</v>
      </c>
      <c r="G674" s="12" t="n">
        <v>91.815392</v>
      </c>
      <c r="H674" s="13">
        <f>100*B674/B$7</f>
        <v/>
      </c>
      <c r="I674" s="13">
        <f>100*C674/C$7</f>
        <v/>
      </c>
      <c r="J674" s="13">
        <f>100*D674/D$7</f>
        <v/>
      </c>
      <c r="K674" s="13">
        <f>100*E674/E$7</f>
        <v/>
      </c>
      <c r="L674" s="13">
        <f>100*F674/F$7</f>
        <v/>
      </c>
      <c r="M674" s="13">
        <f>100*G674/G$7</f>
        <v/>
      </c>
    </row>
    <row r="675">
      <c r="A675" s="11" t="n">
        <v>45862</v>
      </c>
      <c r="B675" s="12" t="n">
        <v>576.4518430000001</v>
      </c>
      <c r="C675" s="12" t="n">
        <v>73.390327</v>
      </c>
      <c r="D675" s="12" t="n">
        <v>56.781322</v>
      </c>
      <c r="E675" s="12" t="n">
        <v>71.6996</v>
      </c>
      <c r="F675" s="12" t="n">
        <v>19.908615</v>
      </c>
      <c r="G675" s="12" t="n">
        <v>91.972084</v>
      </c>
      <c r="H675" s="13">
        <f>100*B675/B$7</f>
        <v/>
      </c>
      <c r="I675" s="13">
        <f>100*C675/C$7</f>
        <v/>
      </c>
      <c r="J675" s="13">
        <f>100*D675/D$7</f>
        <v/>
      </c>
      <c r="K675" s="13">
        <f>100*E675/E$7</f>
        <v/>
      </c>
      <c r="L675" s="13">
        <f>100*F675/F$7</f>
        <v/>
      </c>
      <c r="M675" s="13">
        <f>100*G675/G$7</f>
        <v/>
      </c>
    </row>
    <row r="676">
      <c r="A676" s="11" t="n">
        <v>45863</v>
      </c>
      <c r="B676" s="12" t="n">
        <v>578.744751</v>
      </c>
      <c r="C676" s="12" t="n">
        <v>72.556236</v>
      </c>
      <c r="D676" s="12" t="n">
        <v>56.819565</v>
      </c>
      <c r="E676" s="12" t="n">
        <v>71.601799</v>
      </c>
      <c r="F676" s="12" t="n">
        <v>19.822803</v>
      </c>
      <c r="G676" s="12" t="n">
        <v>91.501991</v>
      </c>
      <c r="H676" s="13">
        <f>100*B676/B$7</f>
        <v/>
      </c>
      <c r="I676" s="13">
        <f>100*C676/C$7</f>
        <v/>
      </c>
      <c r="J676" s="13">
        <f>100*D676/D$7</f>
        <v/>
      </c>
      <c r="K676" s="13">
        <f>100*E676/E$7</f>
        <v/>
      </c>
      <c r="L676" s="13">
        <f>100*F676/F$7</f>
        <v/>
      </c>
      <c r="M676" s="13">
        <f>100*G676/G$7</f>
        <v/>
      </c>
    </row>
    <row r="677">
      <c r="A677" s="11" t="n">
        <v>45866</v>
      </c>
      <c r="B677" s="12" t="n">
        <v>578.606445</v>
      </c>
      <c r="C677" s="12" t="n">
        <v>71.20443</v>
      </c>
      <c r="D677" s="12" t="n">
        <v>56.46582</v>
      </c>
      <c r="E677" s="12" t="n">
        <v>71.11277800000001</v>
      </c>
      <c r="F677" s="12" t="n">
        <v>20.089775</v>
      </c>
      <c r="G677" s="12" t="n">
        <v>91.374672</v>
      </c>
      <c r="H677" s="13">
        <f>100*B677/B$7</f>
        <v/>
      </c>
      <c r="I677" s="13">
        <f>100*C677/C$7</f>
        <v/>
      </c>
      <c r="J677" s="13">
        <f>100*D677/D$7</f>
        <v/>
      </c>
      <c r="K677" s="13">
        <f>100*E677/E$7</f>
        <v/>
      </c>
      <c r="L677" s="13">
        <f>100*F677/F$7</f>
        <v/>
      </c>
      <c r="M677" s="13">
        <f>100*G677/G$7</f>
        <v/>
      </c>
    </row>
    <row r="678">
      <c r="A678" s="11" t="n">
        <v>45867</v>
      </c>
      <c r="B678" s="12" t="n">
        <v>577.104126</v>
      </c>
      <c r="C678" s="12" t="n">
        <v>70.830528</v>
      </c>
      <c r="D678" s="12" t="n">
        <v>56.045143</v>
      </c>
      <c r="E678" s="12" t="n">
        <v>71.875641</v>
      </c>
      <c r="F678" s="12" t="n">
        <v>20.204195</v>
      </c>
      <c r="G678" s="12" t="n">
        <v>91.34528400000001</v>
      </c>
      <c r="H678" s="13">
        <f>100*B678/B$7</f>
        <v/>
      </c>
      <c r="I678" s="13">
        <f>100*C678/C$7</f>
        <v/>
      </c>
      <c r="J678" s="13">
        <f>100*D678/D$7</f>
        <v/>
      </c>
      <c r="K678" s="13">
        <f>100*E678/E$7</f>
        <v/>
      </c>
      <c r="L678" s="13">
        <f>100*F678/F$7</f>
        <v/>
      </c>
      <c r="M678" s="13">
        <f>100*G678/G$7</f>
        <v/>
      </c>
    </row>
    <row r="679">
      <c r="A679" s="11" t="n">
        <v>45868</v>
      </c>
      <c r="B679" s="12" t="n">
        <v>576.402405</v>
      </c>
      <c r="C679" s="12" t="n">
        <v>70.926407</v>
      </c>
      <c r="D679" s="12" t="n">
        <v>55.787003</v>
      </c>
      <c r="E679" s="12" t="n">
        <v>72.06147</v>
      </c>
      <c r="F679" s="12" t="n">
        <v>19.965824</v>
      </c>
      <c r="G679" s="12" t="n">
        <v>90.365921</v>
      </c>
      <c r="H679" s="13">
        <f>100*B679/B$7</f>
        <v/>
      </c>
      <c r="I679" s="13">
        <f>100*C679/C$7</f>
        <v/>
      </c>
      <c r="J679" s="13">
        <f>100*D679/D$7</f>
        <v/>
      </c>
      <c r="K679" s="13">
        <f>100*E679/E$7</f>
        <v/>
      </c>
      <c r="L679" s="13">
        <f>100*F679/F$7</f>
        <v/>
      </c>
      <c r="M679" s="13">
        <f>100*G679/G$7</f>
        <v/>
      </c>
    </row>
    <row r="680">
      <c r="A680" s="11" t="n">
        <v>45869</v>
      </c>
      <c r="B680" s="12" t="n">
        <v>574.237976</v>
      </c>
      <c r="C680" s="12" t="n">
        <v>70.58126799999999</v>
      </c>
      <c r="D680" s="12" t="n">
        <v>55.796566</v>
      </c>
      <c r="E680" s="12" t="n">
        <v>71.210579</v>
      </c>
      <c r="F680" s="12" t="n">
        <v>19.73699</v>
      </c>
      <c r="G680" s="12" t="n">
        <v>89.611816</v>
      </c>
      <c r="H680" s="13">
        <f>100*B680/B$7</f>
        <v/>
      </c>
      <c r="I680" s="13">
        <f>100*C680/C$7</f>
        <v/>
      </c>
      <c r="J680" s="13">
        <f>100*D680/D$7</f>
        <v/>
      </c>
      <c r="K680" s="13">
        <f>100*E680/E$7</f>
        <v/>
      </c>
      <c r="L680" s="13">
        <f>100*F680/F$7</f>
        <v/>
      </c>
      <c r="M680" s="13">
        <f>100*G680/G$7</f>
        <v/>
      </c>
    </row>
    <row r="681">
      <c r="A681" s="11" t="n">
        <v>45870</v>
      </c>
      <c r="B681" s="12" t="n">
        <v>564.779663</v>
      </c>
      <c r="C681" s="12" t="n">
        <v>71.012688</v>
      </c>
      <c r="D681" s="12" t="n">
        <v>55.825249</v>
      </c>
      <c r="E681" s="12" t="n">
        <v>69.09802999999999</v>
      </c>
      <c r="F681" s="12" t="n">
        <v>19.384203</v>
      </c>
      <c r="G681" s="12" t="n">
        <v>88.34844200000001</v>
      </c>
      <c r="H681" s="13">
        <f>100*B681/B$7</f>
        <v/>
      </c>
      <c r="I681" s="13">
        <f>100*C681/C$7</f>
        <v/>
      </c>
      <c r="J681" s="13">
        <f>100*D681/D$7</f>
        <v/>
      </c>
      <c r="K681" s="13">
        <f>100*E681/E$7</f>
        <v/>
      </c>
      <c r="L681" s="13">
        <f>100*F681/F$7</f>
        <v/>
      </c>
      <c r="M681" s="13">
        <f>100*G681/G$7</f>
        <v/>
      </c>
    </row>
    <row r="682">
      <c r="A682" s="11" t="n">
        <v>45873</v>
      </c>
      <c r="B682" s="12" t="n">
        <v>573.3682250000001</v>
      </c>
      <c r="C682" s="12" t="n">
        <v>72.18233499999999</v>
      </c>
      <c r="D682" s="12" t="n">
        <v>56.255482</v>
      </c>
      <c r="E682" s="12" t="n">
        <v>70.74112700000001</v>
      </c>
      <c r="F682" s="12" t="n">
        <v>19.698851</v>
      </c>
      <c r="G682" s="12" t="n">
        <v>89.81749000000001</v>
      </c>
      <c r="H682" s="13">
        <f>100*B682/B$7</f>
        <v/>
      </c>
      <c r="I682" s="13">
        <f>100*C682/C$7</f>
        <v/>
      </c>
      <c r="J682" s="13">
        <f>100*D682/D$7</f>
        <v/>
      </c>
      <c r="K682" s="13">
        <f>100*E682/E$7</f>
        <v/>
      </c>
      <c r="L682" s="13">
        <f>100*F682/F$7</f>
        <v/>
      </c>
      <c r="M682" s="13">
        <f>100*G682/G$7</f>
        <v/>
      </c>
    </row>
    <row r="683">
      <c r="A683" s="11" t="n">
        <v>45874</v>
      </c>
      <c r="B683" s="12" t="n">
        <v>570.610779</v>
      </c>
      <c r="C683" s="12" t="n">
        <v>71.93306</v>
      </c>
      <c r="D683" s="12" t="n">
        <v>56.331966</v>
      </c>
      <c r="E683" s="12" t="n">
        <v>71.288826</v>
      </c>
      <c r="F683" s="12" t="n">
        <v>19.860941</v>
      </c>
      <c r="G683" s="12" t="n">
        <v>90.46386699999999</v>
      </c>
      <c r="H683" s="13">
        <f>100*B683/B$7</f>
        <v/>
      </c>
      <c r="I683" s="13">
        <f>100*C683/C$7</f>
        <v/>
      </c>
      <c r="J683" s="13">
        <f>100*D683/D$7</f>
        <v/>
      </c>
      <c r="K683" s="13">
        <f>100*E683/E$7</f>
        <v/>
      </c>
      <c r="L683" s="13">
        <f>100*F683/F$7</f>
        <v/>
      </c>
      <c r="M683" s="13">
        <f>100*G683/G$7</f>
        <v/>
      </c>
    </row>
    <row r="684">
      <c r="A684" s="11" t="n">
        <v>45875</v>
      </c>
      <c r="B684" s="12" t="n">
        <v>574.8507080000001</v>
      </c>
      <c r="C684" s="12" t="n">
        <v>72.891792</v>
      </c>
      <c r="D684" s="12" t="n">
        <v>56.542305</v>
      </c>
      <c r="E684" s="12" t="n">
        <v>71.572456</v>
      </c>
      <c r="F684" s="12" t="n">
        <v>19.851406</v>
      </c>
      <c r="G684" s="12" t="n">
        <v>91.23756400000001</v>
      </c>
      <c r="H684" s="13">
        <f>100*B684/B$7</f>
        <v/>
      </c>
      <c r="I684" s="13">
        <f>100*C684/C$7</f>
        <v/>
      </c>
      <c r="J684" s="13">
        <f>100*D684/D$7</f>
        <v/>
      </c>
      <c r="K684" s="13">
        <f>100*E684/E$7</f>
        <v/>
      </c>
      <c r="L684" s="13">
        <f>100*F684/F$7</f>
        <v/>
      </c>
      <c r="M684" s="13">
        <f>100*G684/G$7</f>
        <v/>
      </c>
    </row>
    <row r="685">
      <c r="A685" s="11" t="n">
        <v>45876</v>
      </c>
      <c r="B685" s="12" t="n">
        <v>574.504822</v>
      </c>
      <c r="C685" s="12" t="n">
        <v>73.457436</v>
      </c>
      <c r="D685" s="12" t="n">
        <v>57.708717</v>
      </c>
      <c r="E685" s="12" t="n">
        <v>71.82674400000001</v>
      </c>
      <c r="F685" s="12" t="n">
        <v>20.08024</v>
      </c>
      <c r="G685" s="12" t="n">
        <v>90.992729</v>
      </c>
      <c r="H685" s="13">
        <f>100*B685/B$7</f>
        <v/>
      </c>
      <c r="I685" s="13">
        <f>100*C685/C$7</f>
        <v/>
      </c>
      <c r="J685" s="13">
        <f>100*D685/D$7</f>
        <v/>
      </c>
      <c r="K685" s="13">
        <f>100*E685/E$7</f>
        <v/>
      </c>
      <c r="L685" s="13">
        <f>100*F685/F$7</f>
        <v/>
      </c>
      <c r="M685" s="13">
        <f>100*G685/G$7</f>
        <v/>
      </c>
    </row>
    <row r="686">
      <c r="A686" s="11" t="n">
        <v>45877</v>
      </c>
      <c r="B686" s="12" t="n">
        <v>578.9028929999999</v>
      </c>
      <c r="C686" s="12" t="n">
        <v>74.713364</v>
      </c>
      <c r="D686" s="12" t="n">
        <v>57.641792</v>
      </c>
      <c r="E686" s="12" t="n">
        <v>71.885429</v>
      </c>
      <c r="F686" s="12" t="n">
        <v>20.070705</v>
      </c>
      <c r="G686" s="12" t="n">
        <v>91.08086400000001</v>
      </c>
      <c r="H686" s="13">
        <f>100*B686/B$7</f>
        <v/>
      </c>
      <c r="I686" s="13">
        <f>100*C686/C$7</f>
        <v/>
      </c>
      <c r="J686" s="13">
        <f>100*D686/D$7</f>
        <v/>
      </c>
      <c r="K686" s="13">
        <f>100*E686/E$7</f>
        <v/>
      </c>
      <c r="L686" s="13">
        <f>100*F686/F$7</f>
        <v/>
      </c>
      <c r="M686" s="13">
        <f>100*G686/G$7</f>
        <v/>
      </c>
    </row>
    <row r="687">
      <c r="A687" s="11" t="n">
        <v>45880</v>
      </c>
      <c r="B687" s="12" t="n">
        <v>577.716858</v>
      </c>
      <c r="C687" s="12" t="n">
        <v>74.57914</v>
      </c>
      <c r="D687" s="12" t="n">
        <v>57.632229</v>
      </c>
      <c r="E687" s="12" t="n">
        <v>71.42575100000001</v>
      </c>
      <c r="F687" s="12" t="n">
        <v>20.013498</v>
      </c>
      <c r="G687" s="12" t="n">
        <v>90.600983</v>
      </c>
      <c r="H687" s="13">
        <f>100*B687/B$7</f>
        <v/>
      </c>
      <c r="I687" s="13">
        <f>100*C687/C$7</f>
        <v/>
      </c>
      <c r="J687" s="13">
        <f>100*D687/D$7</f>
        <v/>
      </c>
      <c r="K687" s="13">
        <f>100*E687/E$7</f>
        <v/>
      </c>
      <c r="L687" s="13">
        <f>100*F687/F$7</f>
        <v/>
      </c>
      <c r="M687" s="13">
        <f>100*G687/G$7</f>
        <v/>
      </c>
    </row>
    <row r="688">
      <c r="A688" s="11" t="n">
        <v>45881</v>
      </c>
      <c r="B688" s="12" t="n">
        <v>583.884033</v>
      </c>
      <c r="C688" s="12" t="n">
        <v>75.959709</v>
      </c>
      <c r="D688" s="12" t="n">
        <v>58.406651</v>
      </c>
      <c r="E688" s="12" t="n">
        <v>72.472244</v>
      </c>
      <c r="F688" s="12" t="n">
        <v>20.204195</v>
      </c>
      <c r="G688" s="12" t="n">
        <v>91.82518</v>
      </c>
      <c r="H688" s="13">
        <f>100*B688/B$7</f>
        <v/>
      </c>
      <c r="I688" s="13">
        <f>100*C688/C$7</f>
        <v/>
      </c>
      <c r="J688" s="13">
        <f>100*D688/D$7</f>
        <v/>
      </c>
      <c r="K688" s="13">
        <f>100*E688/E$7</f>
        <v/>
      </c>
      <c r="L688" s="13">
        <f>100*F688/F$7</f>
        <v/>
      </c>
      <c r="M688" s="13">
        <f>100*G688/G$7</f>
        <v/>
      </c>
    </row>
    <row r="689">
      <c r="A689" s="11" t="n">
        <v>45882</v>
      </c>
      <c r="B689" s="12" t="n">
        <v>585.919983</v>
      </c>
      <c r="C689" s="12" t="n">
        <v>75.99805499999999</v>
      </c>
      <c r="D689" s="12" t="n">
        <v>58.349285</v>
      </c>
      <c r="E689" s="12" t="n">
        <v>73.07862900000001</v>
      </c>
      <c r="F689" s="12" t="n">
        <v>20.55698</v>
      </c>
      <c r="G689" s="12" t="n">
        <v>94.27359800000001</v>
      </c>
      <c r="H689" s="13">
        <f>100*B689/B$7</f>
        <v/>
      </c>
      <c r="I689" s="13">
        <f>100*C689/C$7</f>
        <v/>
      </c>
      <c r="J689" s="13">
        <f>100*D689/D$7</f>
        <v/>
      </c>
      <c r="K689" s="13">
        <f>100*E689/E$7</f>
        <v/>
      </c>
      <c r="L689" s="13">
        <f>100*F689/F$7</f>
        <v/>
      </c>
      <c r="M689" s="13">
        <f>100*G689/G$7</f>
        <v/>
      </c>
    </row>
    <row r="690">
      <c r="A690" s="11" t="n">
        <v>45883</v>
      </c>
      <c r="B690" s="12" t="n">
        <v>585.92981</v>
      </c>
      <c r="C690" s="12" t="n">
        <v>75.547455</v>
      </c>
      <c r="D690" s="12" t="n">
        <v>57.985981</v>
      </c>
      <c r="E690" s="12" t="n">
        <v>72.041916</v>
      </c>
      <c r="F690" s="12" t="n">
        <v>20.385353</v>
      </c>
      <c r="G690" s="12" t="n">
        <v>92.451973</v>
      </c>
      <c r="H690" s="13">
        <f>100*B690/B$7</f>
        <v/>
      </c>
      <c r="I690" s="13">
        <f>100*C690/C$7</f>
        <v/>
      </c>
      <c r="J690" s="13">
        <f>100*D690/D$7</f>
        <v/>
      </c>
      <c r="K690" s="13">
        <f>100*E690/E$7</f>
        <v/>
      </c>
      <c r="L690" s="13">
        <f>100*F690/F$7</f>
        <v/>
      </c>
      <c r="M690" s="13">
        <f>100*G690/G$7</f>
        <v/>
      </c>
    </row>
    <row r="691">
      <c r="A691" s="11" t="n">
        <v>45884</v>
      </c>
      <c r="B691" s="12" t="n">
        <v>584.664856</v>
      </c>
      <c r="C691" s="12" t="n">
        <v>76.841728</v>
      </c>
      <c r="D691" s="12" t="n">
        <v>57.766079</v>
      </c>
      <c r="E691" s="12" t="n">
        <v>71.77784</v>
      </c>
      <c r="F691" s="12" t="n">
        <v>20.204195</v>
      </c>
      <c r="G691" s="12" t="n">
        <v>93.28443900000001</v>
      </c>
      <c r="H691" s="13">
        <f>100*B691/B$7</f>
        <v/>
      </c>
      <c r="I691" s="13">
        <f>100*C691/C$7</f>
        <v/>
      </c>
      <c r="J691" s="13">
        <f>100*D691/D$7</f>
        <v/>
      </c>
      <c r="K691" s="13">
        <f>100*E691/E$7</f>
        <v/>
      </c>
      <c r="L691" s="13">
        <f>100*F691/F$7</f>
        <v/>
      </c>
      <c r="M691" s="13">
        <f>100*G691/G$7</f>
        <v/>
      </c>
    </row>
    <row r="692">
      <c r="A692" s="11" t="n">
        <v>45887</v>
      </c>
      <c r="B692" s="12" t="n">
        <v>584.457214</v>
      </c>
      <c r="C692" s="12" t="n">
        <v>76.985542</v>
      </c>
      <c r="D692" s="12" t="n">
        <v>58.358849</v>
      </c>
      <c r="E692" s="12" t="n">
        <v>71.200806</v>
      </c>
      <c r="F692" s="12" t="n">
        <v>20.108847</v>
      </c>
      <c r="G692" s="12" t="n">
        <v>94.058128</v>
      </c>
      <c r="H692" s="13">
        <f>100*B692/B$7</f>
        <v/>
      </c>
      <c r="I692" s="13">
        <f>100*C692/C$7</f>
        <v/>
      </c>
      <c r="J692" s="13">
        <f>100*D692/D$7</f>
        <v/>
      </c>
      <c r="K692" s="13">
        <f>100*E692/E$7</f>
        <v/>
      </c>
      <c r="L692" s="13">
        <f>100*F692/F$7</f>
        <v/>
      </c>
      <c r="M692" s="13">
        <f>100*G692/G$7</f>
        <v/>
      </c>
    </row>
    <row r="693">
      <c r="A693" s="11" t="n">
        <v>45888</v>
      </c>
      <c r="B693" s="12" t="n">
        <v>581.264954</v>
      </c>
      <c r="C693" s="12" t="n">
        <v>76.71708700000001</v>
      </c>
      <c r="D693" s="12" t="n">
        <v>57.450577</v>
      </c>
      <c r="E693" s="12" t="n">
        <v>69.870682</v>
      </c>
      <c r="F693" s="12" t="n">
        <v>20.108847</v>
      </c>
      <c r="G693" s="12" t="n">
        <v>93.38236999999999</v>
      </c>
      <c r="H693" s="13">
        <f>100*B693/B$7</f>
        <v/>
      </c>
      <c r="I693" s="13">
        <f>100*C693/C$7</f>
        <v/>
      </c>
      <c r="J693" s="13">
        <f>100*D693/D$7</f>
        <v/>
      </c>
      <c r="K693" s="13">
        <f>100*E693/E$7</f>
        <v/>
      </c>
      <c r="L693" s="13">
        <f>100*F693/F$7</f>
        <v/>
      </c>
      <c r="M693" s="13">
        <f>100*G693/G$7</f>
        <v/>
      </c>
    </row>
    <row r="694">
      <c r="A694" s="11" t="n">
        <v>45889</v>
      </c>
      <c r="B694" s="12" t="n">
        <v>579.7330930000001</v>
      </c>
      <c r="C694" s="12" t="n">
        <v>76.352783</v>
      </c>
      <c r="D694" s="12" t="n">
        <v>56.198116</v>
      </c>
      <c r="E694" s="12" t="n">
        <v>69.792435</v>
      </c>
      <c r="F694" s="12" t="n">
        <v>20.166054</v>
      </c>
      <c r="G694" s="12" t="n">
        <v>94.058128</v>
      </c>
      <c r="H694" s="13">
        <f>100*B694/B$7</f>
        <v/>
      </c>
      <c r="I694" s="13">
        <f>100*C694/C$7</f>
        <v/>
      </c>
      <c r="J694" s="13">
        <f>100*D694/D$7</f>
        <v/>
      </c>
      <c r="K694" s="13">
        <f>100*E694/E$7</f>
        <v/>
      </c>
      <c r="L694" s="13">
        <f>100*F694/F$7</f>
        <v/>
      </c>
      <c r="M694" s="13">
        <f>100*G694/G$7</f>
        <v/>
      </c>
    </row>
    <row r="695">
      <c r="A695" s="11" t="n">
        <v>45890</v>
      </c>
      <c r="B695" s="12" t="n">
        <v>577.450073</v>
      </c>
      <c r="C695" s="12" t="n">
        <v>75.451576</v>
      </c>
      <c r="D695" s="12" t="n">
        <v>55.997341</v>
      </c>
      <c r="E695" s="12" t="n">
        <v>69.65551000000001</v>
      </c>
      <c r="F695" s="12" t="n">
        <v>20.185123</v>
      </c>
      <c r="G695" s="12" t="n">
        <v>94.263794</v>
      </c>
      <c r="H695" s="13">
        <f>100*B695/B$7</f>
        <v/>
      </c>
      <c r="I695" s="13">
        <f>100*C695/C$7</f>
        <v/>
      </c>
      <c r="J695" s="13">
        <f>100*D695/D$7</f>
        <v/>
      </c>
      <c r="K695" s="13">
        <f>100*E695/E$7</f>
        <v/>
      </c>
      <c r="L695" s="13">
        <f>100*F695/F$7</f>
        <v/>
      </c>
      <c r="M695" s="13">
        <f>100*G695/G$7</f>
        <v/>
      </c>
    </row>
    <row r="696">
      <c r="A696" s="11" t="n">
        <v>45891</v>
      </c>
      <c r="B696" s="12" t="n">
        <v>586.285706</v>
      </c>
      <c r="C696" s="12" t="n">
        <v>76.71708700000001</v>
      </c>
      <c r="D696" s="12" t="n">
        <v>57.039463</v>
      </c>
      <c r="E696" s="12" t="n">
        <v>71.89521000000001</v>
      </c>
      <c r="F696" s="12" t="n">
        <v>20.480701</v>
      </c>
      <c r="G696" s="12" t="n">
        <v>96.62406900000001</v>
      </c>
      <c r="H696" s="13">
        <f>100*B696/B$7</f>
        <v/>
      </c>
      <c r="I696" s="13">
        <f>100*C696/C$7</f>
        <v/>
      </c>
      <c r="J696" s="13">
        <f>100*D696/D$7</f>
        <v/>
      </c>
      <c r="K696" s="13">
        <f>100*E696/E$7</f>
        <v/>
      </c>
      <c r="L696" s="13">
        <f>100*F696/F$7</f>
        <v/>
      </c>
      <c r="M696" s="13">
        <f>100*G696/G$7</f>
        <v/>
      </c>
    </row>
    <row r="697">
      <c r="A697" s="11" t="n">
        <v>45894</v>
      </c>
      <c r="B697" s="12" t="n">
        <v>583.804993</v>
      </c>
      <c r="C697" s="12" t="n">
        <v>75.78713999999999</v>
      </c>
      <c r="D697" s="12" t="n">
        <v>56.657032</v>
      </c>
      <c r="E697" s="12" t="n">
        <v>71.132347</v>
      </c>
      <c r="F697" s="12" t="n">
        <v>20.509308</v>
      </c>
      <c r="G697" s="12" t="n">
        <v>96.663239</v>
      </c>
      <c r="H697" s="13">
        <f>100*B697/B$7</f>
        <v/>
      </c>
      <c r="I697" s="13">
        <f>100*C697/C$7</f>
        <v/>
      </c>
      <c r="J697" s="13">
        <f>100*D697/D$7</f>
        <v/>
      </c>
      <c r="K697" s="13">
        <f>100*E697/E$7</f>
        <v/>
      </c>
      <c r="L697" s="13">
        <f>100*F697/F$7</f>
        <v/>
      </c>
      <c r="M697" s="13">
        <f>100*G697/G$7</f>
        <v/>
      </c>
    </row>
    <row r="698">
      <c r="A698" s="11" t="n">
        <v>45895</v>
      </c>
      <c r="B698" s="12" t="n">
        <v>586.13739</v>
      </c>
      <c r="C698" s="12" t="n">
        <v>75.662498</v>
      </c>
      <c r="D698" s="12" t="n">
        <v>56.88649</v>
      </c>
      <c r="E698" s="12" t="n">
        <v>70.799812</v>
      </c>
      <c r="F698" s="12" t="n">
        <v>20.461632</v>
      </c>
      <c r="G698" s="12" t="n">
        <v>96.898293</v>
      </c>
      <c r="H698" s="13">
        <f>100*B698/B$7</f>
        <v/>
      </c>
      <c r="I698" s="13">
        <f>100*C698/C$7</f>
        <v/>
      </c>
      <c r="J698" s="13">
        <f>100*D698/D$7</f>
        <v/>
      </c>
      <c r="K698" s="13">
        <f>100*E698/E$7</f>
        <v/>
      </c>
      <c r="L698" s="13">
        <f>100*F698/F$7</f>
        <v/>
      </c>
      <c r="M698" s="13">
        <f>100*G698/G$7</f>
        <v/>
      </c>
    </row>
    <row r="699">
      <c r="A699" s="11" t="n">
        <v>45896</v>
      </c>
      <c r="B699" s="12" t="n">
        <v>587.481567</v>
      </c>
      <c r="C699" s="12" t="n">
        <v>75.384468</v>
      </c>
      <c r="D699" s="12" t="n">
        <v>57.144634</v>
      </c>
      <c r="E699" s="12" t="n">
        <v>70.878052</v>
      </c>
      <c r="F699" s="12" t="n">
        <v>20.223263</v>
      </c>
      <c r="G699" s="12" t="n">
        <v>94.400909</v>
      </c>
      <c r="H699" s="13">
        <f>100*B699/B$7</f>
        <v/>
      </c>
      <c r="I699" s="13">
        <f>100*C699/C$7</f>
        <v/>
      </c>
      <c r="J699" s="13">
        <f>100*D699/D$7</f>
        <v/>
      </c>
      <c r="K699" s="13">
        <f>100*E699/E$7</f>
        <v/>
      </c>
      <c r="L699" s="13">
        <f>100*F699/F$7</f>
        <v/>
      </c>
      <c r="M699" s="13">
        <f>100*G699/G$7</f>
        <v/>
      </c>
    </row>
    <row r="700">
      <c r="A700" s="11" t="n">
        <v>45897</v>
      </c>
      <c r="B700" s="12" t="n">
        <v>589.557068</v>
      </c>
      <c r="C700" s="12" t="n">
        <v>76.017235</v>
      </c>
      <c r="D700" s="12" t="n">
        <v>57.268925</v>
      </c>
      <c r="E700" s="12" t="n">
        <v>72.022346</v>
      </c>
      <c r="F700" s="12" t="n">
        <v>20.309076</v>
      </c>
      <c r="G700" s="12" t="n">
        <v>95.42924499999999</v>
      </c>
      <c r="H700" s="13">
        <f>100*B700/B$7</f>
        <v/>
      </c>
      <c r="I700" s="13">
        <f>100*C700/C$7</f>
        <v/>
      </c>
      <c r="J700" s="13">
        <f>100*D700/D$7</f>
        <v/>
      </c>
      <c r="K700" s="13">
        <f>100*E700/E$7</f>
        <v/>
      </c>
      <c r="L700" s="13">
        <f>100*F700/F$7</f>
        <v/>
      </c>
      <c r="M700" s="13">
        <f>100*G700/G$7</f>
        <v/>
      </c>
    </row>
    <row r="701">
      <c r="A701" s="11" t="n">
        <v>45898</v>
      </c>
      <c r="B701" s="12" t="n">
        <v>586.157166</v>
      </c>
      <c r="C701" s="12" t="n">
        <v>75.048912</v>
      </c>
      <c r="D701" s="12" t="n">
        <v>56.236359</v>
      </c>
      <c r="E701" s="12" t="n">
        <v>70.653099</v>
      </c>
      <c r="F701" s="12" t="n">
        <v>20.175589</v>
      </c>
      <c r="G701" s="12" t="n">
        <v>96.516335</v>
      </c>
      <c r="H701" s="13">
        <f>100*B701/B$7</f>
        <v/>
      </c>
      <c r="I701" s="13">
        <f>100*C701/C$7</f>
        <v/>
      </c>
      <c r="J701" s="13">
        <f>100*D701/D$7</f>
        <v/>
      </c>
      <c r="K701" s="13">
        <f>100*E701/E$7</f>
        <v/>
      </c>
      <c r="L701" s="13">
        <f>100*F701/F$7</f>
        <v/>
      </c>
      <c r="M701" s="13">
        <f>100*G701/G$7</f>
        <v/>
      </c>
    </row>
    <row r="702">
      <c r="A702" s="11" t="n">
        <v>45901</v>
      </c>
      <c r="B702" s="12" t="n">
        <v>586.157166</v>
      </c>
      <c r="C702" s="12" t="n">
        <v>75.048912</v>
      </c>
      <c r="D702" s="12" t="n">
        <v>56.236359</v>
      </c>
      <c r="E702" s="12" t="n">
        <v>70.653099</v>
      </c>
      <c r="F702" s="12" t="n">
        <v>20.175589</v>
      </c>
      <c r="G702" s="12" t="n">
        <v>96.516335</v>
      </c>
      <c r="H702" s="13">
        <f>100*B702/B$7</f>
        <v/>
      </c>
      <c r="I702" s="13">
        <f>100*C702/C$7</f>
        <v/>
      </c>
      <c r="J702" s="13">
        <f>100*D702/D$7</f>
        <v/>
      </c>
      <c r="K702" s="13">
        <f>100*E702/E$7</f>
        <v/>
      </c>
      <c r="L702" s="13">
        <f>100*F702/F$7</f>
        <v/>
      </c>
      <c r="M702" s="13">
        <f>100*G702/G$7</f>
        <v/>
      </c>
    </row>
    <row r="703">
      <c r="A703" s="11" t="n">
        <v>45902</v>
      </c>
      <c r="B703" s="12" t="n">
        <v>581.838257</v>
      </c>
      <c r="C703" s="12" t="n">
        <v>74.924286</v>
      </c>
      <c r="D703" s="12" t="n">
        <v>55.500183</v>
      </c>
      <c r="E703" s="12" t="n">
        <v>70.34013400000001</v>
      </c>
      <c r="F703" s="12" t="n">
        <v>20.299543</v>
      </c>
      <c r="G703" s="12" t="n">
        <v>96.702415</v>
      </c>
      <c r="H703" s="13">
        <f>100*B703/B$7</f>
        <v/>
      </c>
      <c r="I703" s="13">
        <f>100*C703/C$7</f>
        <v/>
      </c>
      <c r="J703" s="13">
        <f>100*D703/D$7</f>
        <v/>
      </c>
      <c r="K703" s="13">
        <f>100*E703/E$7</f>
        <v/>
      </c>
      <c r="L703" s="13">
        <f>100*F703/F$7</f>
        <v/>
      </c>
      <c r="M703" s="13">
        <f>100*G703/G$7</f>
        <v/>
      </c>
    </row>
    <row r="704">
      <c r="A704" s="11" t="n">
        <v>45903</v>
      </c>
      <c r="B704" s="12" t="n">
        <v>584.812988</v>
      </c>
      <c r="C704" s="12" t="n">
        <v>74.713364</v>
      </c>
      <c r="D704" s="12" t="n">
        <v>56.150314</v>
      </c>
      <c r="E704" s="12" t="n">
        <v>71.30838799999999</v>
      </c>
      <c r="F704" s="12" t="n">
        <v>20.156519</v>
      </c>
      <c r="G704" s="12" t="n">
        <v>96.33026099999999</v>
      </c>
      <c r="H704" s="13">
        <f>100*B704/B$7</f>
        <v/>
      </c>
      <c r="I704" s="13">
        <f>100*C704/C$7</f>
        <v/>
      </c>
      <c r="J704" s="13">
        <f>100*D704/D$7</f>
        <v/>
      </c>
      <c r="K704" s="13">
        <f>100*E704/E$7</f>
        <v/>
      </c>
      <c r="L704" s="13">
        <f>100*F704/F$7</f>
        <v/>
      </c>
      <c r="M704" s="13">
        <f>100*G704/G$7</f>
        <v/>
      </c>
    </row>
    <row r="705">
      <c r="A705" s="11" t="n">
        <v>45904</v>
      </c>
      <c r="B705" s="12" t="n">
        <v>589.6262819999999</v>
      </c>
      <c r="C705" s="12" t="n">
        <v>75.48034699999999</v>
      </c>
      <c r="D705" s="12" t="n">
        <v>56.695274</v>
      </c>
      <c r="E705" s="12" t="n">
        <v>71.46487399999999</v>
      </c>
      <c r="F705" s="12" t="n">
        <v>20.023033</v>
      </c>
      <c r="G705" s="12" t="n">
        <v>94.645752</v>
      </c>
      <c r="H705" s="13">
        <f>100*B705/B$7</f>
        <v/>
      </c>
      <c r="I705" s="13">
        <f>100*C705/C$7</f>
        <v/>
      </c>
      <c r="J705" s="13">
        <f>100*D705/D$7</f>
        <v/>
      </c>
      <c r="K705" s="13">
        <f>100*E705/E$7</f>
        <v/>
      </c>
      <c r="L705" s="13">
        <f>100*F705/F$7</f>
        <v/>
      </c>
      <c r="M705" s="13">
        <f>100*G705/G$7</f>
        <v/>
      </c>
    </row>
    <row r="706">
      <c r="A706" s="11" t="n">
        <v>45905</v>
      </c>
      <c r="B706" s="12" t="n">
        <v>588.015259</v>
      </c>
      <c r="C706" s="12" t="n">
        <v>75.911766</v>
      </c>
      <c r="D706" s="12" t="n">
        <v>57.565304</v>
      </c>
      <c r="E706" s="12" t="n">
        <v>72.01256600000001</v>
      </c>
      <c r="F706" s="12" t="n">
        <v>20.19466</v>
      </c>
      <c r="G706" s="12" t="n">
        <v>96.437988</v>
      </c>
      <c r="H706" s="13">
        <f>100*B706/B$7</f>
        <v/>
      </c>
      <c r="I706" s="13">
        <f>100*C706/C$7</f>
        <v/>
      </c>
      <c r="J706" s="13">
        <f>100*D706/D$7</f>
        <v/>
      </c>
      <c r="K706" s="13">
        <f>100*E706/E$7</f>
        <v/>
      </c>
      <c r="L706" s="13">
        <f>100*F706/F$7</f>
        <v/>
      </c>
      <c r="M706" s="13">
        <f>100*G706/G$7</f>
        <v/>
      </c>
    </row>
    <row r="707">
      <c r="A707" s="11" t="n">
        <v>45908</v>
      </c>
      <c r="B707" s="12" t="n">
        <v>589.537292</v>
      </c>
      <c r="C707" s="12" t="n">
        <v>77.618301</v>
      </c>
      <c r="D707" s="12" t="n">
        <v>58.301483</v>
      </c>
      <c r="E707" s="12" t="n">
        <v>72.560272</v>
      </c>
      <c r="F707" s="12" t="n">
        <v>20.404425</v>
      </c>
      <c r="G707" s="12" t="n">
        <v>97.593636</v>
      </c>
      <c r="H707" s="13">
        <f>100*B707/B$7</f>
        <v/>
      </c>
      <c r="I707" s="13">
        <f>100*C707/C$7</f>
        <v/>
      </c>
      <c r="J707" s="13">
        <f>100*D707/D$7</f>
        <v/>
      </c>
      <c r="K707" s="13">
        <f>100*E707/E$7</f>
        <v/>
      </c>
      <c r="L707" s="13">
        <f>100*F707/F$7</f>
        <v/>
      </c>
      <c r="M707" s="13">
        <f>100*G707/G$7</f>
        <v/>
      </c>
    </row>
    <row r="708">
      <c r="A708" s="11" t="n">
        <v>45909</v>
      </c>
      <c r="B708" s="12" t="n">
        <v>590.970398</v>
      </c>
      <c r="C708" s="12" t="n">
        <v>76.75543999999999</v>
      </c>
      <c r="D708" s="12" t="n">
        <v>58.913372</v>
      </c>
      <c r="E708" s="12" t="n">
        <v>73.274231</v>
      </c>
      <c r="F708" s="12" t="n">
        <v>20.55698</v>
      </c>
      <c r="G708" s="12" t="n">
        <v>98.45547500000001</v>
      </c>
      <c r="H708" s="13">
        <f>100*B708/B$7</f>
        <v/>
      </c>
      <c r="I708" s="13">
        <f>100*C708/C$7</f>
        <v/>
      </c>
      <c r="J708" s="13">
        <f>100*D708/D$7</f>
        <v/>
      </c>
      <c r="K708" s="13">
        <f>100*E708/E$7</f>
        <v/>
      </c>
      <c r="L708" s="13">
        <f>100*F708/F$7</f>
        <v/>
      </c>
      <c r="M708" s="13">
        <f>100*G708/G$7</f>
        <v/>
      </c>
    </row>
    <row r="709">
      <c r="A709" s="11" t="n">
        <v>45910</v>
      </c>
      <c r="B709" s="12" t="n">
        <v>592.680115</v>
      </c>
      <c r="C709" s="12" t="n">
        <v>77.04306800000001</v>
      </c>
      <c r="D709" s="12" t="n">
        <v>59.812084</v>
      </c>
      <c r="E709" s="12" t="n">
        <v>74.96623200000001</v>
      </c>
      <c r="F709" s="12" t="n">
        <v>20.652327</v>
      </c>
      <c r="G709" s="12" t="n">
        <v>97.946213</v>
      </c>
      <c r="H709" s="13">
        <f>100*B709/B$7</f>
        <v/>
      </c>
      <c r="I709" s="13">
        <f>100*C709/C$7</f>
        <v/>
      </c>
      <c r="J709" s="13">
        <f>100*D709/D$7</f>
        <v/>
      </c>
      <c r="K709" s="13">
        <f>100*E709/E$7</f>
        <v/>
      </c>
      <c r="L709" s="13">
        <f>100*F709/F$7</f>
        <v/>
      </c>
      <c r="M709" s="13">
        <f>100*G709/G$7</f>
        <v/>
      </c>
    </row>
    <row r="710">
      <c r="A710" s="11" t="n">
        <v>45911</v>
      </c>
      <c r="B710" s="12" t="n">
        <v>597.513123</v>
      </c>
      <c r="C710" s="12" t="n">
        <v>77.96344000000001</v>
      </c>
      <c r="D710" s="12" t="n">
        <v>59.984177</v>
      </c>
      <c r="E710" s="12" t="n">
        <v>76.14965100000001</v>
      </c>
      <c r="F710" s="12" t="n">
        <v>21.01465</v>
      </c>
      <c r="G710" s="12" t="n">
        <v>100.590492</v>
      </c>
      <c r="H710" s="13">
        <f>100*B710/B$7</f>
        <v/>
      </c>
      <c r="I710" s="13">
        <f>100*C710/C$7</f>
        <v/>
      </c>
      <c r="J710" s="13">
        <f>100*D710/D$7</f>
        <v/>
      </c>
      <c r="K710" s="13">
        <f>100*E710/E$7</f>
        <v/>
      </c>
      <c r="L710" s="13">
        <f>100*F710/F$7</f>
        <v/>
      </c>
      <c r="M710" s="13">
        <f>100*G710/G$7</f>
        <v/>
      </c>
    </row>
    <row r="711">
      <c r="A711" s="11" t="n">
        <v>45912</v>
      </c>
      <c r="B711" s="12" t="n">
        <v>597.384644</v>
      </c>
      <c r="C711" s="12" t="n">
        <v>77.426552</v>
      </c>
      <c r="D711" s="12" t="n">
        <v>60.070225</v>
      </c>
      <c r="E711" s="12" t="n">
        <v>76.93208300000001</v>
      </c>
      <c r="F711" s="12" t="n">
        <v>20.900232</v>
      </c>
      <c r="G711" s="12" t="n">
        <v>100.286888</v>
      </c>
      <c r="H711" s="13">
        <f>100*B711/B$7</f>
        <v/>
      </c>
      <c r="I711" s="13">
        <f>100*C711/C$7</f>
        <v/>
      </c>
      <c r="J711" s="13">
        <f>100*D711/D$7</f>
        <v/>
      </c>
      <c r="K711" s="13">
        <f>100*E711/E$7</f>
        <v/>
      </c>
      <c r="L711" s="13">
        <f>100*F711/F$7</f>
        <v/>
      </c>
      <c r="M711" s="13">
        <f>100*G711/G$7</f>
        <v/>
      </c>
    </row>
    <row r="712">
      <c r="A712" s="11" t="n">
        <v>45915</v>
      </c>
      <c r="B712" s="12" t="n">
        <v>600.497864</v>
      </c>
      <c r="C712" s="12" t="n">
        <v>77.992195</v>
      </c>
      <c r="D712" s="12" t="n">
        <v>60.251877</v>
      </c>
      <c r="E712" s="12" t="n">
        <v>77.450439</v>
      </c>
      <c r="F712" s="12" t="n">
        <v>20.957439</v>
      </c>
      <c r="G712" s="12" t="n">
        <v>100.600288</v>
      </c>
      <c r="H712" s="13">
        <f>100*B712/B$7</f>
        <v/>
      </c>
      <c r="I712" s="13">
        <f>100*C712/C$7</f>
        <v/>
      </c>
      <c r="J712" s="13">
        <f>100*D712/D$7</f>
        <v/>
      </c>
      <c r="K712" s="13">
        <f>100*E712/E$7</f>
        <v/>
      </c>
      <c r="L712" s="13">
        <f>100*F712/F$7</f>
        <v/>
      </c>
      <c r="M712" s="13">
        <f>100*G712/G$7</f>
        <v/>
      </c>
    </row>
    <row r="713">
      <c r="A713" s="11" t="n">
        <v>45916</v>
      </c>
      <c r="B713" s="12" t="n">
        <v>599.7071529999999</v>
      </c>
      <c r="C713" s="12" t="n">
        <v>77.992195</v>
      </c>
      <c r="D713" s="12" t="n">
        <v>60.5387</v>
      </c>
      <c r="E713" s="12" t="n">
        <v>78.91748800000001</v>
      </c>
      <c r="F713" s="12" t="n">
        <v>20.728605</v>
      </c>
      <c r="G713" s="12" t="n">
        <v>101.129143</v>
      </c>
      <c r="H713" s="13">
        <f>100*B713/B$7</f>
        <v/>
      </c>
      <c r="I713" s="13">
        <f>100*C713/C$7</f>
        <v/>
      </c>
      <c r="J713" s="13">
        <f>100*D713/D$7</f>
        <v/>
      </c>
      <c r="K713" s="13">
        <f>100*E713/E$7</f>
        <v/>
      </c>
      <c r="L713" s="13">
        <f>100*F713/F$7</f>
        <v/>
      </c>
      <c r="M713" s="13">
        <f>100*G713/G$7</f>
        <v/>
      </c>
    </row>
    <row r="714">
      <c r="A714" s="11" t="n">
        <v>45917</v>
      </c>
      <c r="B714" s="12" t="n">
        <v>599.015381</v>
      </c>
      <c r="C714" s="12" t="n">
        <v>77.819626</v>
      </c>
      <c r="D714" s="12" t="n">
        <v>60.433533</v>
      </c>
      <c r="E714" s="12" t="n">
        <v>78.07637800000001</v>
      </c>
      <c r="F714" s="12" t="n">
        <v>20.785814</v>
      </c>
      <c r="G714" s="12" t="n">
        <v>102.519844</v>
      </c>
      <c r="H714" s="13">
        <f>100*B714/B$7</f>
        <v/>
      </c>
      <c r="I714" s="13">
        <f>100*C714/C$7</f>
        <v/>
      </c>
      <c r="J714" s="13">
        <f>100*D714/D$7</f>
        <v/>
      </c>
      <c r="K714" s="13">
        <f>100*E714/E$7</f>
        <v/>
      </c>
      <c r="L714" s="13">
        <f>100*F714/F$7</f>
        <v/>
      </c>
      <c r="M714" s="13">
        <f>100*G714/G$7</f>
        <v/>
      </c>
    </row>
    <row r="715">
      <c r="A715" s="11" t="n">
        <v>45918</v>
      </c>
      <c r="B715" s="12" t="n">
        <v>601.832092</v>
      </c>
      <c r="C715" s="12" t="n">
        <v>78.126419</v>
      </c>
      <c r="D715" s="12" t="n">
        <v>60.968933</v>
      </c>
      <c r="E715" s="12" t="n">
        <v>78.97616600000001</v>
      </c>
      <c r="F715" s="12" t="n">
        <v>20.585585</v>
      </c>
      <c r="G715" s="12" t="n">
        <v>101.168312</v>
      </c>
      <c r="H715" s="13">
        <f>100*B715/B$7</f>
        <v/>
      </c>
      <c r="I715" s="13">
        <f>100*C715/C$7</f>
        <v/>
      </c>
      <c r="J715" s="13">
        <f>100*D715/D$7</f>
        <v/>
      </c>
      <c r="K715" s="13">
        <f>100*E715/E$7</f>
        <v/>
      </c>
      <c r="L715" s="13">
        <f>100*F715/F$7</f>
        <v/>
      </c>
      <c r="M715" s="13">
        <f>100*G715/G$7</f>
        <v/>
      </c>
    </row>
    <row r="716">
      <c r="A716" s="11" t="n">
        <v>45919</v>
      </c>
      <c r="B716" s="12" t="n">
        <v>604.638977</v>
      </c>
      <c r="C716" s="12" t="n">
        <v>77.455315</v>
      </c>
      <c r="D716" s="12" t="n">
        <v>60.596066</v>
      </c>
      <c r="E716" s="12" t="n">
        <v>78.29154200000001</v>
      </c>
      <c r="F716" s="12" t="n">
        <v>20.471167</v>
      </c>
      <c r="G716" s="12" t="n">
        <v>100.668839</v>
      </c>
      <c r="H716" s="13">
        <f>100*B716/B$7</f>
        <v/>
      </c>
      <c r="I716" s="13">
        <f>100*C716/C$7</f>
        <v/>
      </c>
      <c r="J716" s="13">
        <f>100*D716/D$7</f>
        <v/>
      </c>
      <c r="K716" s="13">
        <f>100*E716/E$7</f>
        <v/>
      </c>
      <c r="L716" s="13">
        <f>100*F716/F$7</f>
        <v/>
      </c>
      <c r="M716" s="13">
        <f>100*G716/G$7</f>
        <v/>
      </c>
    </row>
    <row r="717">
      <c r="A717" s="11" t="n">
        <v>45922</v>
      </c>
      <c r="B717" s="12" t="n">
        <v>607.584167</v>
      </c>
      <c r="C717" s="12" t="n">
        <v>77.89632400000001</v>
      </c>
      <c r="D717" s="12" t="n">
        <v>61.207951</v>
      </c>
      <c r="E717" s="12" t="n">
        <v>79.768372</v>
      </c>
      <c r="F717" s="12" t="n">
        <v>20.385353</v>
      </c>
      <c r="G717" s="12" t="n">
        <v>100.825539</v>
      </c>
      <c r="H717" s="13">
        <f>100*B717/B$7</f>
        <v/>
      </c>
      <c r="I717" s="13">
        <f>100*C717/C$7</f>
        <v/>
      </c>
      <c r="J717" s="13">
        <f>100*D717/D$7</f>
        <v/>
      </c>
      <c r="K717" s="13">
        <f>100*E717/E$7</f>
        <v/>
      </c>
      <c r="L717" s="13">
        <f>100*F717/F$7</f>
        <v/>
      </c>
      <c r="M717" s="13">
        <f>100*G717/G$7</f>
        <v/>
      </c>
    </row>
    <row r="718">
      <c r="A718" s="11" t="n">
        <v>45923</v>
      </c>
      <c r="B718" s="12" t="n">
        <v>604.401672</v>
      </c>
      <c r="C718" s="12" t="n">
        <v>77.74292800000001</v>
      </c>
      <c r="D718" s="12" t="n">
        <v>61.466095</v>
      </c>
      <c r="E718" s="12" t="n">
        <v>79.660782</v>
      </c>
      <c r="F718" s="12" t="n">
        <v>20.19466</v>
      </c>
      <c r="G718" s="12" t="n">
        <v>99.532768</v>
      </c>
      <c r="H718" s="13">
        <f>100*B718/B$7</f>
        <v/>
      </c>
      <c r="I718" s="13">
        <f>100*C718/C$7</f>
        <v/>
      </c>
      <c r="J718" s="13">
        <f>100*D718/D$7</f>
        <v/>
      </c>
      <c r="K718" s="13">
        <f>100*E718/E$7</f>
        <v/>
      </c>
      <c r="L718" s="13">
        <f>100*F718/F$7</f>
        <v/>
      </c>
      <c r="M718" s="13">
        <f>100*G718/G$7</f>
        <v/>
      </c>
    </row>
    <row r="719">
      <c r="A719" s="11" t="n">
        <v>45924</v>
      </c>
      <c r="B719" s="12" t="n">
        <v>602.385498</v>
      </c>
      <c r="C719" s="12" t="n">
        <v>77.51284</v>
      </c>
      <c r="D719" s="12" t="n">
        <v>60.777718</v>
      </c>
      <c r="E719" s="12" t="n">
        <v>78.281761</v>
      </c>
      <c r="F719" s="12" t="n">
        <v>20.099312</v>
      </c>
      <c r="G719" s="12" t="n">
        <v>100.894089</v>
      </c>
      <c r="H719" s="13">
        <f>100*B719/B$7</f>
        <v/>
      </c>
      <c r="I719" s="13">
        <f>100*C719/C$7</f>
        <v/>
      </c>
      <c r="J719" s="13">
        <f>100*D719/D$7</f>
        <v/>
      </c>
      <c r="K719" s="13">
        <f>100*E719/E$7</f>
        <v/>
      </c>
      <c r="L719" s="13">
        <f>100*F719/F$7</f>
        <v/>
      </c>
      <c r="M719" s="13">
        <f>100*G719/G$7</f>
        <v/>
      </c>
    </row>
    <row r="720">
      <c r="A720" s="11" t="n">
        <v>45925</v>
      </c>
      <c r="B720" s="12" t="n">
        <v>599.5095209999999</v>
      </c>
      <c r="C720" s="12" t="n">
        <v>77.138931</v>
      </c>
      <c r="D720" s="12" t="n">
        <v>60.290123</v>
      </c>
      <c r="E720" s="12" t="n">
        <v>78.13505600000001</v>
      </c>
      <c r="F720" s="12" t="n">
        <v>20.023033</v>
      </c>
      <c r="G720" s="12" t="n">
        <v>101.178108</v>
      </c>
      <c r="H720" s="13">
        <f>100*B720/B$7</f>
        <v/>
      </c>
      <c r="I720" s="13">
        <f>100*C720/C$7</f>
        <v/>
      </c>
      <c r="J720" s="13">
        <f>100*D720/D$7</f>
        <v/>
      </c>
      <c r="K720" s="13">
        <f>100*E720/E$7</f>
        <v/>
      </c>
      <c r="L720" s="13">
        <f>100*F720/F$7</f>
        <v/>
      </c>
      <c r="M720" s="13">
        <f>100*G720/G$7</f>
        <v/>
      </c>
    </row>
    <row r="721">
      <c r="A721" s="11" t="n">
        <v>45926</v>
      </c>
      <c r="B721" s="12" t="n">
        <v>603.037781</v>
      </c>
      <c r="C721" s="12" t="n">
        <v>77.119766</v>
      </c>
      <c r="D721" s="12" t="n">
        <v>59.984177</v>
      </c>
      <c r="E721" s="12" t="n">
        <v>77.137466</v>
      </c>
      <c r="F721" s="12" t="n">
        <v>20.127914</v>
      </c>
      <c r="G721" s="12" t="n">
        <v>100.365242</v>
      </c>
      <c r="H721" s="13">
        <f>100*B721/B$7</f>
        <v/>
      </c>
      <c r="I721" s="13">
        <f>100*C721/C$7</f>
        <v/>
      </c>
      <c r="J721" s="13">
        <f>100*D721/D$7</f>
        <v/>
      </c>
      <c r="K721" s="13">
        <f>100*E721/E$7</f>
        <v/>
      </c>
      <c r="L721" s="13">
        <f>100*F721/F$7</f>
        <v/>
      </c>
      <c r="M721" s="13">
        <f>100*G721/G$7</f>
        <v/>
      </c>
    </row>
    <row r="722">
      <c r="A722" s="11" t="n">
        <v>45929</v>
      </c>
      <c r="B722" s="12" t="n">
        <v>604.732727</v>
      </c>
      <c r="C722" s="12" t="n">
        <v>77.18686700000001</v>
      </c>
      <c r="D722" s="12" t="n">
        <v>60.309242</v>
      </c>
      <c r="E722" s="12" t="n">
        <v>78.47736399999999</v>
      </c>
      <c r="F722" s="12" t="n">
        <v>20.499771</v>
      </c>
      <c r="G722" s="12" t="n">
        <v>102.12809</v>
      </c>
      <c r="H722" s="13">
        <f>100*B722/B$7</f>
        <v/>
      </c>
      <c r="I722" s="13">
        <f>100*C722/C$7</f>
        <v/>
      </c>
      <c r="J722" s="13">
        <f>100*D722/D$7</f>
        <v/>
      </c>
      <c r="K722" s="13">
        <f>100*E722/E$7</f>
        <v/>
      </c>
      <c r="L722" s="13">
        <f>100*F722/F$7</f>
        <v/>
      </c>
      <c r="M722" s="13">
        <f>100*G722/G$7</f>
        <v/>
      </c>
    </row>
    <row r="723">
      <c r="A723" s="11" t="n">
        <v>45930</v>
      </c>
      <c r="B723" s="12" t="n">
        <v>606.962769</v>
      </c>
      <c r="C723" s="12" t="n">
        <v>76.899254</v>
      </c>
      <c r="D723" s="12" t="n">
        <v>60.825523</v>
      </c>
      <c r="E723" s="12" t="n">
        <v>78.340439</v>
      </c>
      <c r="F723" s="12" t="n">
        <v>20.547443</v>
      </c>
      <c r="G723" s="12" t="n">
        <v>102.803856</v>
      </c>
      <c r="H723" s="13">
        <f>100*B723/B$7</f>
        <v/>
      </c>
      <c r="I723" s="13">
        <f>100*C723/C$7</f>
        <v/>
      </c>
      <c r="J723" s="13">
        <f>100*D723/D$7</f>
        <v/>
      </c>
      <c r="K723" s="13">
        <f>100*E723/E$7</f>
        <v/>
      </c>
      <c r="L723" s="13">
        <f>100*F723/F$7</f>
        <v/>
      </c>
      <c r="M723" s="13">
        <f>100*G723/G$7</f>
        <v/>
      </c>
    </row>
    <row r="724">
      <c r="A724" s="11" t="n">
        <v>45931</v>
      </c>
      <c r="B724" s="12" t="n">
        <v>609.133423</v>
      </c>
      <c r="C724" s="12" t="n">
        <v>76.899254</v>
      </c>
      <c r="D724" s="12" t="n">
        <v>61.322681</v>
      </c>
      <c r="E724" s="12" t="n">
        <v>80.09112500000001</v>
      </c>
      <c r="F724" s="12" t="n">
        <v>20.661863</v>
      </c>
      <c r="G724" s="12" t="n">
        <v>103.401268</v>
      </c>
      <c r="H724" s="13">
        <f>100*B724/B$7</f>
        <v/>
      </c>
      <c r="I724" s="13">
        <f>100*C724/C$7</f>
        <v/>
      </c>
      <c r="J724" s="13">
        <f>100*D724/D$7</f>
        <v/>
      </c>
      <c r="K724" s="13">
        <f>100*E724/E$7</f>
        <v/>
      </c>
      <c r="L724" s="13">
        <f>100*F724/F$7</f>
        <v/>
      </c>
      <c r="M724" s="13">
        <f>100*G724/G$7</f>
        <v/>
      </c>
    </row>
    <row r="725">
      <c r="A725" s="11" t="n">
        <v>45932</v>
      </c>
      <c r="B725" s="12" t="n">
        <v>609.807373</v>
      </c>
      <c r="C725" s="12" t="n">
        <v>76.841728</v>
      </c>
      <c r="D725" s="12" t="n">
        <v>61.188831</v>
      </c>
      <c r="E725" s="12" t="n">
        <v>81.695099</v>
      </c>
      <c r="F725" s="12" t="n">
        <v>20.595119</v>
      </c>
      <c r="G725" s="12" t="n">
        <v>104.468773</v>
      </c>
      <c r="H725" s="13">
        <f>100*B725/B$7</f>
        <v/>
      </c>
      <c r="I725" s="13">
        <f>100*C725/C$7</f>
        <v/>
      </c>
      <c r="J725" s="13">
        <f>100*D725/D$7</f>
        <v/>
      </c>
      <c r="K725" s="13">
        <f>100*E725/E$7</f>
        <v/>
      </c>
      <c r="L725" s="13">
        <f>100*F725/F$7</f>
        <v/>
      </c>
      <c r="M725" s="13">
        <f>100*G725/G$7</f>
        <v/>
      </c>
    </row>
    <row r="726">
      <c r="A726" s="11" t="n">
        <v>45933</v>
      </c>
      <c r="B726" s="12" t="n">
        <v>609.856995</v>
      </c>
      <c r="C726" s="12" t="n">
        <v>78.404449</v>
      </c>
      <c r="D726" s="12" t="n">
        <v>61.80072</v>
      </c>
      <c r="E726" s="12" t="n">
        <v>82.008064</v>
      </c>
      <c r="F726" s="12" t="n">
        <v>20.55698</v>
      </c>
      <c r="G726" s="12" t="n">
        <v>103.871361</v>
      </c>
      <c r="H726" s="13">
        <f>100*B726/B$7</f>
        <v/>
      </c>
      <c r="I726" s="13">
        <f>100*C726/C$7</f>
        <v/>
      </c>
      <c r="J726" s="13">
        <f>100*D726/D$7</f>
        <v/>
      </c>
      <c r="K726" s="13">
        <f>100*E726/E$7</f>
        <v/>
      </c>
      <c r="L726" s="13">
        <f>100*F726/F$7</f>
        <v/>
      </c>
      <c r="M726" s="13">
        <f>100*G726/G$7</f>
        <v/>
      </c>
    </row>
    <row r="727">
      <c r="A727" s="11" t="n">
        <v>45936</v>
      </c>
      <c r="B727" s="12" t="n">
        <v>611.938416</v>
      </c>
      <c r="C727" s="12" t="n">
        <v>79.832939</v>
      </c>
      <c r="D727" s="12" t="n">
        <v>62.173588</v>
      </c>
      <c r="E727" s="12" t="n">
        <v>82.917641</v>
      </c>
      <c r="F727" s="12" t="n">
        <v>20.53791</v>
      </c>
      <c r="G727" s="12" t="n">
        <v>103.900742</v>
      </c>
      <c r="H727" s="13">
        <f>100*B727/B$7</f>
        <v/>
      </c>
      <c r="I727" s="13">
        <f>100*C727/C$7</f>
        <v/>
      </c>
      <c r="J727" s="13">
        <f>100*D727/D$7</f>
        <v/>
      </c>
      <c r="K727" s="13">
        <f>100*E727/E$7</f>
        <v/>
      </c>
      <c r="L727" s="13">
        <f>100*F727/F$7</f>
        <v/>
      </c>
      <c r="M727" s="13">
        <f>100*G727/G$7</f>
        <v/>
      </c>
    </row>
    <row r="728">
      <c r="A728" s="11" t="n">
        <v>45937</v>
      </c>
      <c r="B728" s="12" t="n">
        <v>609.757874</v>
      </c>
      <c r="C728" s="12" t="n">
        <v>78.57701900000001</v>
      </c>
      <c r="D728" s="12" t="n">
        <v>61.963249</v>
      </c>
      <c r="E728" s="12" t="n">
        <v>81.519051</v>
      </c>
      <c r="F728" s="12" t="n">
        <v>20.41396</v>
      </c>
      <c r="G728" s="12" t="n">
        <v>102.843025</v>
      </c>
      <c r="H728" s="13">
        <f>100*B728/B$7</f>
        <v/>
      </c>
      <c r="I728" s="13">
        <f>100*C728/C$7</f>
        <v/>
      </c>
      <c r="J728" s="13">
        <f>100*D728/D$7</f>
        <v/>
      </c>
      <c r="K728" s="13">
        <f>100*E728/E$7</f>
        <v/>
      </c>
      <c r="L728" s="13">
        <f>100*F728/F$7</f>
        <v/>
      </c>
      <c r="M728" s="13">
        <f>100*G728/G$7</f>
        <v/>
      </c>
    </row>
    <row r="729">
      <c r="A729" s="11" t="n">
        <v>45938</v>
      </c>
      <c r="B729" s="12" t="n">
        <v>613.2962649999999</v>
      </c>
      <c r="C729" s="12" t="n">
        <v>78.375687</v>
      </c>
      <c r="D729" s="12" t="n">
        <v>62.766357</v>
      </c>
      <c r="E729" s="12" t="n">
        <v>82.340599</v>
      </c>
      <c r="F729" s="12" t="n">
        <v>20.53791</v>
      </c>
      <c r="G729" s="12" t="n">
        <v>103.303337</v>
      </c>
      <c r="H729" s="13">
        <f>100*B729/B$7</f>
        <v/>
      </c>
      <c r="I729" s="13">
        <f>100*C729/C$7</f>
        <v/>
      </c>
      <c r="J729" s="13">
        <f>100*D729/D$7</f>
        <v/>
      </c>
      <c r="K729" s="13">
        <f>100*E729/E$7</f>
        <v/>
      </c>
      <c r="L729" s="13">
        <f>100*F729/F$7</f>
        <v/>
      </c>
      <c r="M729" s="13">
        <f>100*G729/G$7</f>
        <v/>
      </c>
    </row>
    <row r="730">
      <c r="A730" s="11" t="n">
        <v>45939</v>
      </c>
      <c r="B730" s="12" t="n">
        <v>611.6410519999999</v>
      </c>
      <c r="C730" s="12" t="n">
        <v>78.18394499999999</v>
      </c>
      <c r="D730" s="12" t="n">
        <v>61.982376</v>
      </c>
      <c r="E730" s="12" t="n">
        <v>81.59729799999999</v>
      </c>
      <c r="F730" s="12" t="n">
        <v>20.55698</v>
      </c>
      <c r="G730" s="12" t="n">
        <v>101.824486</v>
      </c>
      <c r="H730" s="13">
        <f>100*B730/B$7</f>
        <v/>
      </c>
      <c r="I730" s="13">
        <f>100*C730/C$7</f>
        <v/>
      </c>
      <c r="J730" s="13">
        <f>100*D730/D$7</f>
        <v/>
      </c>
      <c r="K730" s="13">
        <f>100*E730/E$7</f>
        <v/>
      </c>
      <c r="L730" s="13">
        <f>100*F730/F$7</f>
        <v/>
      </c>
      <c r="M730" s="13">
        <f>100*G730/G$7</f>
        <v/>
      </c>
    </row>
    <row r="731">
      <c r="A731" s="11" t="n">
        <v>45940</v>
      </c>
      <c r="B731" s="12" t="n">
        <v>595.197815</v>
      </c>
      <c r="C731" s="12" t="n">
        <v>75.12560999999999</v>
      </c>
      <c r="D731" s="12" t="n">
        <v>58.913372</v>
      </c>
      <c r="E731" s="12" t="n">
        <v>78.94682299999999</v>
      </c>
      <c r="F731" s="12" t="n">
        <v>19.698851</v>
      </c>
      <c r="G731" s="12" t="n">
        <v>96.389015</v>
      </c>
      <c r="H731" s="13">
        <f>100*B731/B$7</f>
        <v/>
      </c>
      <c r="I731" s="13">
        <f>100*C731/C$7</f>
        <v/>
      </c>
      <c r="J731" s="13">
        <f>100*D731/D$7</f>
        <v/>
      </c>
      <c r="K731" s="13">
        <f>100*E731/E$7</f>
        <v/>
      </c>
      <c r="L731" s="13">
        <f>100*F731/F$7</f>
        <v/>
      </c>
      <c r="M731" s="13">
        <f>100*G731/G$7</f>
        <v/>
      </c>
    </row>
    <row r="732">
      <c r="A732" s="11" t="n">
        <v>45943</v>
      </c>
      <c r="B732" s="12" t="n">
        <v>604.2172849999999</v>
      </c>
      <c r="C732" s="12" t="n">
        <v>76.017235</v>
      </c>
      <c r="D732" s="12" t="n">
        <v>61.724232</v>
      </c>
      <c r="E732" s="12" t="n">
        <v>81.783119</v>
      </c>
      <c r="F732" s="12" t="n">
        <v>20.118382</v>
      </c>
      <c r="G732" s="12" t="n">
        <v>99.36628</v>
      </c>
      <c r="H732" s="13">
        <f>100*B732/B$7</f>
        <v/>
      </c>
      <c r="I732" s="13">
        <f>100*C732/C$7</f>
        <v/>
      </c>
      <c r="J732" s="13">
        <f>100*D732/D$7</f>
        <v/>
      </c>
      <c r="K732" s="13">
        <f>100*E732/E$7</f>
        <v/>
      </c>
      <c r="L732" s="13">
        <f>100*F732/F$7</f>
        <v/>
      </c>
      <c r="M732" s="13">
        <f>100*G732/G$7</f>
        <v/>
      </c>
    </row>
    <row r="733">
      <c r="A733" s="11" t="n">
        <v>45944</v>
      </c>
      <c r="B733" s="12" t="n">
        <v>603.36499</v>
      </c>
      <c r="C733" s="12" t="n">
        <v>76.736267</v>
      </c>
      <c r="D733" s="12" t="n">
        <v>60.902008</v>
      </c>
      <c r="E733" s="12" t="n">
        <v>80.87354999999999</v>
      </c>
      <c r="F733" s="12" t="n">
        <v>20.08024</v>
      </c>
      <c r="G733" s="12" t="n">
        <v>98.416298</v>
      </c>
      <c r="H733" s="13">
        <f>100*B733/B$7</f>
        <v/>
      </c>
      <c r="I733" s="13">
        <f>100*C733/C$7</f>
        <v/>
      </c>
      <c r="J733" s="13">
        <f>100*D733/D$7</f>
        <v/>
      </c>
      <c r="K733" s="13">
        <f>100*E733/E$7</f>
        <v/>
      </c>
      <c r="L733" s="13">
        <f>100*F733/F$7</f>
        <v/>
      </c>
      <c r="M733" s="13">
        <f>100*G733/G$7</f>
        <v/>
      </c>
    </row>
    <row r="734">
      <c r="A734" s="11" t="n">
        <v>45945</v>
      </c>
      <c r="B734" s="12" t="n">
        <v>606.021179</v>
      </c>
      <c r="C734" s="12" t="n">
        <v>77.93467699999999</v>
      </c>
      <c r="D734" s="12" t="n">
        <v>62.135345</v>
      </c>
      <c r="E734" s="12" t="n">
        <v>83.299072</v>
      </c>
      <c r="F734" s="12" t="n">
        <v>20.108847</v>
      </c>
      <c r="G734" s="12" t="n">
        <v>99.307518</v>
      </c>
      <c r="H734" s="13">
        <f>100*B734/B$7</f>
        <v/>
      </c>
      <c r="I734" s="13">
        <f>100*C734/C$7</f>
        <v/>
      </c>
      <c r="J734" s="13">
        <f>100*D734/D$7</f>
        <v/>
      </c>
      <c r="K734" s="13">
        <f>100*E734/E$7</f>
        <v/>
      </c>
      <c r="L734" s="13">
        <f>100*F734/F$7</f>
        <v/>
      </c>
      <c r="M734" s="13">
        <f>100*G734/G$7</f>
        <v/>
      </c>
    </row>
    <row r="735">
      <c r="A735" s="11" t="n">
        <v>45946</v>
      </c>
      <c r="B735" s="12" t="n">
        <v>602.016968</v>
      </c>
      <c r="C735" s="12" t="n">
        <v>78.18394499999999</v>
      </c>
      <c r="D735" s="12" t="n">
        <v>62.307438</v>
      </c>
      <c r="E735" s="12" t="n">
        <v>85.949539</v>
      </c>
      <c r="F735" s="12" t="n">
        <v>20.013498</v>
      </c>
      <c r="G735" s="12" t="n">
        <v>99.35649100000001</v>
      </c>
      <c r="H735" s="13">
        <f>100*B735/B$7</f>
        <v/>
      </c>
      <c r="I735" s="13">
        <f>100*C735/C$7</f>
        <v/>
      </c>
      <c r="J735" s="13">
        <f>100*D735/D$7</f>
        <v/>
      </c>
      <c r="K735" s="13">
        <f>100*E735/E$7</f>
        <v/>
      </c>
      <c r="L735" s="13">
        <f>100*F735/F$7</f>
        <v/>
      </c>
      <c r="M735" s="13">
        <f>100*G735/G$7</f>
        <v/>
      </c>
    </row>
    <row r="736">
      <c r="A736" s="11" t="n">
        <v>45947</v>
      </c>
      <c r="B736" s="12" t="n">
        <v>605.357117</v>
      </c>
      <c r="C736" s="12" t="n">
        <v>78.61537199999999</v>
      </c>
      <c r="D736" s="12" t="n">
        <v>62.230949</v>
      </c>
      <c r="E736" s="12" t="n">
        <v>86.575478</v>
      </c>
      <c r="F736" s="12" t="n">
        <v>20.204195</v>
      </c>
      <c r="G736" s="12" t="n">
        <v>98.90598300000001</v>
      </c>
      <c r="H736" s="13">
        <f>100*B736/B$7</f>
        <v/>
      </c>
      <c r="I736" s="13">
        <f>100*C736/C$7</f>
        <v/>
      </c>
      <c r="J736" s="13">
        <f>100*D736/D$7</f>
        <v/>
      </c>
      <c r="K736" s="13">
        <f>100*E736/E$7</f>
        <v/>
      </c>
      <c r="L736" s="13">
        <f>100*F736/F$7</f>
        <v/>
      </c>
      <c r="M736" s="13">
        <f>100*G736/G$7</f>
        <v/>
      </c>
    </row>
    <row r="737">
      <c r="A737" s="11" t="n">
        <v>45950</v>
      </c>
      <c r="B737" s="12" t="n">
        <v>611.710388</v>
      </c>
      <c r="C737" s="12" t="n">
        <v>80.09180499999999</v>
      </c>
      <c r="D737" s="12" t="n">
        <v>63.263512</v>
      </c>
      <c r="E737" s="12" t="n">
        <v>88.443527</v>
      </c>
      <c r="F737" s="12" t="n">
        <v>20.423494</v>
      </c>
      <c r="G737" s="12" t="n">
        <v>99.983276</v>
      </c>
      <c r="H737" s="13">
        <f>100*B737/B$7</f>
        <v/>
      </c>
      <c r="I737" s="13">
        <f>100*C737/C$7</f>
        <v/>
      </c>
      <c r="J737" s="13">
        <f>100*D737/D$7</f>
        <v/>
      </c>
      <c r="K737" s="13">
        <f>100*E737/E$7</f>
        <v/>
      </c>
      <c r="L737" s="13">
        <f>100*F737/F$7</f>
        <v/>
      </c>
      <c r="M737" s="13">
        <f>100*G737/G$7</f>
        <v/>
      </c>
    </row>
    <row r="738">
      <c r="A738" s="11" t="n">
        <v>45951</v>
      </c>
      <c r="B738" s="12" t="n">
        <v>611.631165</v>
      </c>
      <c r="C738" s="12" t="n">
        <v>79.16184199999999</v>
      </c>
      <c r="D738" s="12" t="n">
        <v>62.890644</v>
      </c>
      <c r="E738" s="12" t="n">
        <v>86.692848</v>
      </c>
      <c r="F738" s="12" t="n">
        <v>20.318611</v>
      </c>
      <c r="G738" s="12" t="n">
        <v>99.180206</v>
      </c>
      <c r="H738" s="13">
        <f>100*B738/B$7</f>
        <v/>
      </c>
      <c r="I738" s="13">
        <f>100*C738/C$7</f>
        <v/>
      </c>
      <c r="J738" s="13">
        <f>100*D738/D$7</f>
        <v/>
      </c>
      <c r="K738" s="13">
        <f>100*E738/E$7</f>
        <v/>
      </c>
      <c r="L738" s="13">
        <f>100*F738/F$7</f>
        <v/>
      </c>
      <c r="M738" s="13">
        <f>100*G738/G$7</f>
        <v/>
      </c>
    </row>
    <row r="739">
      <c r="A739" s="11" t="n">
        <v>45952</v>
      </c>
      <c r="B739" s="12" t="n">
        <v>608.538696</v>
      </c>
      <c r="C739" s="12" t="n">
        <v>78.787941</v>
      </c>
      <c r="D739" s="12" t="n">
        <v>62.173588</v>
      </c>
      <c r="E739" s="12" t="n">
        <v>87.485046</v>
      </c>
      <c r="F739" s="12" t="n">
        <v>20.051638</v>
      </c>
      <c r="G739" s="12" t="n">
        <v>98.66114</v>
      </c>
      <c r="H739" s="13">
        <f>100*B739/B$7</f>
        <v/>
      </c>
      <c r="I739" s="13">
        <f>100*C739/C$7</f>
        <v/>
      </c>
      <c r="J739" s="13">
        <f>100*D739/D$7</f>
        <v/>
      </c>
      <c r="K739" s="13">
        <f>100*E739/E$7</f>
        <v/>
      </c>
      <c r="L739" s="13">
        <f>100*F739/F$7</f>
        <v/>
      </c>
      <c r="M739" s="13">
        <f>100*G739/G$7</f>
        <v/>
      </c>
    </row>
    <row r="740">
      <c r="A740" s="11" t="n">
        <v>45953</v>
      </c>
      <c r="B740" s="12" t="n">
        <v>611.978027</v>
      </c>
      <c r="C740" s="12" t="n">
        <v>78.826286</v>
      </c>
      <c r="D740" s="12" t="n">
        <v>62.823719</v>
      </c>
      <c r="E740" s="12" t="n">
        <v>88.091431</v>
      </c>
      <c r="F740" s="12" t="n">
        <v>20.232796</v>
      </c>
      <c r="G740" s="12" t="n">
        <v>100.022453</v>
      </c>
      <c r="H740" s="13">
        <f>100*B740/B$7</f>
        <v/>
      </c>
      <c r="I740" s="13">
        <f>100*C740/C$7</f>
        <v/>
      </c>
      <c r="J740" s="13">
        <f>100*D740/D$7</f>
        <v/>
      </c>
      <c r="K740" s="13">
        <f>100*E740/E$7</f>
        <v/>
      </c>
      <c r="L740" s="13">
        <f>100*F740/F$7</f>
        <v/>
      </c>
      <c r="M740" s="13">
        <f>100*G740/G$7</f>
        <v/>
      </c>
    </row>
    <row r="741">
      <c r="A741" s="11" t="n">
        <v>45954</v>
      </c>
      <c r="B741" s="12" t="n">
        <v>617.0428470000001</v>
      </c>
      <c r="C741" s="12" t="n">
        <v>79.094734</v>
      </c>
      <c r="D741" s="12" t="n">
        <v>63.559902</v>
      </c>
      <c r="E741" s="12" t="n">
        <v>90.027939</v>
      </c>
      <c r="F741" s="12" t="n">
        <v>20.41396</v>
      </c>
      <c r="G741" s="12" t="n">
        <v>100.717804</v>
      </c>
      <c r="H741" s="13">
        <f>100*B741/B$7</f>
        <v/>
      </c>
      <c r="I741" s="13">
        <f>100*C741/C$7</f>
        <v/>
      </c>
      <c r="J741" s="13">
        <f>100*D741/D$7</f>
        <v/>
      </c>
      <c r="K741" s="13">
        <f>100*E741/E$7</f>
        <v/>
      </c>
      <c r="L741" s="13">
        <f>100*F741/F$7</f>
        <v/>
      </c>
      <c r="M741" s="13">
        <f>100*G741/G$7</f>
        <v/>
      </c>
    </row>
    <row r="742">
      <c r="A742" s="11" t="n">
        <v>45957</v>
      </c>
      <c r="B742" s="12" t="n">
        <v>624.42688</v>
      </c>
      <c r="C742" s="12" t="n">
        <v>80.08221399999999</v>
      </c>
      <c r="D742" s="12" t="n">
        <v>64.037941</v>
      </c>
      <c r="E742" s="12" t="n">
        <v>92.23828899999999</v>
      </c>
      <c r="F742" s="12" t="n">
        <v>20.614191</v>
      </c>
      <c r="G742" s="12" t="n">
        <v>102.412102</v>
      </c>
      <c r="H742" s="13">
        <f>100*B742/B$7</f>
        <v/>
      </c>
      <c r="I742" s="13">
        <f>100*C742/C$7</f>
        <v/>
      </c>
      <c r="J742" s="13">
        <f>100*D742/D$7</f>
        <v/>
      </c>
      <c r="K742" s="13">
        <f>100*E742/E$7</f>
        <v/>
      </c>
      <c r="L742" s="13">
        <f>100*F742/F$7</f>
        <v/>
      </c>
      <c r="M742" s="13">
        <f>100*G742/G$7</f>
        <v/>
      </c>
    </row>
    <row r="743">
      <c r="A743" s="11" t="n">
        <v>45958</v>
      </c>
      <c r="B743" s="12" t="n">
        <v>626.10199</v>
      </c>
      <c r="C743" s="12" t="n">
        <v>80.465706</v>
      </c>
      <c r="D743" s="12" t="n">
        <v>64.14310500000001</v>
      </c>
      <c r="E743" s="12" t="n">
        <v>92.375214</v>
      </c>
      <c r="F743" s="12" t="n">
        <v>20.862093</v>
      </c>
      <c r="G743" s="12" t="n">
        <v>101.755936</v>
      </c>
      <c r="H743" s="13">
        <f>100*B743/B$7</f>
        <v/>
      </c>
      <c r="I743" s="13">
        <f>100*C743/C$7</f>
        <v/>
      </c>
      <c r="J743" s="13">
        <f>100*D743/D$7</f>
        <v/>
      </c>
      <c r="K743" s="13">
        <f>100*E743/E$7</f>
        <v/>
      </c>
      <c r="L743" s="13">
        <f>100*F743/F$7</f>
        <v/>
      </c>
      <c r="M743" s="13">
        <f>100*G743/G$7</f>
        <v/>
      </c>
    </row>
    <row r="744">
      <c r="A744" s="11" t="n">
        <v>45959</v>
      </c>
      <c r="B744" s="12" t="n">
        <v>626.35968</v>
      </c>
      <c r="C744" s="12" t="n">
        <v>79.794601</v>
      </c>
      <c r="D744" s="12" t="n">
        <v>64.181343</v>
      </c>
      <c r="E744" s="12" t="n">
        <v>94.7714</v>
      </c>
      <c r="F744" s="12" t="n">
        <v>20.919304</v>
      </c>
      <c r="G744" s="12" t="n">
        <v>102.402313</v>
      </c>
      <c r="H744" s="13">
        <f>100*B744/B$7</f>
        <v/>
      </c>
      <c r="I744" s="13">
        <f>100*C744/C$7</f>
        <v/>
      </c>
      <c r="J744" s="13">
        <f>100*D744/D$7</f>
        <v/>
      </c>
      <c r="K744" s="13">
        <f>100*E744/E$7</f>
        <v/>
      </c>
      <c r="L744" s="13">
        <f>100*F744/F$7</f>
        <v/>
      </c>
      <c r="M744" s="13">
        <f>100*G744/G$7</f>
        <v/>
      </c>
    </row>
    <row r="745">
      <c r="A745" s="11" t="n">
        <v>45960</v>
      </c>
      <c r="B745" s="12" t="n">
        <v>619.708984</v>
      </c>
      <c r="C745" s="12" t="n">
        <v>79.77542099999999</v>
      </c>
      <c r="D745" s="12" t="n">
        <v>63.617264</v>
      </c>
      <c r="E745" s="12" t="n">
        <v>93.167427</v>
      </c>
      <c r="F745" s="12" t="n">
        <v>20.442562</v>
      </c>
      <c r="G745" s="12" t="n">
        <v>100.854927</v>
      </c>
      <c r="H745" s="13">
        <f>100*B745/B$7</f>
        <v/>
      </c>
      <c r="I745" s="13">
        <f>100*C745/C$7</f>
        <v/>
      </c>
      <c r="J745" s="13">
        <f>100*D745/D$7</f>
        <v/>
      </c>
      <c r="K745" s="13">
        <f>100*E745/E$7</f>
        <v/>
      </c>
      <c r="L745" s="13">
        <f>100*F745/F$7</f>
        <v/>
      </c>
      <c r="M745" s="13">
        <f>100*G745/G$7</f>
        <v/>
      </c>
    </row>
    <row r="746">
      <c r="A746" s="11" t="n">
        <v>45961</v>
      </c>
      <c r="B746" s="12" t="n">
        <v>621.493103</v>
      </c>
      <c r="C746" s="12" t="n">
        <v>80.005516</v>
      </c>
      <c r="D746" s="12" t="n">
        <v>63.722431</v>
      </c>
      <c r="E746" s="12" t="n">
        <v>94.869202</v>
      </c>
      <c r="F746" s="12" t="n">
        <v>20.53791</v>
      </c>
      <c r="G746" s="12" t="n">
        <v>99.797203</v>
      </c>
      <c r="H746" s="13">
        <f>100*B746/B$7</f>
        <v/>
      </c>
      <c r="I746" s="13">
        <f>100*C746/C$7</f>
        <v/>
      </c>
      <c r="J746" s="13">
        <f>100*D746/D$7</f>
        <v/>
      </c>
      <c r="K746" s="13">
        <f>100*E746/E$7</f>
        <v/>
      </c>
      <c r="L746" s="13">
        <f>100*F746/F$7</f>
        <v/>
      </c>
      <c r="M746" s="13">
        <f>100*G746/G$7</f>
        <v/>
      </c>
    </row>
    <row r="747">
      <c r="A747" s="11" t="n">
        <v>45964</v>
      </c>
      <c r="B747" s="12" t="n">
        <v>622.71228</v>
      </c>
      <c r="C747" s="12" t="n">
        <v>80.187675</v>
      </c>
      <c r="D747" s="12" t="n">
        <v>63.961452</v>
      </c>
      <c r="E747" s="12" t="n">
        <v>98.56616200000001</v>
      </c>
      <c r="F747" s="12" t="n">
        <v>20.976511</v>
      </c>
      <c r="G747" s="12" t="n">
        <v>99.787407</v>
      </c>
      <c r="H747" s="13">
        <f>100*B747/B$7</f>
        <v/>
      </c>
      <c r="I747" s="13">
        <f>100*C747/C$7</f>
        <v/>
      </c>
      <c r="J747" s="13">
        <f>100*D747/D$7</f>
        <v/>
      </c>
      <c r="K747" s="13">
        <f>100*E747/E$7</f>
        <v/>
      </c>
      <c r="L747" s="13">
        <f>100*F747/F$7</f>
        <v/>
      </c>
      <c r="M747" s="13">
        <f>100*G747/G$7</f>
        <v/>
      </c>
    </row>
    <row r="748">
      <c r="A748" s="11" t="n">
        <v>45965</v>
      </c>
      <c r="B748" s="12" t="n">
        <v>615.4966429999999</v>
      </c>
      <c r="C748" s="12" t="n">
        <v>79.41110999999999</v>
      </c>
      <c r="D748" s="12" t="n">
        <v>62.556019</v>
      </c>
      <c r="E748" s="12" t="n">
        <v>93.656441</v>
      </c>
      <c r="F748" s="12" t="n">
        <v>20.843023</v>
      </c>
      <c r="G748" s="12" t="n">
        <v>98.45547500000001</v>
      </c>
      <c r="H748" s="13">
        <f>100*B748/B$7</f>
        <v/>
      </c>
      <c r="I748" s="13">
        <f>100*C748/C$7</f>
        <v/>
      </c>
      <c r="J748" s="13">
        <f>100*D748/D$7</f>
        <v/>
      </c>
      <c r="K748" s="13">
        <f>100*E748/E$7</f>
        <v/>
      </c>
      <c r="L748" s="13">
        <f>100*F748/F$7</f>
        <v/>
      </c>
      <c r="M748" s="13">
        <f>100*G748/G$7</f>
        <v/>
      </c>
    </row>
    <row r="749">
      <c r="A749" s="11" t="n">
        <v>45966</v>
      </c>
      <c r="B749" s="12" t="n">
        <v>617.350037</v>
      </c>
      <c r="C749" s="12" t="n">
        <v>79.382347</v>
      </c>
      <c r="D749" s="12" t="n">
        <v>63.129662</v>
      </c>
      <c r="E749" s="12" t="n">
        <v>94.497551</v>
      </c>
      <c r="F749" s="12" t="n">
        <v>21.062323</v>
      </c>
      <c r="G749" s="12" t="n">
        <v>99.581749</v>
      </c>
      <c r="H749" s="13">
        <f>100*B749/B$7</f>
        <v/>
      </c>
      <c r="I749" s="13">
        <f>100*C749/C$7</f>
        <v/>
      </c>
      <c r="J749" s="13">
        <f>100*D749/D$7</f>
        <v/>
      </c>
      <c r="K749" s="13">
        <f>100*E749/E$7</f>
        <v/>
      </c>
      <c r="L749" s="13">
        <f>100*F749/F$7</f>
        <v/>
      </c>
      <c r="M749" s="13">
        <f>100*G749/G$7</f>
        <v/>
      </c>
    </row>
    <row r="750">
      <c r="A750" s="11" t="n">
        <v>45967</v>
      </c>
      <c r="B750" s="12" t="n">
        <v>610.788635</v>
      </c>
      <c r="C750" s="12" t="n">
        <v>79.53574399999999</v>
      </c>
      <c r="D750" s="12" t="n">
        <v>62.087543</v>
      </c>
      <c r="E750" s="12" t="n">
        <v>91.455872</v>
      </c>
      <c r="F750" s="12" t="n">
        <v>21.167206</v>
      </c>
      <c r="G750" s="12" t="n">
        <v>100.443581</v>
      </c>
      <c r="H750" s="13">
        <f>100*B750/B$7</f>
        <v/>
      </c>
      <c r="I750" s="13">
        <f>100*C750/C$7</f>
        <v/>
      </c>
      <c r="J750" s="13">
        <f>100*D750/D$7</f>
        <v/>
      </c>
      <c r="K750" s="13">
        <f>100*E750/E$7</f>
        <v/>
      </c>
      <c r="L750" s="13">
        <f>100*F750/F$7</f>
        <v/>
      </c>
      <c r="M750" s="13">
        <f>100*G750/G$7</f>
        <v/>
      </c>
    </row>
    <row r="751">
      <c r="A751" s="11" t="n">
        <v>45968</v>
      </c>
      <c r="B751" s="12" t="n">
        <v>611.432861</v>
      </c>
      <c r="C751" s="12" t="n">
        <v>79.852119</v>
      </c>
      <c r="D751" s="12" t="n">
        <v>61.772038</v>
      </c>
      <c r="E751" s="12" t="n">
        <v>89.783432</v>
      </c>
      <c r="F751" s="12" t="n">
        <v>21.243484</v>
      </c>
      <c r="G751" s="12" t="n">
        <v>100.032257</v>
      </c>
      <c r="H751" s="13">
        <f>100*B751/B$7</f>
        <v/>
      </c>
      <c r="I751" s="13">
        <f>100*C751/C$7</f>
        <v/>
      </c>
      <c r="J751" s="13">
        <f>100*D751/D$7</f>
        <v/>
      </c>
      <c r="K751" s="13">
        <f>100*E751/E$7</f>
        <v/>
      </c>
      <c r="L751" s="13">
        <f>100*F751/F$7</f>
        <v/>
      </c>
      <c r="M751" s="13">
        <f>100*G751/G$7</f>
        <v/>
      </c>
    </row>
    <row r="752">
      <c r="A752" s="11" t="n">
        <v>45971</v>
      </c>
      <c r="B752" s="12" t="n">
        <v>620.928101</v>
      </c>
      <c r="C752" s="12" t="n">
        <v>80.226028</v>
      </c>
      <c r="D752" s="12" t="n">
        <v>62.861965</v>
      </c>
      <c r="E752" s="12" t="n">
        <v>93.56841300000001</v>
      </c>
      <c r="F752" s="12" t="n">
        <v>21.529526</v>
      </c>
      <c r="G752" s="12" t="n">
        <v>101.520889</v>
      </c>
      <c r="H752" s="13">
        <f>100*B752/B$7</f>
        <v/>
      </c>
      <c r="I752" s="13">
        <f>100*C752/C$7</f>
        <v/>
      </c>
      <c r="J752" s="13">
        <f>100*D752/D$7</f>
        <v/>
      </c>
      <c r="K752" s="13">
        <f>100*E752/E$7</f>
        <v/>
      </c>
      <c r="L752" s="13">
        <f>100*F752/F$7</f>
        <v/>
      </c>
      <c r="M752" s="13">
        <f>100*G752/G$7</f>
        <v/>
      </c>
    </row>
    <row r="753">
      <c r="A753" s="11" t="n">
        <v>45972</v>
      </c>
      <c r="B753" s="12" t="n">
        <v>622.355408</v>
      </c>
      <c r="C753" s="12" t="n">
        <v>80.293137</v>
      </c>
      <c r="D753" s="12" t="n">
        <v>62.517776</v>
      </c>
      <c r="E753" s="12" t="n">
        <v>93.19677</v>
      </c>
      <c r="F753" s="12" t="n">
        <v>21.758362</v>
      </c>
      <c r="G753" s="12" t="n">
        <v>101.021416</v>
      </c>
      <c r="H753" s="13">
        <f>100*B753/B$7</f>
        <v/>
      </c>
      <c r="I753" s="13">
        <f>100*C753/C$7</f>
        <v/>
      </c>
      <c r="J753" s="13">
        <f>100*D753/D$7</f>
        <v/>
      </c>
      <c r="K753" s="13">
        <f>100*E753/E$7</f>
        <v/>
      </c>
      <c r="L753" s="13">
        <f>100*F753/F$7</f>
        <v/>
      </c>
      <c r="M753" s="13">
        <f>100*G753/G$7</f>
        <v/>
      </c>
    </row>
    <row r="754">
      <c r="A754" s="11" t="n">
        <v>45973</v>
      </c>
      <c r="B754" s="12" t="n">
        <v>622.662598</v>
      </c>
      <c r="C754" s="12" t="n">
        <v>80.85878</v>
      </c>
      <c r="D754" s="12" t="n">
        <v>62.5369</v>
      </c>
      <c r="E754" s="12" t="n">
        <v>93.812927</v>
      </c>
      <c r="F754" s="12" t="n">
        <v>22.063475</v>
      </c>
      <c r="G754" s="12" t="n">
        <v>101.060585</v>
      </c>
      <c r="H754" s="13">
        <f>100*B754/B$7</f>
        <v/>
      </c>
      <c r="I754" s="13">
        <f>100*C754/C$7</f>
        <v/>
      </c>
      <c r="J754" s="13">
        <f>100*D754/D$7</f>
        <v/>
      </c>
      <c r="K754" s="13">
        <f>100*E754/E$7</f>
        <v/>
      </c>
      <c r="L754" s="13">
        <f>100*F754/F$7</f>
        <v/>
      </c>
      <c r="M754" s="13">
        <f>100*G754/G$7</f>
        <v/>
      </c>
    </row>
    <row r="755">
      <c r="A755" s="11" t="n">
        <v>45974</v>
      </c>
      <c r="B755" s="12" t="n">
        <v>612.523132</v>
      </c>
      <c r="C755" s="12" t="n">
        <v>79.583687</v>
      </c>
      <c r="D755" s="12" t="n">
        <v>61.179272</v>
      </c>
      <c r="E755" s="12" t="n">
        <v>92.003563</v>
      </c>
      <c r="F755" s="12" t="n">
        <v>21.825104</v>
      </c>
      <c r="G755" s="12" t="n">
        <v>100.962646</v>
      </c>
      <c r="H755" s="13">
        <f>100*B755/B$7</f>
        <v/>
      </c>
      <c r="I755" s="13">
        <f>100*C755/C$7</f>
        <v/>
      </c>
      <c r="J755" s="13">
        <f>100*D755/D$7</f>
        <v/>
      </c>
      <c r="K755" s="13">
        <f>100*E755/E$7</f>
        <v/>
      </c>
      <c r="L755" s="13">
        <f>100*F755/F$7</f>
        <v/>
      </c>
      <c r="M755" s="13">
        <f>100*G755/G$7</f>
        <v/>
      </c>
    </row>
    <row r="756">
      <c r="A756" s="11" t="n">
        <v>45975</v>
      </c>
      <c r="B756" s="12" t="n">
        <v>612.364624</v>
      </c>
      <c r="C756" s="12" t="n">
        <v>80.513649</v>
      </c>
      <c r="D756" s="12" t="n">
        <v>62.307438</v>
      </c>
      <c r="E756" s="12" t="n">
        <v>92.062241</v>
      </c>
      <c r="F756" s="12" t="n">
        <v>21.71069</v>
      </c>
      <c r="G756" s="12" t="n">
        <v>99.650299</v>
      </c>
      <c r="H756" s="13">
        <f>100*B756/B$7</f>
        <v/>
      </c>
      <c r="I756" s="13">
        <f>100*C756/C$7</f>
        <v/>
      </c>
      <c r="J756" s="13">
        <f>100*D756/D$7</f>
        <v/>
      </c>
      <c r="K756" s="13">
        <f>100*E756/E$7</f>
        <v/>
      </c>
      <c r="L756" s="13">
        <f>100*F756/F$7</f>
        <v/>
      </c>
      <c r="M756" s="13">
        <f>100*G756/G$7</f>
        <v/>
      </c>
    </row>
    <row r="757">
      <c r="A757" s="11" t="n">
        <v>45978</v>
      </c>
      <c r="B757" s="12" t="n">
        <v>606.625793</v>
      </c>
      <c r="C757" s="12" t="n">
        <v>79.065971</v>
      </c>
      <c r="D757" s="12" t="n">
        <v>60.385727</v>
      </c>
      <c r="E757" s="12" t="n">
        <v>90.976624</v>
      </c>
      <c r="F757" s="12" t="n">
        <v>21.319761</v>
      </c>
      <c r="G757" s="12" t="n">
        <v>98.64155599999999</v>
      </c>
      <c r="H757" s="13">
        <f>100*B757/B$7</f>
        <v/>
      </c>
      <c r="I757" s="13">
        <f>100*C757/C$7</f>
        <v/>
      </c>
      <c r="J757" s="13">
        <f>100*D757/D$7</f>
        <v/>
      </c>
      <c r="K757" s="13">
        <f>100*E757/E$7</f>
        <v/>
      </c>
      <c r="L757" s="13">
        <f>100*F757/F$7</f>
        <v/>
      </c>
      <c r="M757" s="13">
        <f>100*G757/G$7</f>
        <v/>
      </c>
    </row>
    <row r="758">
      <c r="A758" s="11" t="n">
        <v>45979</v>
      </c>
      <c r="B758" s="12" t="n">
        <v>601.630432</v>
      </c>
      <c r="C758" s="12" t="n">
        <v>77.445724</v>
      </c>
      <c r="D758" s="12" t="n">
        <v>59.917248</v>
      </c>
      <c r="E758" s="12" t="n">
        <v>89.578041</v>
      </c>
      <c r="F758" s="12" t="n">
        <v>21.052788</v>
      </c>
      <c r="G758" s="12" t="n">
        <v>97.975594</v>
      </c>
      <c r="H758" s="13">
        <f>100*B758/B$7</f>
        <v/>
      </c>
      <c r="I758" s="13">
        <f>100*C758/C$7</f>
        <v/>
      </c>
      <c r="J758" s="13">
        <f>100*D758/D$7</f>
        <v/>
      </c>
      <c r="K758" s="13">
        <f>100*E758/E$7</f>
        <v/>
      </c>
      <c r="L758" s="13">
        <f>100*F758/F$7</f>
        <v/>
      </c>
      <c r="M758" s="13">
        <f>100*G758/G$7</f>
        <v/>
      </c>
    </row>
    <row r="759">
      <c r="A759" s="11" t="n">
        <v>45980</v>
      </c>
      <c r="B759" s="12" t="n">
        <v>603.810913</v>
      </c>
      <c r="C759" s="12" t="n">
        <v>77.34985399999999</v>
      </c>
      <c r="D759" s="12" t="n">
        <v>59.754719</v>
      </c>
      <c r="E759" s="12" t="n">
        <v>88.570663</v>
      </c>
      <c r="F759" s="12" t="n">
        <v>20.871628</v>
      </c>
      <c r="G759" s="12" t="n">
        <v>97.221474</v>
      </c>
      <c r="H759" s="13">
        <f>100*B759/B$7</f>
        <v/>
      </c>
      <c r="I759" s="13">
        <f>100*C759/C$7</f>
        <v/>
      </c>
      <c r="J759" s="13">
        <f>100*D759/D$7</f>
        <v/>
      </c>
      <c r="K759" s="13">
        <f>100*E759/E$7</f>
        <v/>
      </c>
      <c r="L759" s="13">
        <f>100*F759/F$7</f>
        <v/>
      </c>
      <c r="M759" s="13">
        <f>100*G759/G$7</f>
        <v/>
      </c>
    </row>
    <row r="760">
      <c r="A760" s="11" t="n">
        <v>45981</v>
      </c>
      <c r="B760" s="12" t="n">
        <v>594.65271</v>
      </c>
      <c r="C760" s="12" t="n">
        <v>76.208969</v>
      </c>
      <c r="D760" s="12" t="n">
        <v>58.970737</v>
      </c>
      <c r="E760" s="12" t="n">
        <v>86.585258</v>
      </c>
      <c r="F760" s="12" t="n">
        <v>20.633257</v>
      </c>
      <c r="G760" s="12" t="n">
        <v>95.683876</v>
      </c>
      <c r="H760" s="13">
        <f>100*B760/B$7</f>
        <v/>
      </c>
      <c r="I760" s="13">
        <f>100*C760/C$7</f>
        <v/>
      </c>
      <c r="J760" s="13">
        <f>100*D760/D$7</f>
        <v/>
      </c>
      <c r="K760" s="13">
        <f>100*E760/E$7</f>
        <v/>
      </c>
      <c r="L760" s="13">
        <f>100*F760/F$7</f>
        <v/>
      </c>
      <c r="M760" s="13">
        <f>100*G760/G$7</f>
        <v/>
      </c>
    </row>
    <row r="761">
      <c r="A761" s="11" t="n">
        <v>45982</v>
      </c>
      <c r="B761" s="12" t="n">
        <v>600.569824</v>
      </c>
      <c r="C761" s="12" t="n">
        <v>77.83880600000001</v>
      </c>
      <c r="D761" s="12" t="n">
        <v>59.085464</v>
      </c>
      <c r="E761" s="12" t="n">
        <v>87.260109</v>
      </c>
      <c r="F761" s="12" t="n">
        <v>20.690468</v>
      </c>
      <c r="G761" s="12" t="n">
        <v>95.31171399999999</v>
      </c>
      <c r="H761" s="13">
        <f>100*B761/B$7</f>
        <v/>
      </c>
      <c r="I761" s="13">
        <f>100*C761/C$7</f>
        <v/>
      </c>
      <c r="J761" s="13">
        <f>100*D761/D$7</f>
        <v/>
      </c>
      <c r="K761" s="13">
        <f>100*E761/E$7</f>
        <v/>
      </c>
      <c r="L761" s="13">
        <f>100*F761/F$7</f>
        <v/>
      </c>
      <c r="M761" s="13">
        <f>100*G761/G$7</f>
        <v/>
      </c>
    </row>
    <row r="762">
      <c r="A762" s="11" t="n">
        <v>45985</v>
      </c>
      <c r="B762" s="12" t="n">
        <v>609.500122</v>
      </c>
      <c r="C762" s="12" t="n">
        <v>78.366096</v>
      </c>
      <c r="D762" s="12" t="n">
        <v>59.764278</v>
      </c>
      <c r="E762" s="12" t="n">
        <v>88.316383</v>
      </c>
      <c r="F762" s="12" t="n">
        <v>21.100462</v>
      </c>
      <c r="G762" s="12" t="n">
        <v>96.810143</v>
      </c>
      <c r="H762" s="13">
        <f>100*B762/B$7</f>
        <v/>
      </c>
      <c r="I762" s="13">
        <f>100*C762/C$7</f>
        <v/>
      </c>
      <c r="J762" s="13">
        <f>100*D762/D$7</f>
        <v/>
      </c>
      <c r="K762" s="13">
        <f>100*E762/E$7</f>
        <v/>
      </c>
      <c r="L762" s="13">
        <f>100*F762/F$7</f>
        <v/>
      </c>
      <c r="M762" s="13">
        <f>100*G762/G$7</f>
        <v/>
      </c>
    </row>
    <row r="763">
      <c r="A763" s="11" t="n">
        <v>45986</v>
      </c>
      <c r="B763" s="12" t="n">
        <v>615.1695559999999</v>
      </c>
      <c r="C763" s="12" t="n">
        <v>78.538673</v>
      </c>
      <c r="D763" s="12" t="n">
        <v>60.041538</v>
      </c>
      <c r="E763" s="12" t="n">
        <v>87.817581</v>
      </c>
      <c r="F763" s="12" t="n">
        <v>21.119534</v>
      </c>
      <c r="G763" s="12" t="n">
        <v>97.329201</v>
      </c>
      <c r="H763" s="13">
        <f>100*B763/B$7</f>
        <v/>
      </c>
      <c r="I763" s="13">
        <f>100*C763/C$7</f>
        <v/>
      </c>
      <c r="J763" s="13">
        <f>100*D763/D$7</f>
        <v/>
      </c>
      <c r="K763" s="13">
        <f>100*E763/E$7</f>
        <v/>
      </c>
      <c r="L763" s="13">
        <f>100*F763/F$7</f>
        <v/>
      </c>
      <c r="M763" s="13">
        <f>100*G763/G$7</f>
        <v/>
      </c>
    </row>
    <row r="764">
      <c r="A764" s="11" t="n">
        <v>45987</v>
      </c>
      <c r="B764" s="12" t="n">
        <v>619.421631</v>
      </c>
      <c r="C764" s="12" t="n">
        <v>79.823364</v>
      </c>
      <c r="D764" s="12" t="n">
        <v>60.863766</v>
      </c>
      <c r="E764" s="12" t="n">
        <v>89.53892500000001</v>
      </c>
      <c r="F764" s="12" t="n">
        <v>21.129066</v>
      </c>
      <c r="G764" s="12" t="n">
        <v>96.996223</v>
      </c>
      <c r="H764" s="13">
        <f>100*B764/B$7</f>
        <v/>
      </c>
      <c r="I764" s="13">
        <f>100*C764/C$7</f>
        <v/>
      </c>
      <c r="J764" s="13">
        <f>100*D764/D$7</f>
        <v/>
      </c>
      <c r="K764" s="13">
        <f>100*E764/E$7</f>
        <v/>
      </c>
      <c r="L764" s="13">
        <f>100*F764/F$7</f>
        <v/>
      </c>
      <c r="M764" s="13">
        <f>100*G764/G$7</f>
        <v/>
      </c>
    </row>
    <row r="765">
      <c r="A765" s="11" t="n">
        <v>45988</v>
      </c>
      <c r="B765" s="12" t="n">
        <v>619.421631</v>
      </c>
      <c r="C765" s="12" t="n">
        <v>79.823364</v>
      </c>
      <c r="D765" s="12" t="n">
        <v>60.863766</v>
      </c>
      <c r="E765" s="12" t="n">
        <v>89.53892500000001</v>
      </c>
      <c r="F765" s="12" t="n">
        <v>21.129066</v>
      </c>
      <c r="G765" s="12" t="n">
        <v>96.996223</v>
      </c>
      <c r="H765" s="13">
        <f>100*B765/B$7</f>
        <v/>
      </c>
      <c r="I765" s="13">
        <f>100*C765/C$7</f>
        <v/>
      </c>
      <c r="J765" s="13">
        <f>100*D765/D$7</f>
        <v/>
      </c>
      <c r="K765" s="13">
        <f>100*E765/E$7</f>
        <v/>
      </c>
      <c r="L765" s="13">
        <f>100*F765/F$7</f>
        <v/>
      </c>
      <c r="M765" s="13">
        <f>100*G765/G$7</f>
        <v/>
      </c>
    </row>
    <row r="766">
      <c r="A766" s="11" t="n">
        <v>45989</v>
      </c>
      <c r="B766" s="12" t="n">
        <v>622.851013</v>
      </c>
      <c r="C766" s="12" t="n">
        <v>79.583687</v>
      </c>
      <c r="D766" s="12" t="n">
        <v>61.676434</v>
      </c>
      <c r="E766" s="12" t="n">
        <v>88.873863</v>
      </c>
      <c r="F766" s="12" t="n">
        <v>21.205345</v>
      </c>
      <c r="G766" s="12" t="n">
        <v>97.515289</v>
      </c>
      <c r="H766" s="13">
        <f>100*B766/B$7</f>
        <v/>
      </c>
      <c r="I766" s="13">
        <f>100*C766/C$7</f>
        <v/>
      </c>
      <c r="J766" s="13">
        <f>100*D766/D$7</f>
        <v/>
      </c>
      <c r="K766" s="13">
        <f>100*E766/E$7</f>
        <v/>
      </c>
      <c r="L766" s="13">
        <f>100*F766/F$7</f>
        <v/>
      </c>
      <c r="M766" s="13">
        <f>100*G766/G$7</f>
        <v/>
      </c>
    </row>
    <row r="767">
      <c r="A767" s="11" t="n">
        <v>45992</v>
      </c>
      <c r="B767" s="12" t="n">
        <v>619.986572</v>
      </c>
      <c r="C767" s="12" t="n">
        <v>79.123497</v>
      </c>
      <c r="D767" s="12" t="n">
        <v>61.313118</v>
      </c>
      <c r="E767" s="12" t="n">
        <v>88.629356</v>
      </c>
      <c r="F767" s="12" t="n">
        <v>21.224415</v>
      </c>
      <c r="G767" s="12" t="n">
        <v>98.220428</v>
      </c>
      <c r="H767" s="13">
        <f>100*B767/B$7</f>
        <v/>
      </c>
      <c r="I767" s="13">
        <f>100*C767/C$7</f>
        <v/>
      </c>
      <c r="J767" s="13">
        <f>100*D767/D$7</f>
        <v/>
      </c>
      <c r="K767" s="13">
        <f>100*E767/E$7</f>
        <v/>
      </c>
      <c r="L767" s="13">
        <f>100*F767/F$7</f>
        <v/>
      </c>
      <c r="M767" s="13">
        <f>100*G767/G$7</f>
        <v/>
      </c>
    </row>
    <row r="768">
      <c r="A768" s="11" t="n">
        <v>45993</v>
      </c>
      <c r="B768" s="12" t="n">
        <v>621.037231</v>
      </c>
      <c r="C768" s="12" t="n">
        <v>79.065971</v>
      </c>
      <c r="D768" s="12" t="n">
        <v>61.791157</v>
      </c>
      <c r="E768" s="12" t="n">
        <v>90.047501</v>
      </c>
      <c r="F768" s="12" t="n">
        <v>21.148136</v>
      </c>
      <c r="G768" s="12" t="n">
        <v>97.730743</v>
      </c>
      <c r="H768" s="13">
        <f>100*B768/B$7</f>
        <v/>
      </c>
      <c r="I768" s="13">
        <f>100*C768/C$7</f>
        <v/>
      </c>
      <c r="J768" s="13">
        <f>100*D768/D$7</f>
        <v/>
      </c>
      <c r="K768" s="13">
        <f>100*E768/E$7</f>
        <v/>
      </c>
      <c r="L768" s="13">
        <f>100*F768/F$7</f>
        <v/>
      </c>
      <c r="M768" s="13">
        <f>100*G768/G$7</f>
        <v/>
      </c>
    </row>
    <row r="769">
      <c r="A769" s="11" t="n">
        <v>45994</v>
      </c>
      <c r="B769" s="12" t="n">
        <v>623.207825</v>
      </c>
      <c r="C769" s="12" t="n">
        <v>79.20019499999999</v>
      </c>
      <c r="D769" s="12" t="n">
        <v>62.001495</v>
      </c>
      <c r="E769" s="12" t="n">
        <v>90.957069</v>
      </c>
      <c r="F769" s="12" t="n">
        <v>21.19581</v>
      </c>
      <c r="G769" s="12" t="n">
        <v>97.30961600000001</v>
      </c>
      <c r="H769" s="13">
        <f>100*B769/B$7</f>
        <v/>
      </c>
      <c r="I769" s="13">
        <f>100*C769/C$7</f>
        <v/>
      </c>
      <c r="J769" s="13">
        <f>100*D769/D$7</f>
        <v/>
      </c>
      <c r="K769" s="13">
        <f>100*E769/E$7</f>
        <v/>
      </c>
      <c r="L769" s="13">
        <f>100*F769/F$7</f>
        <v/>
      </c>
      <c r="M769" s="13">
        <f>100*G769/G$7</f>
        <v/>
      </c>
    </row>
    <row r="770">
      <c r="A770" s="11" t="n">
        <v>45995</v>
      </c>
      <c r="B770" s="12" t="n">
        <v>623.7330930000001</v>
      </c>
      <c r="C770" s="12" t="n">
        <v>80.16851</v>
      </c>
      <c r="D770" s="12" t="n">
        <v>61.676434</v>
      </c>
      <c r="E770" s="12" t="n">
        <v>89.85189800000001</v>
      </c>
      <c r="F770" s="12" t="n">
        <v>21.052788</v>
      </c>
      <c r="G770" s="12" t="n">
        <v>97.260651</v>
      </c>
      <c r="H770" s="13">
        <f>100*B770/B$7</f>
        <v/>
      </c>
      <c r="I770" s="13">
        <f>100*C770/C$7</f>
        <v/>
      </c>
      <c r="J770" s="13">
        <f>100*D770/D$7</f>
        <v/>
      </c>
      <c r="K770" s="13">
        <f>100*E770/E$7</f>
        <v/>
      </c>
      <c r="L770" s="13">
        <f>100*F770/F$7</f>
        <v/>
      </c>
      <c r="M770" s="13">
        <f>100*G770/G$7</f>
        <v/>
      </c>
    </row>
    <row r="771">
      <c r="A771" s="11" t="n">
        <v>45996</v>
      </c>
      <c r="B771" s="12" t="n">
        <v>624.90271</v>
      </c>
      <c r="C771" s="12" t="n">
        <v>80.24520099999999</v>
      </c>
      <c r="D771" s="12" t="n">
        <v>62.47953</v>
      </c>
      <c r="E771" s="12" t="n">
        <v>92.228516</v>
      </c>
      <c r="F771" s="12" t="n">
        <v>21.024183</v>
      </c>
      <c r="G771" s="12" t="n">
        <v>98.61217499999999</v>
      </c>
      <c r="H771" s="13">
        <f>100*B771/B$7</f>
        <v/>
      </c>
      <c r="I771" s="13">
        <f>100*C771/C$7</f>
        <v/>
      </c>
      <c r="J771" s="13">
        <f>100*D771/D$7</f>
        <v/>
      </c>
      <c r="K771" s="13">
        <f>100*E771/E$7</f>
        <v/>
      </c>
      <c r="L771" s="13">
        <f>100*F771/F$7</f>
        <v/>
      </c>
      <c r="M771" s="13">
        <f>100*G771/G$7</f>
        <v/>
      </c>
    </row>
    <row r="772">
      <c r="A772" s="11" t="n">
        <v>45999</v>
      </c>
      <c r="B772" s="12" t="n">
        <v>623.0491940000001</v>
      </c>
      <c r="C772" s="12" t="n">
        <v>79.75625599999999</v>
      </c>
      <c r="D772" s="12" t="n">
        <v>62.689869</v>
      </c>
      <c r="E772" s="12" t="n">
        <v>92.98159800000001</v>
      </c>
      <c r="F772" s="12" t="n">
        <v>20.804884</v>
      </c>
      <c r="G772" s="12" t="n">
        <v>98.13228599999999</v>
      </c>
      <c r="H772" s="13">
        <f>100*B772/B$7</f>
        <v/>
      </c>
      <c r="I772" s="13">
        <f>100*C772/C$7</f>
        <v/>
      </c>
      <c r="J772" s="13">
        <f>100*D772/D$7</f>
        <v/>
      </c>
      <c r="K772" s="13">
        <f>100*E772/E$7</f>
        <v/>
      </c>
      <c r="L772" s="13">
        <f>100*F772/F$7</f>
        <v/>
      </c>
      <c r="M772" s="13">
        <f>100*G772/G$7</f>
        <v/>
      </c>
    </row>
    <row r="773">
      <c r="A773" s="11" t="n">
        <v>46000</v>
      </c>
      <c r="B773" s="12" t="n">
        <v>622.543762</v>
      </c>
      <c r="C773" s="12" t="n">
        <v>79.871292</v>
      </c>
      <c r="D773" s="12" t="n">
        <v>62.833282</v>
      </c>
      <c r="E773" s="12" t="n">
        <v>93.470612</v>
      </c>
      <c r="F773" s="12" t="n">
        <v>20.680933</v>
      </c>
      <c r="G773" s="12" t="n">
        <v>97.00602000000001</v>
      </c>
      <c r="H773" s="13">
        <f>100*B773/B$7</f>
        <v/>
      </c>
      <c r="I773" s="13">
        <f>100*C773/C$7</f>
        <v/>
      </c>
      <c r="J773" s="13">
        <f>100*D773/D$7</f>
        <v/>
      </c>
      <c r="K773" s="13">
        <f>100*E773/E$7</f>
        <v/>
      </c>
      <c r="L773" s="13">
        <f>100*F773/F$7</f>
        <v/>
      </c>
      <c r="M773" s="13">
        <f>100*G773/G$7</f>
        <v/>
      </c>
    </row>
    <row r="774">
      <c r="A774" s="11" t="n">
        <v>46001</v>
      </c>
      <c r="B774" s="12" t="n">
        <v>626.56781</v>
      </c>
      <c r="C774" s="12" t="n">
        <v>80.446533</v>
      </c>
      <c r="D774" s="12" t="n">
        <v>63.865845</v>
      </c>
      <c r="E774" s="12" t="n">
        <v>94.624695</v>
      </c>
      <c r="F774" s="12" t="n">
        <v>20.804884</v>
      </c>
      <c r="G774" s="12" t="n">
        <v>97.397758</v>
      </c>
      <c r="H774" s="13">
        <f>100*B774/B$7</f>
        <v/>
      </c>
      <c r="I774" s="13">
        <f>100*C774/C$7</f>
        <v/>
      </c>
      <c r="J774" s="13">
        <f>100*D774/D$7</f>
        <v/>
      </c>
      <c r="K774" s="13">
        <f>100*E774/E$7</f>
        <v/>
      </c>
      <c r="L774" s="13">
        <f>100*F774/F$7</f>
        <v/>
      </c>
      <c r="M774" s="13">
        <f>100*G774/G$7</f>
        <v/>
      </c>
    </row>
    <row r="775">
      <c r="A775" s="11" t="n">
        <v>46002</v>
      </c>
      <c r="B775" s="12" t="n">
        <v>628.104126</v>
      </c>
      <c r="C775" s="12" t="n">
        <v>80.74374400000001</v>
      </c>
      <c r="D775" s="12" t="n">
        <v>63.024494</v>
      </c>
      <c r="E775" s="12" t="n">
        <v>92.874016</v>
      </c>
      <c r="F775" s="12" t="n">
        <v>20.890697</v>
      </c>
      <c r="G775" s="12" t="n">
        <v>97.29982800000001</v>
      </c>
      <c r="H775" s="13">
        <f>100*B775/B$7</f>
        <v/>
      </c>
      <c r="I775" s="13">
        <f>100*C775/C$7</f>
        <v/>
      </c>
      <c r="J775" s="13">
        <f>100*D775/D$7</f>
        <v/>
      </c>
      <c r="K775" s="13">
        <f>100*E775/E$7</f>
        <v/>
      </c>
      <c r="L775" s="13">
        <f>100*F775/F$7</f>
        <v/>
      </c>
      <c r="M775" s="13">
        <f>100*G775/G$7</f>
        <v/>
      </c>
    </row>
    <row r="776">
      <c r="A776" s="11" t="n">
        <v>46003</v>
      </c>
      <c r="B776" s="12" t="n">
        <v>621.324646</v>
      </c>
      <c r="C776" s="12" t="n">
        <v>80.532814</v>
      </c>
      <c r="D776" s="12" t="n">
        <v>61.284439</v>
      </c>
      <c r="E776" s="12" t="n">
        <v>90.634315</v>
      </c>
      <c r="F776" s="12" t="n">
        <v>20.852558</v>
      </c>
      <c r="G776" s="12" t="n">
        <v>97.211685</v>
      </c>
      <c r="H776" s="13">
        <f>100*B776/B$7</f>
        <v/>
      </c>
      <c r="I776" s="13">
        <f>100*C776/C$7</f>
        <v/>
      </c>
      <c r="J776" s="13">
        <f>100*D776/D$7</f>
        <v/>
      </c>
      <c r="K776" s="13">
        <f>100*E776/E$7</f>
        <v/>
      </c>
      <c r="L776" s="13">
        <f>100*F776/F$7</f>
        <v/>
      </c>
      <c r="M776" s="13">
        <f>100*G776/G$7</f>
        <v/>
      </c>
    </row>
    <row r="777">
      <c r="A777" s="11" t="n">
        <v>46006</v>
      </c>
      <c r="B777" s="12" t="n">
        <v>620.422668</v>
      </c>
      <c r="C777" s="12" t="n">
        <v>81.366905</v>
      </c>
      <c r="D777" s="12" t="n">
        <v>61.293999</v>
      </c>
      <c r="E777" s="12" t="n">
        <v>90.693001</v>
      </c>
      <c r="F777" s="12" t="n">
        <v>20.995581</v>
      </c>
      <c r="G777" s="12" t="n">
        <v>96.418396</v>
      </c>
      <c r="H777" s="13">
        <f>100*B777/B$7</f>
        <v/>
      </c>
      <c r="I777" s="13">
        <f>100*C777/C$7</f>
        <v/>
      </c>
      <c r="J777" s="13">
        <f>100*D777/D$7</f>
        <v/>
      </c>
      <c r="K777" s="13">
        <f>100*E777/E$7</f>
        <v/>
      </c>
      <c r="L777" s="13">
        <f>100*F777/F$7</f>
        <v/>
      </c>
      <c r="M777" s="13">
        <f>100*G777/G$7</f>
        <v/>
      </c>
    </row>
    <row r="778">
      <c r="A778" s="11" t="n">
        <v>46007</v>
      </c>
      <c r="B778" s="12" t="n">
        <v>618.688171</v>
      </c>
      <c r="C778" s="12" t="n">
        <v>80.413094</v>
      </c>
      <c r="D778" s="12" t="n">
        <v>61.119999</v>
      </c>
      <c r="E778" s="12" t="n">
        <v>89.519997</v>
      </c>
      <c r="F778" s="12" t="n">
        <v>20.803682</v>
      </c>
      <c r="G778" s="12" t="n">
        <v>95.439026</v>
      </c>
      <c r="H778" s="13">
        <f>100*B778/B$7</f>
        <v/>
      </c>
      <c r="I778" s="13">
        <f>100*C778/C$7</f>
        <v/>
      </c>
      <c r="J778" s="13">
        <f>100*D778/D$7</f>
        <v/>
      </c>
      <c r="K778" s="13">
        <f>100*E778/E$7</f>
        <v/>
      </c>
      <c r="L778" s="13">
        <f>100*F778/F$7</f>
        <v/>
      </c>
      <c r="M778" s="13">
        <f>100*G778/G$7</f>
        <v/>
      </c>
    </row>
    <row r="779">
      <c r="A779" s="11" t="n">
        <v>46008</v>
      </c>
      <c r="B779" s="12" t="n">
        <v>611.888855</v>
      </c>
      <c r="C779" s="12" t="n">
        <v>79.30909</v>
      </c>
      <c r="D779" s="12" t="n">
        <v>60.029999</v>
      </c>
      <c r="E779" s="12" t="n">
        <v>88.58000199999999</v>
      </c>
      <c r="F779" s="12" t="n">
        <v>20.734795</v>
      </c>
      <c r="G779" s="12" t="n">
        <v>95.44883</v>
      </c>
      <c r="H779" s="13">
        <f>100*B779/B$7</f>
        <v/>
      </c>
      <c r="I779" s="13">
        <f>100*C779/C$7</f>
        <v/>
      </c>
      <c r="J779" s="13">
        <f>100*D779/D$7</f>
        <v/>
      </c>
      <c r="K779" s="13">
        <f>100*E779/E$7</f>
        <v/>
      </c>
      <c r="L779" s="13">
        <f>100*F779/F$7</f>
        <v/>
      </c>
      <c r="M779" s="13">
        <f>100*G779/G$7</f>
        <v/>
      </c>
    </row>
    <row r="780">
      <c r="A780" s="11" t="n">
        <v>46009</v>
      </c>
      <c r="B780" s="12" t="n">
        <v>616.507629</v>
      </c>
      <c r="C780" s="12" t="n">
        <v>79.53784899999999</v>
      </c>
      <c r="D780" s="12" t="n">
        <v>60.869999</v>
      </c>
      <c r="E780" s="12" t="n">
        <v>90.06999999999999</v>
      </c>
      <c r="F780" s="12" t="n">
        <v>21.098909</v>
      </c>
      <c r="G780" s="12" t="n">
        <v>96.23232299999999</v>
      </c>
      <c r="H780" s="13">
        <f>100*B780/B$7</f>
        <v/>
      </c>
      <c r="I780" s="13">
        <f>100*C780/C$7</f>
        <v/>
      </c>
      <c r="J780" s="13">
        <f>100*D780/D$7</f>
        <v/>
      </c>
      <c r="K780" s="13">
        <f>100*E780/E$7</f>
        <v/>
      </c>
      <c r="L780" s="13">
        <f>100*F780/F$7</f>
        <v/>
      </c>
      <c r="M780" s="13">
        <f>100*G780/G$7</f>
        <v/>
      </c>
    </row>
    <row r="781">
      <c r="A781" s="11" t="n">
        <v>46010</v>
      </c>
      <c r="B781" s="12" t="n">
        <v>622.008484</v>
      </c>
      <c r="C781" s="12" t="n">
        <v>80.144554</v>
      </c>
      <c r="D781" s="12" t="n">
        <v>61.639999</v>
      </c>
      <c r="E781" s="12" t="n">
        <v>91.339996</v>
      </c>
      <c r="F781" s="12" t="n">
        <v>21.266205</v>
      </c>
      <c r="G781" s="12" t="n">
        <v>97.250862</v>
      </c>
      <c r="H781" s="13">
        <f>100*B781/B$7</f>
        <v/>
      </c>
      <c r="I781" s="13">
        <f>100*C781/C$7</f>
        <v/>
      </c>
      <c r="J781" s="13">
        <f>100*D781/D$7</f>
        <v/>
      </c>
      <c r="K781" s="13">
        <f>100*E781/E$7</f>
        <v/>
      </c>
      <c r="L781" s="13">
        <f>100*F781/F$7</f>
        <v/>
      </c>
      <c r="M781" s="13">
        <f>100*G781/G$7</f>
        <v/>
      </c>
    </row>
    <row r="782">
      <c r="A782" s="11" t="n">
        <v>46013</v>
      </c>
      <c r="B782" s="12" t="n">
        <v>625.92572</v>
      </c>
      <c r="C782" s="12" t="n">
        <v>80.0252</v>
      </c>
      <c r="D782" s="12" t="n">
        <v>61.98</v>
      </c>
      <c r="E782" s="12" t="n">
        <v>91.75</v>
      </c>
      <c r="F782" s="12" t="n">
        <v>21.295727</v>
      </c>
      <c r="G782" s="12" t="n">
        <v>97.780907</v>
      </c>
      <c r="H782" s="13">
        <f>100*B782/B$7</f>
        <v/>
      </c>
      <c r="I782" s="13">
        <f>100*C782/C$7</f>
        <v/>
      </c>
      <c r="J782" s="13">
        <f>100*D782/D$7</f>
        <v/>
      </c>
      <c r="K782" s="13">
        <f>100*E782/E$7</f>
        <v/>
      </c>
      <c r="L782" s="13">
        <f>100*F782/F$7</f>
        <v/>
      </c>
      <c r="M782" s="13">
        <f>100*G782/G$7</f>
        <v/>
      </c>
    </row>
    <row r="783">
      <c r="A783" s="11" t="n">
        <v>46014</v>
      </c>
      <c r="B783" s="12" t="n">
        <v>628.8479610000001</v>
      </c>
      <c r="C783" s="12" t="n">
        <v>80.70152299999999</v>
      </c>
      <c r="D783" s="12" t="n">
        <v>62.5</v>
      </c>
      <c r="E783" s="12" t="n">
        <v>92.699997</v>
      </c>
      <c r="F783" s="12" t="n">
        <v>21.364613</v>
      </c>
      <c r="G783" s="12" t="n">
        <v>97.274681</v>
      </c>
      <c r="H783" s="13">
        <f>100*B783/B$7</f>
        <v/>
      </c>
      <c r="I783" s="13">
        <f>100*C783/C$7</f>
        <v/>
      </c>
      <c r="J783" s="13">
        <f>100*D783/D$7</f>
        <v/>
      </c>
      <c r="K783" s="13">
        <f>100*E783/E$7</f>
        <v/>
      </c>
      <c r="L783" s="13">
        <f>100*F783/F$7</f>
        <v/>
      </c>
      <c r="M783" s="13">
        <f>100*G783/G$7</f>
        <v/>
      </c>
    </row>
    <row r="784">
      <c r="A784" s="11" t="n">
        <v>46015</v>
      </c>
      <c r="B784" s="12" t="n">
        <v>630.94519</v>
      </c>
      <c r="C784" s="12" t="n">
        <v>80.562279</v>
      </c>
      <c r="D784" s="12" t="n">
        <v>62.529999</v>
      </c>
      <c r="E784" s="12" t="n">
        <v>94.599998</v>
      </c>
      <c r="F784" s="12" t="n">
        <v>21.463022</v>
      </c>
      <c r="G784" s="12" t="n">
        <v>97.572464</v>
      </c>
      <c r="H784" s="13">
        <f>100*B784/B$7</f>
        <v/>
      </c>
      <c r="I784" s="13">
        <f>100*C784/C$7</f>
        <v/>
      </c>
      <c r="J784" s="13">
        <f>100*D784/D$7</f>
        <v/>
      </c>
      <c r="K784" s="13">
        <f>100*E784/E$7</f>
        <v/>
      </c>
      <c r="L784" s="13">
        <f>100*F784/F$7</f>
        <v/>
      </c>
      <c r="M784" s="13">
        <f>100*G784/G$7</f>
        <v/>
      </c>
    </row>
    <row r="785">
      <c r="A785" s="11" t="n">
        <v>46016</v>
      </c>
      <c r="B785" s="12" t="n">
        <v>630.94519</v>
      </c>
      <c r="C785" s="12" t="n">
        <v>80.562279</v>
      </c>
      <c r="D785" s="12" t="n">
        <v>62.529999</v>
      </c>
      <c r="E785" s="12" t="n">
        <v>94.599998</v>
      </c>
      <c r="F785" s="12" t="n">
        <v>21.463022</v>
      </c>
      <c r="G785" s="12" t="n">
        <v>97.572464</v>
      </c>
      <c r="H785" s="13">
        <f>100*B785/B$7</f>
        <v/>
      </c>
      <c r="I785" s="13">
        <f>100*C785/C$7</f>
        <v/>
      </c>
      <c r="J785" s="13">
        <f>100*D785/D$7</f>
        <v/>
      </c>
      <c r="K785" s="13">
        <f>100*E785/E$7</f>
        <v/>
      </c>
      <c r="L785" s="13">
        <f>100*F785/F$7</f>
        <v/>
      </c>
      <c r="M785" s="13">
        <f>100*G785/G$7</f>
        <v/>
      </c>
    </row>
    <row r="786">
      <c r="A786" s="11" t="n">
        <v>46017</v>
      </c>
      <c r="B786" s="12" t="n">
        <v>631.0048829999999</v>
      </c>
      <c r="C786" s="12" t="n">
        <v>80.532448</v>
      </c>
      <c r="D786" s="12" t="n">
        <v>63.02</v>
      </c>
      <c r="E786" s="12" t="n">
        <v>95.839996</v>
      </c>
      <c r="F786" s="12" t="n">
        <v>21.561432</v>
      </c>
      <c r="G786" s="12" t="n">
        <v>98.356606</v>
      </c>
      <c r="H786" s="13">
        <f>100*B786/B$7</f>
        <v/>
      </c>
      <c r="I786" s="13">
        <f>100*C786/C$7</f>
        <v/>
      </c>
      <c r="J786" s="13">
        <f>100*D786/D$7</f>
        <v/>
      </c>
      <c r="K786" s="13">
        <f>100*E786/E$7</f>
        <v/>
      </c>
      <c r="L786" s="13">
        <f>100*F786/F$7</f>
        <v/>
      </c>
      <c r="M786" s="13">
        <f>100*G786/G$7</f>
        <v/>
      </c>
    </row>
    <row r="787">
      <c r="A787" s="11" t="n">
        <v>46020</v>
      </c>
      <c r="B787" s="12" t="n">
        <v>628.77832</v>
      </c>
      <c r="C787" s="12" t="n">
        <v>80.651794</v>
      </c>
      <c r="D787" s="12" t="n">
        <v>63.330002</v>
      </c>
      <c r="E787" s="12" t="n">
        <v>98.720001</v>
      </c>
      <c r="F787" s="12" t="n">
        <v>21.118589</v>
      </c>
      <c r="G787" s="12" t="n">
        <v>96.450821</v>
      </c>
      <c r="H787" s="13">
        <f>100*B787/B$7</f>
        <v/>
      </c>
      <c r="I787" s="13">
        <f>100*C787/C$7</f>
        <v/>
      </c>
      <c r="J787" s="13">
        <f>100*D787/D$7</f>
        <v/>
      </c>
      <c r="K787" s="13">
        <f>100*E787/E$7</f>
        <v/>
      </c>
      <c r="L787" s="13">
        <f>100*F787/F$7</f>
        <v/>
      </c>
      <c r="M787" s="13">
        <f>100*G787/G$7</f>
        <v/>
      </c>
    </row>
    <row r="788">
      <c r="A788" s="11" t="n">
        <v>46021</v>
      </c>
      <c r="B788" s="12" t="n">
        <v>627.903625</v>
      </c>
      <c r="C788" s="12" t="n">
        <v>80.542389</v>
      </c>
      <c r="D788" s="12" t="n">
        <v>63.709999</v>
      </c>
      <c r="E788" s="12" t="n">
        <v>98.620003</v>
      </c>
      <c r="F788" s="12" t="n">
        <v>21.187479</v>
      </c>
      <c r="G788" s="12" t="n">
        <v>96.828011</v>
      </c>
      <c r="H788" s="13">
        <f>100*B788/B$7</f>
        <v/>
      </c>
      <c r="I788" s="13">
        <f>100*C788/C$7</f>
        <v/>
      </c>
      <c r="J788" s="13">
        <f>100*D788/D$7</f>
        <v/>
      </c>
      <c r="K788" s="13">
        <f>100*E788/E$7</f>
        <v/>
      </c>
      <c r="L788" s="13">
        <f>100*F788/F$7</f>
        <v/>
      </c>
      <c r="M788" s="13">
        <f>100*G788/G$7</f>
        <v/>
      </c>
    </row>
    <row r="789">
      <c r="A789" s="11" t="n">
        <v>46022</v>
      </c>
      <c r="B789" s="12" t="n">
        <v>623.34137</v>
      </c>
      <c r="C789" s="12" t="n">
        <v>80.30368</v>
      </c>
      <c r="D789" s="12" t="n">
        <v>63.529999</v>
      </c>
      <c r="E789" s="12" t="n">
        <v>97.220001</v>
      </c>
      <c r="F789" s="12" t="n">
        <v>20.911932</v>
      </c>
      <c r="G789" s="12" t="n">
        <v>96.09348300000001</v>
      </c>
      <c r="H789" s="13">
        <f>100*B789/B$7</f>
        <v/>
      </c>
      <c r="I789" s="13">
        <f>100*C789/C$7</f>
        <v/>
      </c>
      <c r="J789" s="13">
        <f>100*D789/D$7</f>
        <v/>
      </c>
      <c r="K789" s="13">
        <f>100*E789/E$7</f>
        <v/>
      </c>
      <c r="L789" s="13">
        <f>100*F789/F$7</f>
        <v/>
      </c>
      <c r="M789" s="13">
        <f>100*G789/G$7</f>
        <v/>
      </c>
    </row>
    <row r="790">
      <c r="A790" s="11" t="n">
        <v>46023</v>
      </c>
      <c r="B790" s="12" t="n">
        <v>623.34137</v>
      </c>
      <c r="C790" s="12" t="n">
        <v>80.30368</v>
      </c>
      <c r="D790" s="12" t="n">
        <v>63.529999</v>
      </c>
      <c r="E790" s="12" t="n">
        <v>97.220001</v>
      </c>
      <c r="F790" s="12" t="n">
        <v>20.911932</v>
      </c>
      <c r="G790" s="12" t="n">
        <v>96.09348300000001</v>
      </c>
      <c r="H790" s="13">
        <f>100*B790/B$7</f>
        <v/>
      </c>
      <c r="I790" s="13">
        <f>100*C790/C$7</f>
        <v/>
      </c>
      <c r="J790" s="13">
        <f>100*D790/D$7</f>
        <v/>
      </c>
      <c r="K790" s="13">
        <f>100*E790/E$7</f>
        <v/>
      </c>
      <c r="L790" s="13">
        <f>100*F790/F$7</f>
        <v/>
      </c>
      <c r="M790" s="13">
        <f>100*G790/G$7</f>
        <v/>
      </c>
    </row>
    <row r="791">
      <c r="A791" s="11" t="n">
        <v>46024</v>
      </c>
      <c r="B791" s="12" t="n">
        <v>624.504333</v>
      </c>
      <c r="C791" s="12" t="n">
        <v>80.890503</v>
      </c>
      <c r="D791" s="12" t="n">
        <v>64.769997</v>
      </c>
      <c r="E791" s="12" t="n">
        <v>102.220001</v>
      </c>
      <c r="F791" s="12" t="n">
        <v>21.52207</v>
      </c>
      <c r="G791" s="12" t="n">
        <v>99.339287</v>
      </c>
      <c r="H791" s="13">
        <f>100*B791/B$7</f>
        <v/>
      </c>
      <c r="I791" s="13">
        <f>100*C791/C$7</f>
        <v/>
      </c>
      <c r="J791" s="13">
        <f>100*D791/D$7</f>
        <v/>
      </c>
      <c r="K791" s="13">
        <f>100*E791/E$7</f>
        <v/>
      </c>
      <c r="L791" s="13">
        <f>100*F791/F$7</f>
        <v/>
      </c>
      <c r="M791" s="13">
        <f>100*G791/G$7</f>
        <v/>
      </c>
    </row>
    <row r="792">
      <c r="A792" s="11" t="n">
        <v>46027</v>
      </c>
      <c r="B792" s="12" t="n">
        <v>628.639221</v>
      </c>
      <c r="C792" s="12" t="n">
        <v>82.68077099999999</v>
      </c>
      <c r="D792" s="12" t="n">
        <v>65.300003</v>
      </c>
      <c r="E792" s="12" t="n">
        <v>104.830002</v>
      </c>
      <c r="F792" s="12" t="n">
        <v>21.64016</v>
      </c>
      <c r="G792" s="12" t="n">
        <v>99.98447400000001</v>
      </c>
      <c r="H792" s="13">
        <f>100*B792/B$7</f>
        <v/>
      </c>
      <c r="I792" s="13">
        <f>100*C792/C$7</f>
        <v/>
      </c>
      <c r="J792" s="13">
        <f>100*D792/D$7</f>
        <v/>
      </c>
      <c r="K792" s="13">
        <f>100*E792/E$7</f>
        <v/>
      </c>
      <c r="L792" s="13">
        <f>100*F792/F$7</f>
        <v/>
      </c>
      <c r="M792" s="13">
        <f>100*G792/G$7</f>
        <v/>
      </c>
    </row>
    <row r="793">
      <c r="A793" s="11" t="n">
        <v>46028</v>
      </c>
      <c r="B793" s="12" t="n">
        <v>632.366577</v>
      </c>
      <c r="C793" s="12" t="n">
        <v>82.621094</v>
      </c>
      <c r="D793" s="12" t="n">
        <v>65.83000199999999</v>
      </c>
      <c r="E793" s="12" t="n">
        <v>107.610001</v>
      </c>
      <c r="F793" s="12" t="n">
        <v>21.886183</v>
      </c>
      <c r="G793" s="12" t="n">
        <v>100.202843</v>
      </c>
      <c r="H793" s="13">
        <f>100*B793/B$7</f>
        <v/>
      </c>
      <c r="I793" s="13">
        <f>100*C793/C$7</f>
        <v/>
      </c>
      <c r="J793" s="13">
        <f>100*D793/D$7</f>
        <v/>
      </c>
      <c r="K793" s="13">
        <f>100*E793/E$7</f>
        <v/>
      </c>
      <c r="L793" s="13">
        <f>100*F793/F$7</f>
        <v/>
      </c>
      <c r="M793" s="13">
        <f>100*G793/G$7</f>
        <v/>
      </c>
    </row>
    <row r="794">
      <c r="A794" s="11" t="n">
        <v>46029</v>
      </c>
      <c r="B794" s="12" t="n">
        <v>630.338806</v>
      </c>
      <c r="C794" s="12" t="n">
        <v>82.471901</v>
      </c>
      <c r="D794" s="12" t="n">
        <v>65.589996</v>
      </c>
      <c r="E794" s="12" t="n">
        <v>107.029999</v>
      </c>
      <c r="F794" s="12" t="n">
        <v>21.709045</v>
      </c>
      <c r="G794" s="12" t="n">
        <v>99.666847</v>
      </c>
      <c r="H794" s="13">
        <f>100*B794/B$7</f>
        <v/>
      </c>
      <c r="I794" s="13">
        <f>100*C794/C$7</f>
        <v/>
      </c>
      <c r="J794" s="13">
        <f>100*D794/D$7</f>
        <v/>
      </c>
      <c r="K794" s="13">
        <f>100*E794/E$7</f>
        <v/>
      </c>
      <c r="L794" s="13">
        <f>100*F794/F$7</f>
        <v/>
      </c>
      <c r="M794" s="13">
        <f>100*G794/G$7</f>
        <v/>
      </c>
    </row>
    <row r="795">
      <c r="A795" s="11" t="n">
        <v>46030</v>
      </c>
      <c r="B795" s="12" t="n">
        <v>630.229553</v>
      </c>
      <c r="C795" s="12" t="n">
        <v>82.41223100000001</v>
      </c>
      <c r="D795" s="12" t="n">
        <v>65.44000200000001</v>
      </c>
      <c r="E795" s="12" t="n">
        <v>106.589996</v>
      </c>
      <c r="F795" s="12" t="n">
        <v>21.777931</v>
      </c>
      <c r="G795" s="12" t="n">
        <v>100.093658</v>
      </c>
      <c r="H795" s="13">
        <f>100*B795/B$7</f>
        <v/>
      </c>
      <c r="I795" s="13">
        <f>100*C795/C$7</f>
        <v/>
      </c>
      <c r="J795" s="13">
        <f>100*D795/D$7</f>
        <v/>
      </c>
      <c r="K795" s="13">
        <f>100*E795/E$7</f>
        <v/>
      </c>
      <c r="L795" s="13">
        <f>100*F795/F$7</f>
        <v/>
      </c>
      <c r="M795" s="13">
        <f>100*G795/G$7</f>
        <v/>
      </c>
    </row>
    <row r="796">
      <c r="A796" s="11" t="n">
        <v>46031</v>
      </c>
      <c r="B796" s="12" t="n">
        <v>634.453918</v>
      </c>
      <c r="C796" s="12" t="n">
        <v>84.152771</v>
      </c>
      <c r="D796" s="12" t="n">
        <v>65.91999800000001</v>
      </c>
      <c r="E796" s="12" t="n">
        <v>108.889999</v>
      </c>
      <c r="F796" s="12" t="n">
        <v>21.964909</v>
      </c>
      <c r="G796" s="12" t="n">
        <v>100.331886</v>
      </c>
      <c r="H796" s="13">
        <f>100*B796/B$7</f>
        <v/>
      </c>
      <c r="I796" s="13">
        <f>100*C796/C$7</f>
        <v/>
      </c>
      <c r="J796" s="13">
        <f>100*D796/D$7</f>
        <v/>
      </c>
      <c r="K796" s="13">
        <f>100*E796/E$7</f>
        <v/>
      </c>
      <c r="L796" s="13">
        <f>100*F796/F$7</f>
        <v/>
      </c>
      <c r="M796" s="13">
        <f>100*G796/G$7</f>
        <v/>
      </c>
    </row>
    <row r="797">
      <c r="A797" s="11" t="n">
        <v>46034</v>
      </c>
      <c r="B797" s="12" t="n">
        <v>635.477722</v>
      </c>
      <c r="C797" s="12" t="n">
        <v>84.82910200000001</v>
      </c>
      <c r="D797" s="12" t="n">
        <v>66.620003</v>
      </c>
      <c r="E797" s="12" t="n">
        <v>108.93</v>
      </c>
      <c r="F797" s="12" t="n">
        <v>22.17157</v>
      </c>
      <c r="G797" s="12" t="n">
        <v>103.309685</v>
      </c>
      <c r="H797" s="13">
        <f>100*B797/B$7</f>
        <v/>
      </c>
      <c r="I797" s="13">
        <f>100*C797/C$7</f>
        <v/>
      </c>
      <c r="J797" s="13">
        <f>100*D797/D$7</f>
        <v/>
      </c>
      <c r="K797" s="13">
        <f>100*E797/E$7</f>
        <v/>
      </c>
      <c r="L797" s="13">
        <f>100*F797/F$7</f>
        <v/>
      </c>
      <c r="M797" s="13">
        <f>100*G797/G$7</f>
        <v/>
      </c>
    </row>
    <row r="798">
      <c r="A798" s="11" t="n">
        <v>46035</v>
      </c>
      <c r="B798" s="12" t="n">
        <v>634.175598</v>
      </c>
      <c r="C798" s="12" t="n">
        <v>83.99363700000001</v>
      </c>
      <c r="D798" s="12" t="n">
        <v>66.099998</v>
      </c>
      <c r="E798" s="12" t="n">
        <v>107.540001</v>
      </c>
      <c r="F798" s="12" t="n">
        <v>22.043636</v>
      </c>
      <c r="G798" s="12" t="n">
        <v>102.336929</v>
      </c>
      <c r="H798" s="13">
        <f>100*B798/B$7</f>
        <v/>
      </c>
      <c r="I798" s="13">
        <f>100*C798/C$7</f>
        <v/>
      </c>
      <c r="J798" s="13">
        <f>100*D798/D$7</f>
        <v/>
      </c>
      <c r="K798" s="13">
        <f>100*E798/E$7</f>
        <v/>
      </c>
      <c r="L798" s="13">
        <f>100*F798/F$7</f>
        <v/>
      </c>
      <c r="M798" s="13">
        <f>100*G798/G$7</f>
        <v/>
      </c>
    </row>
    <row r="799">
      <c r="A799" s="11" t="n">
        <v>46036</v>
      </c>
      <c r="B799" s="12" t="n">
        <v>631.104248</v>
      </c>
      <c r="C799" s="12" t="n">
        <v>84.58045199999999</v>
      </c>
      <c r="D799" s="12" t="n">
        <v>66.510002</v>
      </c>
      <c r="E799" s="12" t="n">
        <v>109.639999</v>
      </c>
      <c r="F799" s="12" t="n">
        <v>22.112522</v>
      </c>
      <c r="G799" s="12" t="n">
        <v>102.40641</v>
      </c>
      <c r="H799" s="13">
        <f>100*B799/B$7</f>
        <v/>
      </c>
      <c r="I799" s="13">
        <f>100*C799/C$7</f>
        <v/>
      </c>
      <c r="J799" s="13">
        <f>100*D799/D$7</f>
        <v/>
      </c>
      <c r="K799" s="13">
        <f>100*E799/E$7</f>
        <v/>
      </c>
      <c r="L799" s="13">
        <f>100*F799/F$7</f>
        <v/>
      </c>
      <c r="M799" s="13">
        <f>100*G799/G$7</f>
        <v/>
      </c>
    </row>
    <row r="800">
      <c r="A800" s="11" t="n">
        <v>46037</v>
      </c>
      <c r="B800" s="12" t="n">
        <v>632.774109</v>
      </c>
      <c r="C800" s="12" t="n">
        <v>84.95839700000001</v>
      </c>
      <c r="D800" s="12" t="n">
        <v>67.290001</v>
      </c>
      <c r="E800" s="12" t="n">
        <v>111.050003</v>
      </c>
      <c r="F800" s="12" t="n">
        <v>22.447113</v>
      </c>
      <c r="G800" s="12" t="n">
        <v>102.386566</v>
      </c>
      <c r="H800" s="13">
        <f>100*B800/B$7</f>
        <v/>
      </c>
      <c r="I800" s="13">
        <f>100*C800/C$7</f>
        <v/>
      </c>
      <c r="J800" s="13">
        <f>100*D800/D$7</f>
        <v/>
      </c>
      <c r="K800" s="13">
        <f>100*E800/E$7</f>
        <v/>
      </c>
      <c r="L800" s="13">
        <f>100*F800/F$7</f>
        <v/>
      </c>
      <c r="M800" s="13">
        <f>100*G800/G$7</f>
        <v/>
      </c>
    </row>
    <row r="801">
      <c r="A801" s="11" t="n">
        <v>46038</v>
      </c>
      <c r="B801" s="12" t="n">
        <v>632.247314</v>
      </c>
      <c r="C801" s="12" t="n">
        <v>85.018074</v>
      </c>
      <c r="D801" s="12" t="n">
        <v>67.339996</v>
      </c>
      <c r="E801" s="12" t="n">
        <v>112.220001</v>
      </c>
      <c r="F801" s="12" t="n">
        <v>22.18141</v>
      </c>
      <c r="G801" s="12" t="n">
        <v>100.987</v>
      </c>
      <c r="H801" s="13">
        <f>100*B801/B$7</f>
        <v/>
      </c>
      <c r="I801" s="13">
        <f>100*C801/C$7</f>
        <v/>
      </c>
      <c r="J801" s="13">
        <f>100*D801/D$7</f>
        <v/>
      </c>
      <c r="K801" s="13">
        <f>100*E801/E$7</f>
        <v/>
      </c>
      <c r="L801" s="13">
        <f>100*F801/F$7</f>
        <v/>
      </c>
      <c r="M801" s="13">
        <f>100*G801/G$7</f>
        <v/>
      </c>
    </row>
    <row r="802">
      <c r="A802" s="11" t="n">
        <v>46041</v>
      </c>
      <c r="B802" s="12" t="n">
        <v>632.247314</v>
      </c>
      <c r="C802" s="12" t="n">
        <v>85.018074</v>
      </c>
      <c r="D802" s="12" t="n">
        <v>67.339996</v>
      </c>
      <c r="E802" s="12" t="n">
        <v>112.220001</v>
      </c>
      <c r="F802" s="12" t="n">
        <v>22.18141</v>
      </c>
      <c r="G802" s="12" t="n">
        <v>100.987</v>
      </c>
      <c r="H802" s="13">
        <f>100*B802/B$7</f>
        <v/>
      </c>
      <c r="I802" s="13">
        <f>100*C802/C$7</f>
        <v/>
      </c>
      <c r="J802" s="13">
        <f>100*D802/D$7</f>
        <v/>
      </c>
      <c r="K802" s="13">
        <f>100*E802/E$7</f>
        <v/>
      </c>
      <c r="L802" s="13">
        <f>100*F802/F$7</f>
        <v/>
      </c>
      <c r="M802" s="13">
        <f>100*G802/G$7</f>
        <v/>
      </c>
    </row>
    <row r="803">
      <c r="A803" s="11" t="n">
        <v>46042</v>
      </c>
      <c r="B803" s="12" t="n">
        <v>619.385498</v>
      </c>
      <c r="C803" s="12" t="n">
        <v>83.26758599999999</v>
      </c>
      <c r="D803" s="12" t="n">
        <v>66.540001</v>
      </c>
      <c r="E803" s="12" t="n">
        <v>110.970001</v>
      </c>
      <c r="F803" s="12" t="n">
        <v>21.945227</v>
      </c>
      <c r="G803" s="12" t="n">
        <v>99.61721</v>
      </c>
      <c r="H803" s="13">
        <f>100*B803/B$7</f>
        <v/>
      </c>
      <c r="I803" s="13">
        <f>100*C803/C$7</f>
        <v/>
      </c>
      <c r="J803" s="13">
        <f>100*D803/D$7</f>
        <v/>
      </c>
      <c r="K803" s="13">
        <f>100*E803/E$7</f>
        <v/>
      </c>
      <c r="L803" s="13">
        <f>100*F803/F$7</f>
        <v/>
      </c>
      <c r="M803" s="13">
        <f>100*G803/G$7</f>
        <v/>
      </c>
    </row>
    <row r="804">
      <c r="A804" s="11" t="n">
        <v>46043</v>
      </c>
      <c r="B804" s="12" t="n">
        <v>626.4823</v>
      </c>
      <c r="C804" s="12" t="n">
        <v>84.321854</v>
      </c>
      <c r="D804" s="12" t="n">
        <v>67.449997</v>
      </c>
      <c r="E804" s="12" t="n">
        <v>115.660004</v>
      </c>
      <c r="F804" s="12" t="n">
        <v>22.240456</v>
      </c>
      <c r="G804" s="12" t="n">
        <v>101.374107</v>
      </c>
      <c r="H804" s="13">
        <f>100*B804/B$7</f>
        <v/>
      </c>
      <c r="I804" s="13">
        <f>100*C804/C$7</f>
        <v/>
      </c>
      <c r="J804" s="13">
        <f>100*D804/D$7</f>
        <v/>
      </c>
      <c r="K804" s="13">
        <f>100*E804/E$7</f>
        <v/>
      </c>
      <c r="L804" s="13">
        <f>100*F804/F$7</f>
        <v/>
      </c>
      <c r="M804" s="13">
        <f>100*G804/G$7</f>
        <v/>
      </c>
    </row>
    <row r="805">
      <c r="A805" s="11" t="n">
        <v>46044</v>
      </c>
      <c r="B805" s="12" t="n">
        <v>629.742493</v>
      </c>
      <c r="C805" s="12" t="n">
        <v>84.401421</v>
      </c>
      <c r="D805" s="12" t="n">
        <v>68.25</v>
      </c>
      <c r="E805" s="12" t="n">
        <v>115.989998</v>
      </c>
      <c r="F805" s="12" t="n">
        <v>22.279818</v>
      </c>
      <c r="G805" s="12" t="n">
        <v>101.900192</v>
      </c>
      <c r="H805" s="13">
        <f>100*B805/B$7</f>
        <v/>
      </c>
      <c r="I805" s="13">
        <f>100*C805/C$7</f>
        <v/>
      </c>
      <c r="J805" s="13">
        <f>100*D805/D$7</f>
        <v/>
      </c>
      <c r="K805" s="13">
        <f>100*E805/E$7</f>
        <v/>
      </c>
      <c r="L805" s="13">
        <f>100*F805/F$7</f>
        <v/>
      </c>
      <c r="M805" s="13">
        <f>100*G805/G$7</f>
        <v/>
      </c>
    </row>
    <row r="806">
      <c r="A806" s="11" t="n">
        <v>46045</v>
      </c>
      <c r="B806" s="12" t="n">
        <v>630.000977</v>
      </c>
      <c r="C806" s="12" t="n">
        <v>84.103043</v>
      </c>
      <c r="D806" s="12" t="n">
        <v>69.709999</v>
      </c>
      <c r="E806" s="12" t="n">
        <v>117.970001</v>
      </c>
      <c r="F806" s="12" t="n">
        <v>22.269978</v>
      </c>
      <c r="G806" s="12" t="n">
        <v>101.701668</v>
      </c>
      <c r="H806" s="13">
        <f>100*B806/B$7</f>
        <v/>
      </c>
      <c r="I806" s="13">
        <f>100*C806/C$7</f>
        <v/>
      </c>
      <c r="J806" s="13">
        <f>100*D806/D$7</f>
        <v/>
      </c>
      <c r="K806" s="13">
        <f>100*E806/E$7</f>
        <v/>
      </c>
      <c r="L806" s="13">
        <f>100*F806/F$7</f>
        <v/>
      </c>
      <c r="M806" s="13">
        <f>100*G806/G$7</f>
        <v/>
      </c>
    </row>
    <row r="807">
      <c r="A807" s="11" t="n">
        <v>46048</v>
      </c>
      <c r="B807" s="12" t="n">
        <v>633.241272</v>
      </c>
      <c r="C807" s="12" t="n">
        <v>84.17266100000001</v>
      </c>
      <c r="D807" s="12" t="n">
        <v>69.94000200000001</v>
      </c>
      <c r="E807" s="12" t="n">
        <v>117.32</v>
      </c>
      <c r="F807" s="12" t="n">
        <v>22.466795</v>
      </c>
      <c r="G807" s="12" t="n">
        <v>101.771149</v>
      </c>
      <c r="H807" s="13">
        <f>100*B807/B$7</f>
        <v/>
      </c>
      <c r="I807" s="13">
        <f>100*C807/C$7</f>
        <v/>
      </c>
      <c r="J807" s="13">
        <f>100*D807/D$7</f>
        <v/>
      </c>
      <c r="K807" s="13">
        <f>100*E807/E$7</f>
        <v/>
      </c>
      <c r="L807" s="13">
        <f>100*F807/F$7</f>
        <v/>
      </c>
      <c r="M807" s="13">
        <f>100*G807/G$7</f>
        <v/>
      </c>
    </row>
    <row r="808">
      <c r="A808" s="11" t="n">
        <v>46049</v>
      </c>
      <c r="B808" s="12" t="n">
        <v>635.835449</v>
      </c>
      <c r="C808" s="12" t="n">
        <v>85.376122</v>
      </c>
      <c r="D808" s="12" t="n">
        <v>71.31999999999999</v>
      </c>
      <c r="E808" s="12" t="n">
        <v>122.699997</v>
      </c>
      <c r="F808" s="12" t="n">
        <v>22.899796</v>
      </c>
      <c r="G808" s="12" t="n">
        <v>102.704193</v>
      </c>
      <c r="H808" s="13">
        <f>100*B808/B$7</f>
        <v/>
      </c>
      <c r="I808" s="13">
        <f>100*C808/C$7</f>
        <v/>
      </c>
      <c r="J808" s="13">
        <f>100*D808/D$7</f>
        <v/>
      </c>
      <c r="K808" s="13">
        <f>100*E808/E$7</f>
        <v/>
      </c>
      <c r="L808" s="13">
        <f>100*F808/F$7</f>
        <v/>
      </c>
      <c r="M808" s="13">
        <f>100*G808/G$7</f>
        <v/>
      </c>
    </row>
    <row r="809">
      <c r="A809" s="11" t="n">
        <v>46050</v>
      </c>
      <c r="B809" s="12" t="n">
        <v>635.736023</v>
      </c>
      <c r="C809" s="12" t="n">
        <v>84.749527</v>
      </c>
      <c r="D809" s="12" t="n">
        <v>71.19000200000001</v>
      </c>
      <c r="E809" s="12" t="n">
        <v>125.559998</v>
      </c>
      <c r="F809" s="12" t="n">
        <v>23.175341</v>
      </c>
      <c r="G809" s="12" t="n">
        <v>103.379166</v>
      </c>
      <c r="H809" s="13">
        <f>100*B809/B$7</f>
        <v/>
      </c>
      <c r="I809" s="13">
        <f>100*C809/C$7</f>
        <v/>
      </c>
      <c r="J809" s="13">
        <f>100*D809/D$7</f>
        <v/>
      </c>
      <c r="K809" s="13">
        <f>100*E809/E$7</f>
        <v/>
      </c>
      <c r="L809" s="13">
        <f>100*F809/F$7</f>
        <v/>
      </c>
      <c r="M809" s="13">
        <f>100*G809/G$7</f>
        <v/>
      </c>
    </row>
    <row r="810">
      <c r="A810" s="11" t="n">
        <v>46051</v>
      </c>
      <c r="B810" s="12" t="n">
        <v>634.414124</v>
      </c>
      <c r="C810" s="12" t="n">
        <v>85.624771</v>
      </c>
      <c r="D810" s="12" t="n">
        <v>69.83000199999999</v>
      </c>
      <c r="E810" s="12" t="n">
        <v>124.5</v>
      </c>
      <c r="F810" s="12" t="n">
        <v>23.342636</v>
      </c>
      <c r="G810" s="12" t="n">
        <v>103.597534</v>
      </c>
      <c r="H810" s="13">
        <f>100*B810/B$7</f>
        <v/>
      </c>
      <c r="I810" s="13">
        <f>100*C810/C$7</f>
        <v/>
      </c>
      <c r="J810" s="13">
        <f>100*D810/D$7</f>
        <v/>
      </c>
      <c r="K810" s="13">
        <f>100*E810/E$7</f>
        <v/>
      </c>
      <c r="L810" s="13">
        <f>100*F810/F$7</f>
        <v/>
      </c>
      <c r="M810" s="13">
        <f>100*G810/G$7</f>
        <v/>
      </c>
    </row>
    <row r="811">
      <c r="A811" s="11" t="n">
        <v>46052</v>
      </c>
      <c r="B811" s="12" t="n">
        <v>632.3764650000001</v>
      </c>
      <c r="C811" s="12" t="n">
        <v>85.256775</v>
      </c>
      <c r="D811" s="12" t="n">
        <v>68.05999799999999</v>
      </c>
      <c r="E811" s="12" t="n">
        <v>122.410004</v>
      </c>
      <c r="F811" s="12" t="n">
        <v>23.008045</v>
      </c>
      <c r="G811" s="12" t="n">
        <v>101.294708</v>
      </c>
      <c r="H811" s="13">
        <f>100*B811/B$7</f>
        <v/>
      </c>
      <c r="I811" s="13">
        <f>100*C811/C$7</f>
        <v/>
      </c>
      <c r="J811" s="13">
        <f>100*D811/D$7</f>
        <v/>
      </c>
      <c r="K811" s="13">
        <f>100*E811/E$7</f>
        <v/>
      </c>
      <c r="L811" s="13">
        <f>100*F811/F$7</f>
        <v/>
      </c>
      <c r="M811" s="13">
        <f>100*G811/G$7</f>
        <v/>
      </c>
    </row>
    <row r="812">
      <c r="A812" s="11" t="n">
        <v>46055</v>
      </c>
      <c r="B812" s="12" t="n">
        <v>635.815552</v>
      </c>
      <c r="C812" s="12" t="n">
        <v>85.42585800000001</v>
      </c>
      <c r="D812" s="12" t="n">
        <v>68.94000200000001</v>
      </c>
      <c r="E812" s="12" t="n">
        <v>120.93</v>
      </c>
      <c r="F812" s="12" t="n">
        <v>22.880114</v>
      </c>
      <c r="G812" s="12" t="n">
        <v>99.85543800000001</v>
      </c>
      <c r="H812" s="13">
        <f>100*B812/B$7</f>
        <v/>
      </c>
      <c r="I812" s="13">
        <f>100*C812/C$7</f>
        <v/>
      </c>
      <c r="J812" s="13">
        <f>100*D812/D$7</f>
        <v/>
      </c>
      <c r="K812" s="13">
        <f>100*E812/E$7</f>
        <v/>
      </c>
      <c r="L812" s="13">
        <f>100*F812/F$7</f>
        <v/>
      </c>
      <c r="M812" s="13">
        <f>100*G812/G$7</f>
        <v/>
      </c>
    </row>
    <row r="813">
      <c r="A813" s="11" t="n">
        <v>46056</v>
      </c>
      <c r="B813" s="12" t="n">
        <v>630.319031</v>
      </c>
      <c r="C813" s="12" t="n">
        <v>86.211586</v>
      </c>
      <c r="D813" s="12" t="n">
        <v>68.83000199999999</v>
      </c>
      <c r="E813" s="12" t="n">
        <v>124.32</v>
      </c>
      <c r="F813" s="12" t="n">
        <v>22.998205</v>
      </c>
      <c r="G813" s="12" t="n">
        <v>99.587433</v>
      </c>
      <c r="H813" s="13">
        <f>100*B813/B$7</f>
        <v/>
      </c>
      <c r="I813" s="13">
        <f>100*C813/C$7</f>
        <v/>
      </c>
      <c r="J813" s="13">
        <f>100*D813/D$7</f>
        <v/>
      </c>
      <c r="K813" s="13">
        <f>100*E813/E$7</f>
        <v/>
      </c>
      <c r="L813" s="13">
        <f>100*F813/F$7</f>
        <v/>
      </c>
      <c r="M813" s="13">
        <f>100*G813/G$7</f>
        <v/>
      </c>
    </row>
    <row r="814">
      <c r="A814" s="11" t="n">
        <v>46057</v>
      </c>
      <c r="B814" s="12" t="n">
        <v>627.098572</v>
      </c>
      <c r="C814" s="12" t="n">
        <v>87.01720400000001</v>
      </c>
      <c r="D814" s="12" t="n">
        <v>68.150002</v>
      </c>
      <c r="E814" s="12" t="n">
        <v>120.260002</v>
      </c>
      <c r="F814" s="12" t="n">
        <v>23.126137</v>
      </c>
      <c r="G814" s="12" t="n">
        <v>98.584908</v>
      </c>
      <c r="H814" s="13">
        <f>100*B814/B$7</f>
        <v/>
      </c>
      <c r="I814" s="13">
        <f>100*C814/C$7</f>
        <v/>
      </c>
      <c r="J814" s="13">
        <f>100*D814/D$7</f>
        <v/>
      </c>
      <c r="K814" s="13">
        <f>100*E814/E$7</f>
        <v/>
      </c>
      <c r="L814" s="13">
        <f>100*F814/F$7</f>
        <v/>
      </c>
      <c r="M814" s="13">
        <f>100*G814/G$7</f>
        <v/>
      </c>
    </row>
    <row r="815">
      <c r="A815" s="11" t="n">
        <v>46058</v>
      </c>
      <c r="B815" s="12" t="n">
        <v>619.335754</v>
      </c>
      <c r="C815" s="12" t="n">
        <v>85.63472</v>
      </c>
      <c r="D815" s="12" t="n">
        <v>67.860001</v>
      </c>
      <c r="E815" s="12" t="n">
        <v>120.209999</v>
      </c>
      <c r="F815" s="12" t="n">
        <v>22.958841</v>
      </c>
      <c r="G815" s="12" t="n">
        <v>98.1978</v>
      </c>
      <c r="H815" s="13">
        <f>100*B815/B$7</f>
        <v/>
      </c>
      <c r="I815" s="13">
        <f>100*C815/C$7</f>
        <v/>
      </c>
      <c r="J815" s="13">
        <f>100*D815/D$7</f>
        <v/>
      </c>
      <c r="K815" s="13">
        <f>100*E815/E$7</f>
        <v/>
      </c>
      <c r="L815" s="13">
        <f>100*F815/F$7</f>
        <v/>
      </c>
      <c r="M815" s="13">
        <f>100*G815/G$7</f>
        <v/>
      </c>
    </row>
    <row r="816">
      <c r="A816" s="11" t="n">
        <v>46059</v>
      </c>
      <c r="B816" s="12" t="n">
        <v>631.402405</v>
      </c>
      <c r="C816" s="12" t="n">
        <v>88.916893</v>
      </c>
      <c r="D816" s="12" t="n">
        <v>70.050003</v>
      </c>
      <c r="E816" s="12" t="n">
        <v>124.709999</v>
      </c>
      <c r="F816" s="12" t="n">
        <v>23.254068</v>
      </c>
      <c r="G816" s="12" t="n">
        <v>100.480774</v>
      </c>
      <c r="H816" s="13">
        <f>100*B816/B$7</f>
        <v/>
      </c>
      <c r="I816" s="13">
        <f>100*C816/C$7</f>
        <v/>
      </c>
      <c r="J816" s="13">
        <f>100*D816/D$7</f>
        <v/>
      </c>
      <c r="K816" s="13">
        <f>100*E816/E$7</f>
        <v/>
      </c>
      <c r="L816" s="13">
        <f>100*F816/F$7</f>
        <v/>
      </c>
      <c r="M816" s="13">
        <f>100*G816/G$7</f>
        <v/>
      </c>
    </row>
    <row r="817">
      <c r="A817" s="11" t="n">
        <v>46062</v>
      </c>
      <c r="B817" s="12" t="n">
        <v>634.374329</v>
      </c>
      <c r="C817" s="12" t="n">
        <v>90.796677</v>
      </c>
      <c r="D817" s="12" t="n">
        <v>70.760002</v>
      </c>
      <c r="E817" s="12" t="n">
        <v>126.050003</v>
      </c>
      <c r="F817" s="12" t="n">
        <v>23.362318</v>
      </c>
      <c r="G817" s="12" t="n">
        <v>101.274849</v>
      </c>
      <c r="H817" s="13">
        <f>100*B817/B$7</f>
        <v/>
      </c>
      <c r="I817" s="13">
        <f>100*C817/C$7</f>
        <v/>
      </c>
      <c r="J817" s="13">
        <f>100*D817/D$7</f>
        <v/>
      </c>
      <c r="K817" s="13">
        <f>100*E817/E$7</f>
        <v/>
      </c>
      <c r="L817" s="13">
        <f>100*F817/F$7</f>
        <v/>
      </c>
      <c r="M817" s="13">
        <f>100*G817/G$7</f>
        <v/>
      </c>
    </row>
    <row r="818">
      <c r="A818" s="11" t="n">
        <v>46063</v>
      </c>
      <c r="B818" s="12" t="n">
        <v>632.595154</v>
      </c>
      <c r="C818" s="12" t="n">
        <v>92.59689299999999</v>
      </c>
      <c r="D818" s="12" t="n">
        <v>71.44000200000001</v>
      </c>
      <c r="E818" s="12" t="n">
        <v>124.449997</v>
      </c>
      <c r="F818" s="12" t="n">
        <v>23.293432</v>
      </c>
      <c r="G818" s="12" t="n">
        <v>101.225227</v>
      </c>
      <c r="H818" s="13">
        <f>100*B818/B$7</f>
        <v/>
      </c>
      <c r="I818" s="13">
        <f>100*C818/C$7</f>
        <v/>
      </c>
      <c r="J818" s="13">
        <f>100*D818/D$7</f>
        <v/>
      </c>
      <c r="K818" s="13">
        <f>100*E818/E$7</f>
        <v/>
      </c>
      <c r="L818" s="13">
        <f>100*F818/F$7</f>
        <v/>
      </c>
      <c r="M818" s="13">
        <f>100*G818/G$7</f>
        <v/>
      </c>
    </row>
    <row r="819">
      <c r="A819" s="11" t="n">
        <v>46064</v>
      </c>
      <c r="B819" s="12" t="n">
        <v>632.505676</v>
      </c>
      <c r="C819" s="12" t="n">
        <v>93.46219600000001</v>
      </c>
      <c r="D819" s="12" t="n">
        <v>73.349998</v>
      </c>
      <c r="E819" s="12" t="n">
        <v>130.600006</v>
      </c>
      <c r="F819" s="12" t="n">
        <v>23.421364</v>
      </c>
      <c r="G819" s="12" t="n">
        <v>101.354263</v>
      </c>
      <c r="H819" s="13">
        <f>100*B819/B$7</f>
        <v/>
      </c>
      <c r="I819" s="13">
        <f>100*C819/C$7</f>
        <v/>
      </c>
      <c r="J819" s="13">
        <f>100*D819/D$7</f>
        <v/>
      </c>
      <c r="K819" s="13">
        <f>100*E819/E$7</f>
        <v/>
      </c>
      <c r="L819" s="13">
        <f>100*F819/F$7</f>
        <v/>
      </c>
      <c r="M819" s="13">
        <f>100*G819/G$7</f>
        <v/>
      </c>
    </row>
    <row r="820">
      <c r="A820" s="11" t="n">
        <v>46065</v>
      </c>
      <c r="B820" s="12" t="n">
        <v>622.705261</v>
      </c>
      <c r="C820" s="12" t="n">
        <v>92.86544000000001</v>
      </c>
      <c r="D820" s="12" t="n">
        <v>72.55999799999999</v>
      </c>
      <c r="E820" s="12" t="n">
        <v>130.800003</v>
      </c>
      <c r="F820" s="12" t="n">
        <v>22.958841</v>
      </c>
      <c r="G820" s="12" t="n">
        <v>99.48818199999999</v>
      </c>
      <c r="H820" s="13">
        <f>100*B820/B$7</f>
        <v/>
      </c>
      <c r="I820" s="13">
        <f>100*C820/C$7</f>
        <v/>
      </c>
      <c r="J820" s="13">
        <f>100*D820/D$7</f>
        <v/>
      </c>
      <c r="K820" s="13">
        <f>100*E820/E$7</f>
        <v/>
      </c>
      <c r="L820" s="13">
        <f>100*F820/F$7</f>
        <v/>
      </c>
      <c r="M820" s="13">
        <f>100*G820/G$7</f>
        <v/>
      </c>
    </row>
    <row r="821">
      <c r="A821" s="11" t="n">
        <v>46066</v>
      </c>
      <c r="B821" s="12" t="n">
        <v>623.102905</v>
      </c>
      <c r="C821" s="12" t="n">
        <v>93.342842</v>
      </c>
      <c r="D821" s="12" t="n">
        <v>73.050003</v>
      </c>
      <c r="E821" s="12" t="n">
        <v>133.970001</v>
      </c>
      <c r="F821" s="12" t="n">
        <v>22.781704</v>
      </c>
      <c r="G821" s="12" t="n">
        <v>99.170547</v>
      </c>
      <c r="H821" s="13">
        <f>100*B821/B$7</f>
        <v/>
      </c>
      <c r="I821" s="13">
        <f>100*C821/C$7</f>
        <v/>
      </c>
      <c r="J821" s="13">
        <f>100*D821/D$7</f>
        <v/>
      </c>
      <c r="K821" s="13">
        <f>100*E821/E$7</f>
        <v/>
      </c>
      <c r="L821" s="13">
        <f>100*F821/F$7</f>
        <v/>
      </c>
      <c r="M821" s="13">
        <f>100*G821/G$7</f>
        <v/>
      </c>
    </row>
    <row r="822">
      <c r="A822" s="11" t="n">
        <v>46069</v>
      </c>
      <c r="B822" s="12" t="n">
        <v>623.102905</v>
      </c>
      <c r="C822" s="12" t="n">
        <v>93.342842</v>
      </c>
      <c r="D822" s="12" t="n">
        <v>73.050003</v>
      </c>
      <c r="E822" s="12" t="n">
        <v>133.970001</v>
      </c>
      <c r="F822" s="12" t="n">
        <v>22.781704</v>
      </c>
      <c r="G822" s="12" t="n">
        <v>99.170547</v>
      </c>
      <c r="H822" s="13">
        <f>100*B822/B$7</f>
        <v/>
      </c>
      <c r="I822" s="13">
        <f>100*C822/C$7</f>
        <v/>
      </c>
      <c r="J822" s="13">
        <f>100*D822/D$7</f>
        <v/>
      </c>
      <c r="K822" s="13">
        <f>100*E822/E$7</f>
        <v/>
      </c>
      <c r="L822" s="13">
        <f>100*F822/F$7</f>
        <v/>
      </c>
      <c r="M822" s="13">
        <f>100*G822/G$7</f>
        <v/>
      </c>
    </row>
    <row r="823">
      <c r="A823" s="11" t="n">
        <v>46070</v>
      </c>
      <c r="B823" s="12" t="n">
        <v>624.1961669999999</v>
      </c>
      <c r="C823" s="12" t="n">
        <v>91.373543</v>
      </c>
      <c r="D823" s="12" t="n">
        <v>72.889999</v>
      </c>
      <c r="E823" s="12" t="n">
        <v>130.679993</v>
      </c>
      <c r="F823" s="12" t="n">
        <v>23.057251</v>
      </c>
      <c r="G823" s="12" t="n">
        <v>99.567581</v>
      </c>
      <c r="H823" s="13">
        <f>100*B823/B$7</f>
        <v/>
      </c>
      <c r="I823" s="13">
        <f>100*C823/C$7</f>
        <v/>
      </c>
      <c r="J823" s="13">
        <f>100*D823/D$7</f>
        <v/>
      </c>
      <c r="K823" s="13">
        <f>100*E823/E$7</f>
        <v/>
      </c>
      <c r="L823" s="13">
        <f>100*F823/F$7</f>
        <v/>
      </c>
      <c r="M823" s="13">
        <f>100*G823/G$7</f>
        <v/>
      </c>
    </row>
    <row r="824">
      <c r="A824" s="11" t="n">
        <v>46071</v>
      </c>
      <c r="B824" s="12" t="n">
        <v>627.337158</v>
      </c>
      <c r="C824" s="12" t="n">
        <v>90.886185</v>
      </c>
      <c r="D824" s="12" t="n">
        <v>72.980003</v>
      </c>
      <c r="E824" s="12" t="n">
        <v>132.929993</v>
      </c>
      <c r="F824" s="12" t="n">
        <v>23.185183</v>
      </c>
      <c r="G824" s="12" t="n">
        <v>99.666847</v>
      </c>
      <c r="H824" s="13">
        <f>100*B824/B$7</f>
        <v/>
      </c>
      <c r="I824" s="13">
        <f>100*C824/C$7</f>
        <v/>
      </c>
      <c r="J824" s="13">
        <f>100*D824/D$7</f>
        <v/>
      </c>
      <c r="K824" s="13">
        <f>100*E824/E$7</f>
        <v/>
      </c>
      <c r="L824" s="13">
        <f>100*F824/F$7</f>
        <v/>
      </c>
      <c r="M824" s="13">
        <f>100*G824/G$7</f>
        <v/>
      </c>
    </row>
    <row r="825">
      <c r="A825" s="11" t="n">
        <v>46072</v>
      </c>
      <c r="B825" s="12" t="n">
        <v>625.726929</v>
      </c>
      <c r="C825" s="12" t="n">
        <v>90.707161</v>
      </c>
      <c r="D825" s="12" t="n">
        <v>72.66999800000001</v>
      </c>
      <c r="E825" s="12" t="n">
        <v>135.210007</v>
      </c>
      <c r="F825" s="12" t="n">
        <v>23.204865</v>
      </c>
      <c r="G825" s="12" t="n">
        <v>99.696625</v>
      </c>
      <c r="H825" s="13">
        <f>100*B825/B$7</f>
        <v/>
      </c>
      <c r="I825" s="13">
        <f>100*C825/C$7</f>
        <v/>
      </c>
      <c r="J825" s="13">
        <f>100*D825/D$7</f>
        <v/>
      </c>
      <c r="K825" s="13">
        <f>100*E825/E$7</f>
        <v/>
      </c>
      <c r="L825" s="13">
        <f>100*F825/F$7</f>
        <v/>
      </c>
      <c r="M825" s="13">
        <f>100*G825/G$7</f>
        <v/>
      </c>
    </row>
    <row r="826">
      <c r="A826" s="11" t="n">
        <v>46073</v>
      </c>
      <c r="B826" s="12" t="n">
        <v>630.1898190000001</v>
      </c>
      <c r="C826" s="12" t="n">
        <v>90.9757</v>
      </c>
      <c r="D826" s="12" t="n">
        <v>74.379997</v>
      </c>
      <c r="E826" s="12" t="n">
        <v>141.880005</v>
      </c>
      <c r="F826" s="12" t="n">
        <v>23.382</v>
      </c>
      <c r="G826" s="12" t="n">
        <v>100.173065</v>
      </c>
      <c r="H826" s="13">
        <f>100*B826/B$7</f>
        <v/>
      </c>
      <c r="I826" s="13">
        <f>100*C826/C$7</f>
        <v/>
      </c>
      <c r="J826" s="13">
        <f>100*D826/D$7</f>
        <v/>
      </c>
      <c r="K826" s="13">
        <f>100*E826/E$7</f>
        <v/>
      </c>
      <c r="L826" s="13">
        <f>100*F826/F$7</f>
        <v/>
      </c>
      <c r="M826" s="13">
        <f>100*G826/G$7</f>
        <v/>
      </c>
    </row>
    <row r="827">
      <c r="A827" s="11" t="n">
        <v>46076</v>
      </c>
      <c r="B827" s="12" t="n">
        <v>623.83844</v>
      </c>
      <c r="C827" s="12" t="n">
        <v>90.89613300000001</v>
      </c>
      <c r="D827" s="12" t="n">
        <v>73.18000000000001</v>
      </c>
      <c r="E827" s="12" t="n">
        <v>139.300003</v>
      </c>
      <c r="F827" s="12" t="n">
        <v>23.401684</v>
      </c>
      <c r="G827" s="12" t="n">
        <v>99.53780399999999</v>
      </c>
      <c r="H827" s="13">
        <f>100*B827/B$7</f>
        <v/>
      </c>
      <c r="I827" s="13">
        <f>100*C827/C$7</f>
        <v/>
      </c>
      <c r="J827" s="13">
        <f>100*D827/D$7</f>
        <v/>
      </c>
      <c r="K827" s="13">
        <f>100*E827/E$7</f>
        <v/>
      </c>
      <c r="L827" s="13">
        <f>100*F827/F$7</f>
        <v/>
      </c>
      <c r="M827" s="13">
        <f>100*G827/G$7</f>
        <v/>
      </c>
    </row>
    <row r="828">
      <c r="A828" s="11" t="n">
        <v>46077</v>
      </c>
      <c r="B828" s="12" t="n">
        <v>628.390747</v>
      </c>
      <c r="C828" s="12" t="n">
        <v>90.73699999999999</v>
      </c>
      <c r="D828" s="12" t="n">
        <v>75.730003</v>
      </c>
      <c r="E828" s="12" t="n">
        <v>144.550003</v>
      </c>
      <c r="F828" s="12" t="n">
        <v>23.568979</v>
      </c>
      <c r="G828" s="12" t="n">
        <v>99.53780399999999</v>
      </c>
      <c r="H828" s="13">
        <f>100*B828/B$7</f>
        <v/>
      </c>
      <c r="I828" s="13">
        <f>100*C828/C$7</f>
        <v/>
      </c>
      <c r="J828" s="13">
        <f>100*D828/D$7</f>
        <v/>
      </c>
      <c r="K828" s="13">
        <f>100*E828/E$7</f>
        <v/>
      </c>
      <c r="L828" s="13">
        <f>100*F828/F$7</f>
        <v/>
      </c>
      <c r="M828" s="13">
        <f>100*G828/G$7</f>
        <v/>
      </c>
    </row>
    <row r="829">
      <c r="A829" s="11" t="n">
        <v>46078</v>
      </c>
      <c r="B829" s="12" t="n">
        <v>633.6786499999999</v>
      </c>
      <c r="C829" s="12" t="n">
        <v>91.94046</v>
      </c>
      <c r="D829" s="12" t="n">
        <v>77.05999799999999</v>
      </c>
      <c r="E829" s="12" t="n">
        <v>148.889999</v>
      </c>
      <c r="F829" s="12" t="n">
        <v>23.48041</v>
      </c>
      <c r="G829" s="12" t="n">
        <v>100.063881</v>
      </c>
      <c r="H829" s="13">
        <f>100*B829/B$7</f>
        <v/>
      </c>
      <c r="I829" s="13">
        <f>100*C829/C$7</f>
        <v/>
      </c>
      <c r="J829" s="13">
        <f>100*D829/D$7</f>
        <v/>
      </c>
      <c r="K829" s="13">
        <f>100*E829/E$7</f>
        <v/>
      </c>
      <c r="L829" s="13">
        <f>100*F829/F$7</f>
        <v/>
      </c>
      <c r="M829" s="13">
        <f>100*G829/G$7</f>
        <v/>
      </c>
    </row>
    <row r="830">
      <c r="A830" s="11" t="n">
        <v>46079</v>
      </c>
      <c r="B830" s="12" t="n">
        <v>630.120239</v>
      </c>
      <c r="C830" s="12" t="n">
        <v>91.98024700000001</v>
      </c>
      <c r="D830" s="12" t="n">
        <v>76.139999</v>
      </c>
      <c r="E830" s="12" t="n">
        <v>150.410004</v>
      </c>
      <c r="F830" s="12" t="n">
        <v>23.490252</v>
      </c>
      <c r="G830" s="12" t="n">
        <v>97.840462</v>
      </c>
      <c r="H830" s="13">
        <f>100*B830/B$7</f>
        <v/>
      </c>
      <c r="I830" s="13">
        <f>100*C830/C$7</f>
        <v/>
      </c>
      <c r="J830" s="13">
        <f>100*D830/D$7</f>
        <v/>
      </c>
      <c r="K830" s="13">
        <f>100*E830/E$7</f>
        <v/>
      </c>
      <c r="L830" s="13">
        <f>100*F830/F$7</f>
        <v/>
      </c>
      <c r="M830" s="13">
        <f>100*G830/G$7</f>
        <v/>
      </c>
    </row>
    <row r="831">
      <c r="A831" s="11" t="n">
        <v>46080</v>
      </c>
      <c r="B831" s="12" t="n">
        <v>627.227722</v>
      </c>
      <c r="C831" s="12" t="n">
        <v>91.870842</v>
      </c>
      <c r="D831" s="12" t="n">
        <v>75.66999800000001</v>
      </c>
      <c r="E831" s="12" t="n">
        <v>151.369995</v>
      </c>
      <c r="F831" s="12" t="n">
        <v>23.824841</v>
      </c>
      <c r="G831" s="12" t="n">
        <v>97.56253100000001</v>
      </c>
      <c r="H831" s="13">
        <f>100*B831/B$7</f>
        <v/>
      </c>
      <c r="I831" s="13">
        <f>100*C831/C$7</f>
        <v/>
      </c>
      <c r="J831" s="13">
        <f>100*D831/D$7</f>
        <v/>
      </c>
      <c r="K831" s="13">
        <f>100*E831/E$7</f>
        <v/>
      </c>
      <c r="L831" s="13">
        <f>100*F831/F$7</f>
        <v/>
      </c>
      <c r="M831" s="13">
        <f>100*G831/G$7</f>
        <v/>
      </c>
    </row>
    <row r="832">
      <c r="A832" s="11" t="n">
        <v>46083</v>
      </c>
      <c r="B832" s="12" t="n">
        <v>627.46637</v>
      </c>
      <c r="C832" s="12" t="n">
        <v>89.712563</v>
      </c>
      <c r="D832" s="12" t="n">
        <v>75.06999999999999</v>
      </c>
      <c r="E832" s="12" t="n">
        <v>147.539993</v>
      </c>
      <c r="F832" s="12" t="n">
        <v>23.559137</v>
      </c>
      <c r="G832" s="12" t="n">
        <v>97.44342</v>
      </c>
      <c r="H832" s="13">
        <f>100*B832/B$7</f>
        <v/>
      </c>
      <c r="I832" s="13">
        <f>100*C832/C$7</f>
        <v/>
      </c>
      <c r="J832" s="13">
        <f>100*D832/D$7</f>
        <v/>
      </c>
      <c r="K832" s="13">
        <f>100*E832/E$7</f>
        <v/>
      </c>
      <c r="L832" s="13">
        <f>100*F832/F$7</f>
        <v/>
      </c>
      <c r="M832" s="13">
        <f>100*G832/G$7</f>
        <v/>
      </c>
    </row>
    <row r="833">
      <c r="A833" s="11" t="n">
        <v>46084</v>
      </c>
      <c r="B833" s="12" t="n">
        <v>621.93988</v>
      </c>
      <c r="C833" s="12" t="n">
        <v>86.36077899999999</v>
      </c>
      <c r="D833" s="12" t="n">
        <v>71.290001</v>
      </c>
      <c r="E833" s="12" t="n">
        <v>132.339996</v>
      </c>
      <c r="F833" s="12" t="n">
        <v>23.135979</v>
      </c>
      <c r="G833" s="12" t="n">
        <v>94.416</v>
      </c>
      <c r="H833" s="13">
        <f>100*B833/B$7</f>
        <v/>
      </c>
      <c r="I833" s="13">
        <f>100*C833/C$7</f>
        <v/>
      </c>
      <c r="J833" s="13">
        <f>100*D833/D$7</f>
        <v/>
      </c>
      <c r="K833" s="13">
        <f>100*E833/E$7</f>
        <v/>
      </c>
      <c r="L833" s="13">
        <f>100*F833/F$7</f>
        <v/>
      </c>
      <c r="M833" s="13">
        <f>100*G833/G$7</f>
        <v/>
      </c>
    </row>
    <row r="834">
      <c r="A834" s="11" t="n">
        <v>46085</v>
      </c>
      <c r="B834" s="12" t="n">
        <v>626.372986</v>
      </c>
      <c r="C834" s="12" t="n">
        <v>88.111259</v>
      </c>
      <c r="D834" s="12" t="n">
        <v>71.620003</v>
      </c>
      <c r="E834" s="12" t="n">
        <v>134.369995</v>
      </c>
      <c r="F834" s="12" t="n">
        <v>22.939159</v>
      </c>
      <c r="G834" s="12" t="n">
        <v>94.56488</v>
      </c>
      <c r="H834" s="13">
        <f>100*B834/B$7</f>
        <v/>
      </c>
      <c r="I834" s="13">
        <f>100*C834/C$7</f>
        <v/>
      </c>
      <c r="J834" s="13">
        <f>100*D834/D$7</f>
        <v/>
      </c>
      <c r="K834" s="13">
        <f>100*E834/E$7</f>
        <v/>
      </c>
      <c r="L834" s="13">
        <f>100*F834/F$7</f>
        <v/>
      </c>
      <c r="M834" s="13">
        <f>100*G834/G$7</f>
        <v/>
      </c>
    </row>
    <row r="835">
      <c r="A835" s="11" t="n">
        <v>46086</v>
      </c>
      <c r="B835" s="12" t="n">
        <v>623.023376</v>
      </c>
      <c r="C835" s="12" t="n">
        <v>85.42585800000001</v>
      </c>
      <c r="D835" s="12" t="n">
        <v>70.400002</v>
      </c>
      <c r="E835" s="12" t="n">
        <v>125.739998</v>
      </c>
      <c r="F835" s="12" t="n">
        <v>22.781704</v>
      </c>
      <c r="G835" s="12" t="n">
        <v>93.304283</v>
      </c>
      <c r="H835" s="13">
        <f>100*B835/B$7</f>
        <v/>
      </c>
      <c r="I835" s="13">
        <f>100*C835/C$7</f>
        <v/>
      </c>
      <c r="J835" s="13">
        <f>100*D835/D$7</f>
        <v/>
      </c>
      <c r="K835" s="13">
        <f>100*E835/E$7</f>
        <v/>
      </c>
      <c r="L835" s="13">
        <f>100*F835/F$7</f>
        <v/>
      </c>
      <c r="M835" s="13">
        <f>100*G835/G$7</f>
        <v/>
      </c>
    </row>
    <row r="836">
      <c r="A836" s="11" t="n">
        <v>46087</v>
      </c>
      <c r="B836" s="12" t="n">
        <v>614.69397</v>
      </c>
      <c r="C836" s="12" t="n">
        <v>84.311905</v>
      </c>
      <c r="D836" s="12" t="n">
        <v>69.519997</v>
      </c>
      <c r="E836" s="12" t="n">
        <v>126.730003</v>
      </c>
      <c r="F836" s="12" t="n">
        <v>22.801386</v>
      </c>
      <c r="G836" s="12" t="n">
        <v>94.187698</v>
      </c>
      <c r="H836" s="13">
        <f>100*B836/B$7</f>
        <v/>
      </c>
      <c r="I836" s="13">
        <f>100*C836/C$7</f>
        <v/>
      </c>
      <c r="J836" s="13">
        <f>100*D836/D$7</f>
        <v/>
      </c>
      <c r="K836" s="13">
        <f>100*E836/E$7</f>
        <v/>
      </c>
      <c r="L836" s="13">
        <f>100*F836/F$7</f>
        <v/>
      </c>
      <c r="M836" s="13">
        <f>100*G836/G$7</f>
        <v/>
      </c>
    </row>
    <row r="837">
      <c r="A837" s="11" t="n">
        <v>46090</v>
      </c>
      <c r="B837" s="12" t="n">
        <v>620.031555</v>
      </c>
      <c r="C837" s="12" t="n">
        <v>85.17720799999999</v>
      </c>
      <c r="D837" s="12" t="n">
        <v>70.760002</v>
      </c>
      <c r="E837" s="12" t="n">
        <v>133.889999</v>
      </c>
      <c r="F837" s="12" t="n">
        <v>22.771864</v>
      </c>
      <c r="G837" s="12" t="n">
        <v>95.57733899999999</v>
      </c>
      <c r="H837" s="13">
        <f>100*B837/B$7</f>
        <v/>
      </c>
      <c r="I837" s="13">
        <f>100*C837/C$7</f>
        <v/>
      </c>
      <c r="J837" s="13">
        <f>100*D837/D$7</f>
        <v/>
      </c>
      <c r="K837" s="13">
        <f>100*E837/E$7</f>
        <v/>
      </c>
      <c r="L837" s="13">
        <f>100*F837/F$7</f>
        <v/>
      </c>
      <c r="M837" s="13">
        <f>100*G837/G$7</f>
        <v/>
      </c>
    </row>
    <row r="838">
      <c r="A838" s="11" t="n">
        <v>46091</v>
      </c>
      <c r="B838" s="12" t="n">
        <v>618.9580079999999</v>
      </c>
      <c r="C838" s="12" t="n">
        <v>85.99277499999999</v>
      </c>
      <c r="D838" s="12" t="n">
        <v>70.44000200000001</v>
      </c>
      <c r="E838" s="12" t="n">
        <v>130.300003</v>
      </c>
      <c r="F838" s="12" t="n">
        <v>22.939159</v>
      </c>
      <c r="G838" s="12" t="n">
        <v>96.88756600000001</v>
      </c>
      <c r="H838" s="13">
        <f>100*B838/B$7</f>
        <v/>
      </c>
      <c r="I838" s="13">
        <f>100*C838/C$7</f>
        <v/>
      </c>
      <c r="J838" s="13">
        <f>100*D838/D$7</f>
        <v/>
      </c>
      <c r="K838" s="13">
        <f>100*E838/E$7</f>
        <v/>
      </c>
      <c r="L838" s="13">
        <f>100*F838/F$7</f>
        <v/>
      </c>
      <c r="M838" s="13">
        <f>100*G838/G$7</f>
        <v/>
      </c>
    </row>
    <row r="839">
      <c r="A839" s="11" t="n">
        <v>46092</v>
      </c>
      <c r="B839" s="12" t="n">
        <v>618.272278</v>
      </c>
      <c r="C839" s="12" t="n">
        <v>85.266724</v>
      </c>
      <c r="D839" s="12" t="n">
        <v>71.910004</v>
      </c>
      <c r="E839" s="12" t="n">
        <v>132.850006</v>
      </c>
      <c r="F839" s="12" t="n">
        <v>22.978523</v>
      </c>
      <c r="G839" s="12" t="n">
        <v>96.49052399999999</v>
      </c>
      <c r="H839" s="13">
        <f>100*B839/B$7</f>
        <v/>
      </c>
      <c r="I839" s="13">
        <f>100*C839/C$7</f>
        <v/>
      </c>
      <c r="J839" s="13">
        <f>100*D839/D$7</f>
        <v/>
      </c>
      <c r="K839" s="13">
        <f>100*E839/E$7</f>
        <v/>
      </c>
      <c r="L839" s="13">
        <f>100*F839/F$7</f>
        <v/>
      </c>
      <c r="M839" s="13">
        <f>100*G839/G$7</f>
        <v/>
      </c>
    </row>
    <row r="840">
      <c r="A840" s="11" t="n">
        <v>46093</v>
      </c>
      <c r="B840" s="12" t="n">
        <v>608.799744</v>
      </c>
      <c r="C840" s="12" t="n">
        <v>83.735046</v>
      </c>
      <c r="D840" s="12" t="n">
        <v>69.760002</v>
      </c>
      <c r="E840" s="12" t="n">
        <v>123.5</v>
      </c>
      <c r="F840" s="12" t="n">
        <v>22.515999</v>
      </c>
      <c r="G840" s="12" t="n">
        <v>95.28948200000001</v>
      </c>
      <c r="H840" s="13">
        <f>100*B840/B$7</f>
        <v/>
      </c>
      <c r="I840" s="13">
        <f>100*C840/C$7</f>
        <v/>
      </c>
      <c r="J840" s="13">
        <f>100*D840/D$7</f>
        <v/>
      </c>
      <c r="K840" s="13">
        <f>100*E840/E$7</f>
        <v/>
      </c>
      <c r="L840" s="13">
        <f>100*F840/F$7</f>
        <v/>
      </c>
      <c r="M840" s="13">
        <f>100*G840/G$7</f>
        <v/>
      </c>
    </row>
    <row r="841">
      <c r="A841" s="11" t="n">
        <v>46094</v>
      </c>
      <c r="B841" s="12" t="n">
        <v>605.4104610000001</v>
      </c>
      <c r="C841" s="12" t="n">
        <v>82.909531</v>
      </c>
      <c r="D841" s="12" t="n">
        <v>69.989998</v>
      </c>
      <c r="E841" s="12" t="n">
        <v>124.150002</v>
      </c>
      <c r="F841" s="12" t="n">
        <v>22.397909</v>
      </c>
      <c r="G841" s="12" t="n">
        <v>95.597183</v>
      </c>
      <c r="H841" s="13">
        <f>100*B841/B$7</f>
        <v/>
      </c>
      <c r="I841" s="13">
        <f>100*C841/C$7</f>
        <v/>
      </c>
      <c r="J841" s="13">
        <f>100*D841/D$7</f>
        <v/>
      </c>
      <c r="K841" s="13">
        <f>100*E841/E$7</f>
        <v/>
      </c>
      <c r="L841" s="13">
        <f>100*F841/F$7</f>
        <v/>
      </c>
      <c r="M841" s="13">
        <f>100*G841/G$7</f>
        <v/>
      </c>
    </row>
    <row r="842">
      <c r="A842" s="11" t="n">
        <v>46097</v>
      </c>
      <c r="B842" s="12" t="n">
        <v>611.473511</v>
      </c>
      <c r="C842" s="12" t="n">
        <v>84.610291</v>
      </c>
      <c r="D842" s="12" t="n">
        <v>72.029999</v>
      </c>
      <c r="E842" s="12" t="n">
        <v>133.100006</v>
      </c>
      <c r="F842" s="12" t="n">
        <v>22.663614</v>
      </c>
      <c r="G842" s="12" t="n">
        <v>96.38133999999999</v>
      </c>
      <c r="H842" s="13">
        <f>100*B842/B$7</f>
        <v/>
      </c>
      <c r="I842" s="13">
        <f>100*C842/C$7</f>
        <v/>
      </c>
      <c r="J842" s="13">
        <f>100*D842/D$7</f>
        <v/>
      </c>
      <c r="K842" s="13">
        <f>100*E842/E$7</f>
        <v/>
      </c>
      <c r="L842" s="13">
        <f>100*F842/F$7</f>
        <v/>
      </c>
      <c r="M842" s="13">
        <f>100*G842/G$7</f>
        <v/>
      </c>
    </row>
    <row r="843">
      <c r="A843" s="11" t="n">
        <v>46098</v>
      </c>
      <c r="B843" s="12" t="n">
        <v>613.16333</v>
      </c>
      <c r="C843" s="12" t="n">
        <v>84.620232</v>
      </c>
      <c r="D843" s="12" t="n">
        <v>73</v>
      </c>
      <c r="E843" s="12" t="n">
        <v>134.429993</v>
      </c>
      <c r="F843" s="12" t="n">
        <v>22.62425</v>
      </c>
      <c r="G843" s="12" t="n">
        <v>95.72622699999999</v>
      </c>
      <c r="H843" s="13">
        <f>100*B843/B$7</f>
        <v/>
      </c>
      <c r="I843" s="13">
        <f>100*C843/C$7</f>
        <v/>
      </c>
      <c r="J843" s="13">
        <f>100*D843/D$7</f>
        <v/>
      </c>
      <c r="K843" s="13">
        <f>100*E843/E$7</f>
        <v/>
      </c>
      <c r="L843" s="13">
        <f>100*F843/F$7</f>
        <v/>
      </c>
      <c r="M843" s="13">
        <f>100*G843/G$7</f>
        <v/>
      </c>
    </row>
    <row r="844">
      <c r="A844" s="11" t="n">
        <v>46099</v>
      </c>
      <c r="B844" s="12" t="n">
        <v>604.704651</v>
      </c>
      <c r="C844" s="12" t="n">
        <v>83.69525899999999</v>
      </c>
      <c r="D844" s="12" t="n">
        <v>71.339996</v>
      </c>
      <c r="E844" s="12" t="n">
        <v>131.880005</v>
      </c>
      <c r="F844" s="12" t="n">
        <v>22.28966</v>
      </c>
      <c r="G844" s="12" t="n">
        <v>94.16784699999999</v>
      </c>
      <c r="H844" s="13">
        <f>100*B844/B$7</f>
        <v/>
      </c>
      <c r="I844" s="13">
        <f>100*C844/C$7</f>
        <v/>
      </c>
      <c r="J844" s="13">
        <f>100*D844/D$7</f>
        <v/>
      </c>
      <c r="K844" s="13">
        <f>100*E844/E$7</f>
        <v/>
      </c>
      <c r="L844" s="13">
        <f>100*F844/F$7</f>
        <v/>
      </c>
      <c r="M844" s="13">
        <f>100*G844/G$7</f>
        <v/>
      </c>
    </row>
    <row r="845">
      <c r="A845" s="11" t="n">
        <v>46100</v>
      </c>
      <c r="B845" s="12" t="n">
        <v>603.084534</v>
      </c>
      <c r="C845" s="12" t="n">
        <v>83.625641</v>
      </c>
      <c r="D845" s="12" t="n">
        <v>72.139999</v>
      </c>
      <c r="E845" s="12" t="n">
        <v>134.820007</v>
      </c>
      <c r="F845" s="12" t="n">
        <v>22.466795</v>
      </c>
      <c r="G845" s="12" t="n">
        <v>93.363838</v>
      </c>
      <c r="H845" s="13">
        <f>100*B845/B$7</f>
        <v/>
      </c>
      <c r="I845" s="13">
        <f>100*C845/C$7</f>
        <v/>
      </c>
      <c r="J845" s="13">
        <f>100*D845/D$7</f>
        <v/>
      </c>
      <c r="K845" s="13">
        <f>100*E845/E$7</f>
        <v/>
      </c>
      <c r="L845" s="13">
        <f>100*F845/F$7</f>
        <v/>
      </c>
      <c r="M845" s="13">
        <f>100*G845/G$7</f>
        <v/>
      </c>
    </row>
    <row r="846">
      <c r="A846" s="11" t="n">
        <v>46101</v>
      </c>
      <c r="B846" s="12" t="n">
        <v>594.327759</v>
      </c>
      <c r="C846" s="12" t="n">
        <v>80.7612</v>
      </c>
      <c r="D846" s="12" t="n">
        <v>69.739998</v>
      </c>
      <c r="E846" s="12" t="n">
        <v>125.779999</v>
      </c>
      <c r="F846" s="12" t="n">
        <v>21.964909</v>
      </c>
      <c r="G846" s="12" t="n">
        <v>90.95182</v>
      </c>
      <c r="H846" s="13">
        <f>100*B846/B$7</f>
        <v/>
      </c>
      <c r="I846" s="13">
        <f>100*C846/C$7</f>
        <v/>
      </c>
      <c r="J846" s="13">
        <f>100*D846/D$7</f>
        <v/>
      </c>
      <c r="K846" s="13">
        <f>100*E846/E$7</f>
        <v/>
      </c>
      <c r="L846" s="13">
        <f>100*F846/F$7</f>
        <v/>
      </c>
      <c r="M846" s="13">
        <f>100*G846/G$7</f>
        <v/>
      </c>
    </row>
    <row r="847">
      <c r="A847" s="11" t="n">
        <v>46104</v>
      </c>
      <c r="B847" s="12" t="n">
        <v>600.778503</v>
      </c>
      <c r="C847" s="12" t="n">
        <v>83.09850299999999</v>
      </c>
      <c r="D847" s="12" t="n">
        <v>72.160004</v>
      </c>
      <c r="E847" s="12" t="n">
        <v>133.809998</v>
      </c>
      <c r="F847" s="12" t="n">
        <v>22.023954</v>
      </c>
      <c r="G847" s="12" t="n">
        <v>91.190048</v>
      </c>
      <c r="H847" s="13">
        <f>100*B847/B$7</f>
        <v/>
      </c>
      <c r="I847" s="13">
        <f>100*C847/C$7</f>
        <v/>
      </c>
      <c r="J847" s="13">
        <f>100*D847/D$7</f>
        <v/>
      </c>
      <c r="K847" s="13">
        <f>100*E847/E$7</f>
        <v/>
      </c>
      <c r="L847" s="13">
        <f>100*F847/F$7</f>
        <v/>
      </c>
      <c r="M847" s="13">
        <f>100*G847/G$7</f>
        <v/>
      </c>
    </row>
    <row r="848">
      <c r="A848" s="11" t="n">
        <v>46105</v>
      </c>
      <c r="B848" s="12" t="n">
        <v>598.740967</v>
      </c>
      <c r="C848" s="12" t="n">
        <v>82.829956</v>
      </c>
      <c r="D848" s="12" t="n">
        <v>70.739998</v>
      </c>
      <c r="E848" s="12" t="n">
        <v>128.75</v>
      </c>
      <c r="F848" s="12" t="n">
        <v>22.17157</v>
      </c>
      <c r="G848" s="12" t="n">
        <v>91.011383</v>
      </c>
      <c r="H848" s="13">
        <f>100*B848/B$7</f>
        <v/>
      </c>
      <c r="I848" s="13">
        <f>100*C848/C$7</f>
        <v/>
      </c>
      <c r="J848" s="13">
        <f>100*D848/D$7</f>
        <v/>
      </c>
      <c r="K848" s="13">
        <f>100*E848/E$7</f>
        <v/>
      </c>
      <c r="L848" s="13">
        <f>100*F848/F$7</f>
        <v/>
      </c>
      <c r="M848" s="13">
        <f>100*G848/G$7</f>
        <v/>
      </c>
    </row>
    <row r="849">
      <c r="A849" s="11" t="n">
        <v>46106</v>
      </c>
      <c r="B849" s="12" t="n">
        <v>602.001099</v>
      </c>
      <c r="C849" s="12" t="n">
        <v>84.29201500000001</v>
      </c>
      <c r="D849" s="12" t="n">
        <v>72.389999</v>
      </c>
      <c r="E849" s="12" t="n">
        <v>127.739998</v>
      </c>
      <c r="F849" s="12" t="n">
        <v>22.653774</v>
      </c>
      <c r="G849" s="12" t="n">
        <v>92.778206</v>
      </c>
      <c r="H849" s="13">
        <f>100*B849/B$7</f>
        <v/>
      </c>
      <c r="I849" s="13">
        <f>100*C849/C$7</f>
        <v/>
      </c>
      <c r="J849" s="13">
        <f>100*D849/D$7</f>
        <v/>
      </c>
      <c r="K849" s="13">
        <f>100*E849/E$7</f>
        <v/>
      </c>
      <c r="L849" s="13">
        <f>100*F849/F$7</f>
        <v/>
      </c>
      <c r="M849" s="13">
        <f>100*G849/G$7</f>
        <v/>
      </c>
    </row>
    <row r="850">
      <c r="A850" s="11" t="n">
        <v>46107</v>
      </c>
      <c r="B850" s="12" t="n">
        <v>591.325989</v>
      </c>
      <c r="C850" s="12" t="n">
        <v>82.26303900000001</v>
      </c>
      <c r="D850" s="12" t="n">
        <v>70.099998</v>
      </c>
      <c r="E850" s="12" t="n">
        <v>119.989998</v>
      </c>
      <c r="F850" s="12" t="n">
        <v>22.210932</v>
      </c>
      <c r="G850" s="12" t="n">
        <v>90.395973</v>
      </c>
      <c r="H850" s="13">
        <f>100*B850/B$7</f>
        <v/>
      </c>
      <c r="I850" s="13">
        <f>100*C850/C$7</f>
        <v/>
      </c>
      <c r="J850" s="13">
        <f>100*D850/D$7</f>
        <v/>
      </c>
      <c r="K850" s="13">
        <f>100*E850/E$7</f>
        <v/>
      </c>
      <c r="L850" s="13">
        <f>100*F850/F$7</f>
        <v/>
      </c>
      <c r="M850" s="13">
        <f>100*G850/G$7</f>
        <v/>
      </c>
    </row>
    <row r="851">
      <c r="A851" s="11" t="n">
        <v>46108</v>
      </c>
      <c r="B851" s="12" t="n">
        <v>581.267334</v>
      </c>
      <c r="C851" s="12" t="n">
        <v>80.98996</v>
      </c>
      <c r="D851" s="12" t="n">
        <v>69.489998</v>
      </c>
      <c r="E851" s="12" t="n">
        <v>120.980003</v>
      </c>
      <c r="F851" s="12" t="n">
        <v>22.023954</v>
      </c>
      <c r="G851" s="12" t="n">
        <v>90.127968</v>
      </c>
      <c r="H851" s="13">
        <f>100*B851/B$7</f>
        <v/>
      </c>
      <c r="I851" s="13">
        <f>100*C851/C$7</f>
        <v/>
      </c>
      <c r="J851" s="13">
        <f>100*D851/D$7</f>
        <v/>
      </c>
      <c r="K851" s="13">
        <f>100*E851/E$7</f>
        <v/>
      </c>
      <c r="L851" s="13">
        <f>100*F851/F$7</f>
        <v/>
      </c>
      <c r="M851" s="13">
        <f>100*G851/G$7</f>
        <v/>
      </c>
    </row>
    <row r="852">
      <c r="A852" s="11" t="n">
        <v>46111</v>
      </c>
      <c r="B852" s="12" t="n">
        <v>579.243164</v>
      </c>
      <c r="C852" s="12" t="n">
        <v>81.07946800000001</v>
      </c>
      <c r="D852" s="12" t="n">
        <v>68.959999</v>
      </c>
      <c r="E852" s="12" t="n">
        <v>116.43</v>
      </c>
      <c r="F852" s="12" t="n">
        <v>22.023954</v>
      </c>
      <c r="G852" s="12" t="n">
        <v>90.515083</v>
      </c>
      <c r="H852" s="13">
        <f>100*B852/B$7</f>
        <v/>
      </c>
      <c r="I852" s="13">
        <f>100*C852/C$7</f>
        <v/>
      </c>
      <c r="J852" s="13">
        <f>100*D852/D$7</f>
        <v/>
      </c>
      <c r="K852" s="13">
        <f>100*E852/E$7</f>
        <v/>
      </c>
      <c r="L852" s="13">
        <f>100*F852/F$7</f>
        <v/>
      </c>
      <c r="M852" s="13">
        <f>100*G852/G$7</f>
        <v/>
      </c>
    </row>
    <row r="853">
      <c r="A853" s="11" t="n">
        <v>46112</v>
      </c>
      <c r="B853" s="12" t="n">
        <v>595.814941</v>
      </c>
      <c r="C853" s="12" t="n">
        <v>83.98369599999999</v>
      </c>
      <c r="D853" s="12" t="n">
        <v>70.91999800000001</v>
      </c>
      <c r="E853" s="12" t="n">
        <v>123.010002</v>
      </c>
      <c r="F853" s="12" t="n">
        <v>22.72266</v>
      </c>
      <c r="G853" s="12" t="n">
        <v>92.430801</v>
      </c>
      <c r="H853" s="13">
        <f>100*B853/B$7</f>
        <v/>
      </c>
      <c r="I853" s="13">
        <f>100*C853/C$7</f>
        <v/>
      </c>
      <c r="J853" s="13">
        <f>100*D853/D$7</f>
        <v/>
      </c>
      <c r="K853" s="13">
        <f>100*E853/E$7</f>
        <v/>
      </c>
      <c r="L853" s="13">
        <f>100*F853/F$7</f>
        <v/>
      </c>
      <c r="M853" s="13">
        <f>100*G853/G$7</f>
        <v/>
      </c>
    </row>
    <row r="854">
      <c r="A854" s="11" t="n">
        <v>46113</v>
      </c>
      <c r="B854" s="12" t="n">
        <v>600.551147</v>
      </c>
      <c r="C854" s="12" t="n">
        <v>86.01267199999999</v>
      </c>
      <c r="D854" s="12" t="n">
        <v>71.720001</v>
      </c>
      <c r="E854" s="12" t="n">
        <v>126.220001</v>
      </c>
      <c r="F854" s="12" t="n">
        <v>22.880114</v>
      </c>
      <c r="G854" s="12" t="n">
        <v>92.04368599999999</v>
      </c>
      <c r="H854" s="13">
        <f>100*B854/B$7</f>
        <v/>
      </c>
      <c r="I854" s="13">
        <f>100*C854/C$7</f>
        <v/>
      </c>
      <c r="J854" s="13">
        <f>100*D854/D$7</f>
        <v/>
      </c>
      <c r="K854" s="13">
        <f>100*E854/E$7</f>
        <v/>
      </c>
      <c r="L854" s="13">
        <f>100*F854/F$7</f>
        <v/>
      </c>
      <c r="M854" s="13">
        <f>100*G854/G$7</f>
        <v/>
      </c>
    </row>
    <row r="855">
      <c r="A855" s="11" t="n">
        <v>46114</v>
      </c>
      <c r="B855" s="12" t="n">
        <v>601.239136</v>
      </c>
      <c r="C855" s="12" t="n">
        <v>84.82910200000001</v>
      </c>
      <c r="D855" s="12" t="n">
        <v>70.769997</v>
      </c>
      <c r="E855" s="12" t="n">
        <v>122.870003</v>
      </c>
      <c r="F855" s="12" t="n">
        <v>22.791546</v>
      </c>
      <c r="G855" s="12" t="n">
        <v>91.527534</v>
      </c>
      <c r="H855" s="13">
        <f>100*B855/B$7</f>
        <v/>
      </c>
      <c r="I855" s="13">
        <f>100*C855/C$7</f>
        <v/>
      </c>
      <c r="J855" s="13">
        <f>100*D855/D$7</f>
        <v/>
      </c>
      <c r="K855" s="13">
        <f>100*E855/E$7</f>
        <v/>
      </c>
      <c r="L855" s="13">
        <f>100*F855/F$7</f>
        <v/>
      </c>
      <c r="M855" s="13">
        <f>100*G855/G$7</f>
        <v/>
      </c>
    </row>
    <row r="856">
      <c r="A856" s="11" t="n">
        <v>46115</v>
      </c>
      <c r="B856" s="12" t="n">
        <v>601.239136</v>
      </c>
      <c r="C856" s="12" t="n">
        <v>84.82910200000001</v>
      </c>
      <c r="D856" s="12" t="n">
        <v>70.769997</v>
      </c>
      <c r="E856" s="12" t="n">
        <v>122.870003</v>
      </c>
      <c r="F856" s="12" t="n">
        <v>22.791546</v>
      </c>
      <c r="G856" s="12" t="n">
        <v>91.527534</v>
      </c>
      <c r="H856" s="13">
        <f>100*B856/B$7</f>
        <v/>
      </c>
      <c r="I856" s="13">
        <f>100*C856/C$7</f>
        <v/>
      </c>
      <c r="J856" s="13">
        <f>100*D856/D$7</f>
        <v/>
      </c>
      <c r="K856" s="13">
        <f>100*E856/E$7</f>
        <v/>
      </c>
      <c r="L856" s="13">
        <f>100*F856/F$7</f>
        <v/>
      </c>
      <c r="M856" s="13">
        <f>100*G856/G$7</f>
        <v/>
      </c>
    </row>
    <row r="857">
      <c r="A857" s="11" t="n">
        <v>46118</v>
      </c>
      <c r="B857" s="12" t="n">
        <v>603.9113160000001</v>
      </c>
      <c r="C857" s="12" t="n">
        <v>85.10758199999999</v>
      </c>
      <c r="D857" s="12" t="n">
        <v>71.290001</v>
      </c>
      <c r="E857" s="12" t="n">
        <v>125.940002</v>
      </c>
      <c r="F857" s="12" t="n">
        <v>22.899796</v>
      </c>
      <c r="G857" s="12" t="n">
        <v>91.239677</v>
      </c>
      <c r="H857" s="13">
        <f>100*B857/B$7</f>
        <v/>
      </c>
      <c r="I857" s="13">
        <f>100*C857/C$7</f>
        <v/>
      </c>
      <c r="J857" s="13">
        <f>100*D857/D$7</f>
        <v/>
      </c>
      <c r="K857" s="13">
        <f>100*E857/E$7</f>
        <v/>
      </c>
      <c r="L857" s="13">
        <f>100*F857/F$7</f>
        <v/>
      </c>
      <c r="M857" s="13">
        <f>100*G857/G$7</f>
        <v/>
      </c>
    </row>
    <row r="858">
      <c r="A858" s="11" t="n">
        <v>46119</v>
      </c>
      <c r="B858" s="12" t="n">
        <v>604.280273</v>
      </c>
      <c r="C858" s="12" t="n">
        <v>85.04791299999999</v>
      </c>
      <c r="D858" s="12" t="n">
        <v>71.81999999999999</v>
      </c>
      <c r="E858" s="12" t="n">
        <v>127.190002</v>
      </c>
      <c r="F858" s="12" t="n">
        <v>22.880114</v>
      </c>
      <c r="G858" s="12" t="n">
        <v>91.011383</v>
      </c>
      <c r="H858" s="13">
        <f>100*B858/B$7</f>
        <v/>
      </c>
      <c r="I858" s="13">
        <f>100*C858/C$7</f>
        <v/>
      </c>
      <c r="J858" s="13">
        <f>100*D858/D$7</f>
        <v/>
      </c>
      <c r="K858" s="13">
        <f>100*E858/E$7</f>
        <v/>
      </c>
      <c r="L858" s="13">
        <f>100*F858/F$7</f>
        <v/>
      </c>
      <c r="M858" s="13">
        <f>100*G858/G$7</f>
        <v/>
      </c>
    </row>
    <row r="859">
      <c r="A859" s="11" t="n">
        <v>46120</v>
      </c>
      <c r="B859" s="12" t="n">
        <v>619.535889</v>
      </c>
      <c r="C859" s="12" t="n">
        <v>88.926834</v>
      </c>
      <c r="D859" s="12" t="n">
        <v>76.360001</v>
      </c>
      <c r="E859" s="12" t="n">
        <v>140.070007</v>
      </c>
      <c r="F859" s="12" t="n">
        <v>23.391842</v>
      </c>
      <c r="G859" s="12" t="n">
        <v>94.25717899999999</v>
      </c>
      <c r="H859" s="13">
        <f>100*B859/B$7</f>
        <v/>
      </c>
      <c r="I859" s="13">
        <f>100*C859/C$7</f>
        <v/>
      </c>
      <c r="J859" s="13">
        <f>100*D859/D$7</f>
        <v/>
      </c>
      <c r="K859" s="13">
        <f>100*E859/E$7</f>
        <v/>
      </c>
      <c r="L859" s="13">
        <f>100*F859/F$7</f>
        <v/>
      </c>
      <c r="M859" s="13">
        <f>100*G859/G$7</f>
        <v/>
      </c>
    </row>
    <row r="860">
      <c r="A860" s="11" t="n">
        <v>46121</v>
      </c>
      <c r="B860" s="12" t="n">
        <v>623.2052</v>
      </c>
      <c r="C860" s="12" t="n">
        <v>87.743263</v>
      </c>
      <c r="D860" s="12" t="n">
        <v>76.410004</v>
      </c>
      <c r="E860" s="12" t="n">
        <v>139.289993</v>
      </c>
      <c r="F860" s="12" t="n">
        <v>23.460728</v>
      </c>
      <c r="G860" s="12" t="n">
        <v>93.433319</v>
      </c>
      <c r="H860" s="13">
        <f>100*B860/B$7</f>
        <v/>
      </c>
      <c r="I860" s="13">
        <f>100*C860/C$7</f>
        <v/>
      </c>
      <c r="J860" s="13">
        <f>100*D860/D$7</f>
        <v/>
      </c>
      <c r="K860" s="13">
        <f>100*E860/E$7</f>
        <v/>
      </c>
      <c r="L860" s="13">
        <f>100*F860/F$7</f>
        <v/>
      </c>
      <c r="M860" s="13">
        <f>100*G860/G$7</f>
        <v/>
      </c>
    </row>
    <row r="861">
      <c r="A861" s="11" t="n">
        <v>46122</v>
      </c>
      <c r="B861" s="12" t="n">
        <v>622.786377</v>
      </c>
      <c r="C861" s="12" t="n">
        <v>87.65374799999999</v>
      </c>
      <c r="D861" s="12" t="n">
        <v>76.94000200000001</v>
      </c>
      <c r="E861" s="12" t="n">
        <v>138.729996</v>
      </c>
      <c r="F861" s="12" t="n">
        <v>23.50009</v>
      </c>
      <c r="G861" s="12" t="n">
        <v>93.71125000000001</v>
      </c>
      <c r="H861" s="13">
        <f>100*B861/B$7</f>
        <v/>
      </c>
      <c r="I861" s="13">
        <f>100*C861/C$7</f>
        <v/>
      </c>
      <c r="J861" s="13">
        <f>100*D861/D$7</f>
        <v/>
      </c>
      <c r="K861" s="13">
        <f>100*E861/E$7</f>
        <v/>
      </c>
      <c r="L861" s="13">
        <f>100*F861/F$7</f>
        <v/>
      </c>
      <c r="M861" s="13">
        <f>100*G861/G$7</f>
        <v/>
      </c>
    </row>
    <row r="862">
      <c r="A862" s="11" t="n">
        <v>46125</v>
      </c>
      <c r="B862" s="12" t="n">
        <v>628.888611</v>
      </c>
      <c r="C862" s="12" t="n">
        <v>87.872559</v>
      </c>
      <c r="D862" s="12" t="n">
        <v>78.260002</v>
      </c>
      <c r="E862" s="12" t="n">
        <v>141.229996</v>
      </c>
      <c r="F862" s="12" t="n">
        <v>23.342636</v>
      </c>
      <c r="G862" s="12" t="n">
        <v>94.445778</v>
      </c>
      <c r="H862" s="13">
        <f>100*B862/B$7</f>
        <v/>
      </c>
      <c r="I862" s="13">
        <f>100*C862/C$7</f>
        <v/>
      </c>
      <c r="J862" s="13">
        <f>100*D862/D$7</f>
        <v/>
      </c>
      <c r="K862" s="13">
        <f>100*E862/E$7</f>
        <v/>
      </c>
      <c r="L862" s="13">
        <f>100*F862/F$7</f>
        <v/>
      </c>
      <c r="M862" s="13">
        <f>100*G862/G$7</f>
        <v/>
      </c>
    </row>
    <row r="863">
      <c r="A863" s="11" t="n">
        <v>46126</v>
      </c>
      <c r="B863" s="12" t="n">
        <v>636.49646</v>
      </c>
      <c r="C863" s="12" t="n">
        <v>88.926834</v>
      </c>
      <c r="D863" s="12" t="n">
        <v>80.209999</v>
      </c>
      <c r="E863" s="12" t="n">
        <v>146.679993</v>
      </c>
      <c r="F863" s="12" t="n">
        <v>23.490252</v>
      </c>
      <c r="G863" s="12" t="n">
        <v>95.329185</v>
      </c>
      <c r="H863" s="13">
        <f>100*B863/B$7</f>
        <v/>
      </c>
      <c r="I863" s="13">
        <f>100*C863/C$7</f>
        <v/>
      </c>
      <c r="J863" s="13">
        <f>100*D863/D$7</f>
        <v/>
      </c>
      <c r="K863" s="13">
        <f>100*E863/E$7</f>
        <v/>
      </c>
      <c r="L863" s="13">
        <f>100*F863/F$7</f>
        <v/>
      </c>
      <c r="M863" s="13">
        <f>100*G863/G$7</f>
        <v/>
      </c>
    </row>
    <row r="864">
      <c r="A864" s="11" t="n">
        <v>46127</v>
      </c>
      <c r="B864" s="12" t="n">
        <v>641.581665</v>
      </c>
      <c r="C864" s="12" t="n">
        <v>88.588669</v>
      </c>
      <c r="D864" s="12" t="n">
        <v>80.739998</v>
      </c>
      <c r="E864" s="12" t="n">
        <v>144.919998</v>
      </c>
      <c r="F864" s="12" t="n">
        <v>23.234386</v>
      </c>
      <c r="G864" s="12" t="n">
        <v>95.339111</v>
      </c>
      <c r="H864" s="13">
        <f>100*B864/B$7</f>
        <v/>
      </c>
      <c r="I864" s="13">
        <f>100*C864/C$7</f>
        <v/>
      </c>
      <c r="J864" s="13">
        <f>100*D864/D$7</f>
        <v/>
      </c>
      <c r="K864" s="13">
        <f>100*E864/E$7</f>
        <v/>
      </c>
      <c r="L864" s="13">
        <f>100*F864/F$7</f>
        <v/>
      </c>
      <c r="M864" s="13">
        <f>100*G864/G$7</f>
        <v/>
      </c>
    </row>
    <row r="865">
      <c r="A865" s="11" t="n">
        <v>46128</v>
      </c>
      <c r="B865" s="12" t="n">
        <v>642.9875489999999</v>
      </c>
      <c r="C865" s="12" t="n">
        <v>88.926834</v>
      </c>
      <c r="D865" s="12" t="n">
        <v>81.349998</v>
      </c>
      <c r="E865" s="12" t="n">
        <v>147.470001</v>
      </c>
      <c r="F865" s="12" t="n">
        <v>23.017885</v>
      </c>
      <c r="G865" s="12" t="n">
        <v>96.232445</v>
      </c>
      <c r="H865" s="13">
        <f>100*B865/B$7</f>
        <v/>
      </c>
      <c r="I865" s="13">
        <f>100*C865/C$7</f>
        <v/>
      </c>
      <c r="J865" s="13">
        <f>100*D865/D$7</f>
        <v/>
      </c>
      <c r="K865" s="13">
        <f>100*E865/E$7</f>
        <v/>
      </c>
      <c r="L865" s="13">
        <f>100*F865/F$7</f>
        <v/>
      </c>
      <c r="M865" s="13">
        <f>100*G865/G$7</f>
        <v/>
      </c>
    </row>
    <row r="866">
      <c r="A866" s="11" t="n">
        <v>46129</v>
      </c>
      <c r="B866" s="12" t="n">
        <v>650.884583</v>
      </c>
      <c r="C866" s="12" t="n">
        <v>89.70262099999999</v>
      </c>
      <c r="D866" s="12" t="n">
        <v>83.220001</v>
      </c>
      <c r="E866" s="12" t="n">
        <v>152.330002</v>
      </c>
      <c r="F866" s="12" t="n">
        <v>23.096613</v>
      </c>
      <c r="G866" s="12" t="n">
        <v>97.65186300000001</v>
      </c>
      <c r="H866" s="13">
        <f>100*B866/B$7</f>
        <v/>
      </c>
      <c r="I866" s="13">
        <f>100*C866/C$7</f>
        <v/>
      </c>
      <c r="J866" s="13">
        <f>100*D866/D$7</f>
        <v/>
      </c>
      <c r="K866" s="13">
        <f>100*E866/E$7</f>
        <v/>
      </c>
      <c r="L866" s="13">
        <f>100*F866/F$7</f>
        <v/>
      </c>
      <c r="M866" s="13">
        <f>100*G866/G$7</f>
        <v/>
      </c>
    </row>
    <row r="867">
      <c r="A867" s="11" t="n">
        <v>46132</v>
      </c>
      <c r="B867" s="12" t="n">
        <v>649.648132</v>
      </c>
      <c r="C867" s="12" t="n">
        <v>88.847267</v>
      </c>
      <c r="D867" s="12" t="n">
        <v>83.589996</v>
      </c>
      <c r="E867" s="12" t="n">
        <v>150.089996</v>
      </c>
      <c r="F867" s="12" t="n">
        <v>23.145819</v>
      </c>
      <c r="G867" s="12" t="n">
        <v>97.2052</v>
      </c>
      <c r="H867" s="13">
        <f>100*B867/B$7</f>
        <v/>
      </c>
      <c r="I867" s="13">
        <f>100*C867/C$7</f>
        <v/>
      </c>
      <c r="J867" s="13">
        <f>100*D867/D$7</f>
        <v/>
      </c>
      <c r="K867" s="13">
        <f>100*E867/E$7</f>
        <v/>
      </c>
      <c r="L867" s="13">
        <f>100*F867/F$7</f>
        <v/>
      </c>
      <c r="M867" s="13">
        <f>100*G867/G$7</f>
        <v/>
      </c>
    </row>
    <row r="868">
      <c r="A868" s="11" t="n">
        <v>46133</v>
      </c>
      <c r="B868" s="12" t="n">
        <v>645.370605</v>
      </c>
      <c r="C868" s="12" t="n">
        <v>86.66909800000001</v>
      </c>
      <c r="D868" s="12" t="n">
        <v>83.529999</v>
      </c>
      <c r="E868" s="12" t="n">
        <v>146.789993</v>
      </c>
      <c r="F868" s="12" t="n">
        <v>22.909637</v>
      </c>
      <c r="G868" s="12" t="n">
        <v>96.113342</v>
      </c>
      <c r="H868" s="13">
        <f>100*B868/B$7</f>
        <v/>
      </c>
      <c r="I868" s="13">
        <f>100*C868/C$7</f>
        <v/>
      </c>
      <c r="J868" s="13">
        <f>100*D868/D$7</f>
        <v/>
      </c>
      <c r="K868" s="13">
        <f>100*E868/E$7</f>
        <v/>
      </c>
      <c r="L868" s="13">
        <f>100*F868/F$7</f>
        <v/>
      </c>
      <c r="M868" s="13">
        <f>100*G868/G$7</f>
        <v/>
      </c>
    </row>
    <row r="869">
      <c r="A869" s="11" t="n">
        <v>46134</v>
      </c>
      <c r="B869" s="12" t="n">
        <v>652.001343</v>
      </c>
      <c r="C869" s="12" t="n">
        <v>87.285751</v>
      </c>
      <c r="D869" s="12" t="n">
        <v>86.19000200000001</v>
      </c>
      <c r="E869" s="12" t="n">
        <v>155.800003</v>
      </c>
      <c r="F869" s="12" t="n">
        <v>23.126137</v>
      </c>
      <c r="G869" s="12" t="n">
        <v>96.14312</v>
      </c>
      <c r="H869" s="13">
        <f>100*B869/B$7</f>
        <v/>
      </c>
      <c r="I869" s="13">
        <f>100*C869/C$7</f>
        <v/>
      </c>
      <c r="J869" s="13">
        <f>100*D869/D$7</f>
        <v/>
      </c>
      <c r="K869" s="13">
        <f>100*E869/E$7</f>
        <v/>
      </c>
      <c r="L869" s="13">
        <f>100*F869/F$7</f>
        <v/>
      </c>
      <c r="M869" s="13">
        <f>100*G869/G$7</f>
        <v/>
      </c>
    </row>
    <row r="870">
      <c r="A870" s="11" t="n">
        <v>46135</v>
      </c>
      <c r="B870" s="12" t="n">
        <v>649.368958</v>
      </c>
      <c r="C870" s="12" t="n">
        <v>86.59948</v>
      </c>
      <c r="D870" s="12" t="n">
        <v>84.239998</v>
      </c>
      <c r="E870" s="12" t="n">
        <v>150.589996</v>
      </c>
      <c r="F870" s="12" t="n">
        <v>22.889956</v>
      </c>
      <c r="G870" s="12" t="n">
        <v>94.58474</v>
      </c>
      <c r="H870" s="13">
        <f>100*B870/B$7</f>
        <v/>
      </c>
      <c r="I870" s="13">
        <f>100*C870/C$7</f>
        <v/>
      </c>
      <c r="J870" s="13">
        <f>100*D870/D$7</f>
        <v/>
      </c>
      <c r="K870" s="13">
        <f>100*E870/E$7</f>
        <v/>
      </c>
      <c r="L870" s="13">
        <f>100*F870/F$7</f>
        <v/>
      </c>
      <c r="M870" s="13">
        <f>100*G870/G$7</f>
        <v/>
      </c>
    </row>
    <row r="871">
      <c r="A871" s="11" t="n">
        <v>46136</v>
      </c>
      <c r="B871" s="12" t="n">
        <v>654.513977</v>
      </c>
      <c r="C871" s="12" t="n">
        <v>86.848129</v>
      </c>
      <c r="D871" s="12" t="n">
        <v>88.089996</v>
      </c>
      <c r="E871" s="12" t="n">
        <v>154.570007</v>
      </c>
      <c r="F871" s="12" t="n">
        <v>22.988365</v>
      </c>
      <c r="G871" s="12" t="n">
        <v>95.617043</v>
      </c>
      <c r="H871" s="13">
        <f>100*B871/B$7</f>
        <v/>
      </c>
      <c r="I871" s="13">
        <f>100*C871/C$7</f>
        <v/>
      </c>
      <c r="J871" s="13">
        <f>100*D871/D$7</f>
        <v/>
      </c>
      <c r="K871" s="13">
        <f>100*E871/E$7</f>
        <v/>
      </c>
      <c r="L871" s="13">
        <f>100*F871/F$7</f>
        <v/>
      </c>
      <c r="M871" s="13">
        <f>100*G871/G$7</f>
        <v/>
      </c>
    </row>
    <row r="872">
      <c r="A872" s="11" t="n">
        <v>46139</v>
      </c>
      <c r="B872" s="12" t="n">
        <v>655.590881</v>
      </c>
      <c r="C872" s="12" t="n">
        <v>87.20618399999999</v>
      </c>
      <c r="D872" s="12" t="n">
        <v>87.349998</v>
      </c>
      <c r="E872" s="12" t="n">
        <v>156.729996</v>
      </c>
      <c r="F872" s="12" t="n">
        <v>22.958841</v>
      </c>
      <c r="G872" s="12" t="n">
        <v>94.48548099999999</v>
      </c>
      <c r="H872" s="13">
        <f>100*B872/B$7</f>
        <v/>
      </c>
      <c r="I872" s="13">
        <f>100*C872/C$7</f>
        <v/>
      </c>
      <c r="J872" s="13">
        <f>100*D872/D$7</f>
        <v/>
      </c>
      <c r="K872" s="13">
        <f>100*E872/E$7</f>
        <v/>
      </c>
      <c r="L872" s="13">
        <f>100*F872/F$7</f>
        <v/>
      </c>
      <c r="M872" s="13">
        <f>100*G872/G$7</f>
        <v/>
      </c>
    </row>
    <row r="873">
      <c r="A873" s="11" t="n">
        <v>46140</v>
      </c>
      <c r="B873" s="12" t="n">
        <v>652.360291</v>
      </c>
      <c r="C873" s="12" t="n">
        <v>87.08683000000001</v>
      </c>
      <c r="D873" s="12" t="n">
        <v>87.239998</v>
      </c>
      <c r="E873" s="12" t="n">
        <v>154.369995</v>
      </c>
      <c r="F873" s="12" t="n">
        <v>22.899796</v>
      </c>
      <c r="G873" s="12" t="n">
        <v>93.76088</v>
      </c>
      <c r="H873" s="13">
        <f>100*B873/B$7</f>
        <v/>
      </c>
      <c r="I873" s="13">
        <f>100*C873/C$7</f>
        <v/>
      </c>
      <c r="J873" s="13">
        <f>100*D873/D$7</f>
        <v/>
      </c>
      <c r="K873" s="13">
        <f>100*E873/E$7</f>
        <v/>
      </c>
      <c r="L873" s="13">
        <f>100*F873/F$7</f>
        <v/>
      </c>
      <c r="M873" s="13">
        <f>100*G873/G$7</f>
        <v/>
      </c>
    </row>
    <row r="874">
      <c r="A874" s="11" t="n">
        <v>46141</v>
      </c>
      <c r="B874" s="12" t="n">
        <v>652.340332</v>
      </c>
      <c r="C874" s="12" t="n">
        <v>86.340881</v>
      </c>
      <c r="D874" s="12" t="n">
        <v>87.19000200000001</v>
      </c>
      <c r="E874" s="12" t="n">
        <v>153.960007</v>
      </c>
      <c r="F874" s="12" t="n">
        <v>22.958841</v>
      </c>
      <c r="G874" s="12" t="n">
        <v>94.058662</v>
      </c>
      <c r="H874" s="13">
        <f>100*B874/B$7</f>
        <v/>
      </c>
      <c r="I874" s="13">
        <f>100*C874/C$7</f>
        <v/>
      </c>
      <c r="J874" s="13">
        <f>100*D874/D$7</f>
        <v/>
      </c>
      <c r="K874" s="13">
        <f>100*E874/E$7</f>
        <v/>
      </c>
      <c r="L874" s="13">
        <f>100*F874/F$7</f>
        <v/>
      </c>
      <c r="M874" s="13">
        <f>100*G874/G$7</f>
        <v/>
      </c>
    </row>
    <row r="875">
      <c r="A875" s="11" t="n">
        <v>46142</v>
      </c>
      <c r="B875" s="12" t="n">
        <v>658.661926</v>
      </c>
      <c r="C875" s="12" t="n">
        <v>88.61850699999999</v>
      </c>
      <c r="D875" s="12" t="n">
        <v>89.879997</v>
      </c>
      <c r="E875" s="12" t="n">
        <v>160.759995</v>
      </c>
      <c r="F875" s="12" t="n">
        <v>23.342636</v>
      </c>
      <c r="G875" s="12" t="n">
        <v>95.497925</v>
      </c>
      <c r="H875" s="13">
        <f>100*B875/B$7</f>
        <v/>
      </c>
      <c r="I875" s="13">
        <f>100*C875/C$7</f>
        <v/>
      </c>
      <c r="J875" s="13">
        <f>100*D875/D$7</f>
        <v/>
      </c>
      <c r="K875" s="13">
        <f>100*E875/E$7</f>
        <v/>
      </c>
      <c r="L875" s="13">
        <f>100*F875/F$7</f>
        <v/>
      </c>
      <c r="M875" s="13">
        <f>100*G875/G$7</f>
        <v/>
      </c>
    </row>
    <row r="876">
      <c r="A876" s="11" t="n">
        <v>46143</v>
      </c>
      <c r="B876" s="12" t="n">
        <v>660.596313</v>
      </c>
      <c r="C876" s="12" t="n">
        <v>87.822838</v>
      </c>
      <c r="D876" s="12" t="n">
        <v>89.970001</v>
      </c>
      <c r="E876" s="12" t="n">
        <v>162</v>
      </c>
      <c r="F876" s="12" t="n">
        <v>23.401684</v>
      </c>
      <c r="G876" s="12" t="n">
        <v>95.62696099999999</v>
      </c>
      <c r="H876" s="13">
        <f>100*B876/B$7</f>
        <v/>
      </c>
      <c r="I876" s="13">
        <f>100*C876/C$7</f>
        <v/>
      </c>
      <c r="J876" s="13">
        <f>100*D876/D$7</f>
        <v/>
      </c>
      <c r="K876" s="13">
        <f>100*E876/E$7</f>
        <v/>
      </c>
      <c r="L876" s="13">
        <f>100*F876/F$7</f>
        <v/>
      </c>
      <c r="M876" s="13">
        <f>100*G876/G$7</f>
        <v/>
      </c>
    </row>
    <row r="877">
      <c r="A877" s="11" t="n">
        <v>46146</v>
      </c>
      <c r="B877" s="12" t="n">
        <v>658.203247</v>
      </c>
      <c r="C877" s="12" t="n">
        <v>87.643806</v>
      </c>
      <c r="D877" s="12" t="n">
        <v>90.410004</v>
      </c>
      <c r="E877" s="12" t="n">
        <v>163.589996</v>
      </c>
      <c r="F877" s="12" t="n">
        <v>23.067091</v>
      </c>
      <c r="G877" s="12" t="n">
        <v>95.001625</v>
      </c>
      <c r="H877" s="13">
        <f>100*B877/B$7</f>
        <v/>
      </c>
      <c r="I877" s="13">
        <f>100*C877/C$7</f>
        <v/>
      </c>
      <c r="J877" s="13">
        <f>100*D877/D$7</f>
        <v/>
      </c>
      <c r="K877" s="13">
        <f>100*E877/E$7</f>
        <v/>
      </c>
      <c r="L877" s="13">
        <f>100*F877/F$7</f>
        <v/>
      </c>
      <c r="M877" s="13">
        <f>100*G877/G$7</f>
        <v/>
      </c>
    </row>
    <row r="878">
      <c r="A878" s="11" t="n">
        <v>46147</v>
      </c>
      <c r="B878" s="12" t="n">
        <v>663.3682250000001</v>
      </c>
      <c r="C878" s="12" t="n">
        <v>88.777649</v>
      </c>
      <c r="D878" s="12" t="n">
        <v>92.769997</v>
      </c>
      <c r="E878" s="12" t="n">
        <v>173.470001</v>
      </c>
      <c r="F878" s="12" t="n">
        <v>23.332794</v>
      </c>
      <c r="G878" s="12" t="n">
        <v>95.26963000000001</v>
      </c>
      <c r="H878" s="13">
        <f>100*B878/B$7</f>
        <v/>
      </c>
      <c r="I878" s="13">
        <f>100*C878/C$7</f>
        <v/>
      </c>
      <c r="J878" s="13">
        <f>100*D878/D$7</f>
        <v/>
      </c>
      <c r="K878" s="13">
        <f>100*E878/E$7</f>
        <v/>
      </c>
      <c r="L878" s="13">
        <f>100*F878/F$7</f>
        <v/>
      </c>
      <c r="M878" s="13">
        <f>100*G878/G$7</f>
        <v/>
      </c>
    </row>
    <row r="879">
      <c r="A879" s="11" t="n">
        <v>46148</v>
      </c>
      <c r="B879" s="12" t="n">
        <v>672.700989</v>
      </c>
      <c r="C879" s="12" t="n">
        <v>91.18456999999999</v>
      </c>
      <c r="D879" s="12" t="n">
        <v>94.849998</v>
      </c>
      <c r="E879" s="12" t="n">
        <v>181.979996</v>
      </c>
      <c r="F879" s="12" t="n">
        <v>24.001978</v>
      </c>
      <c r="G879" s="12" t="n">
        <v>97.572464</v>
      </c>
      <c r="H879" s="13">
        <f>100*B879/B$7</f>
        <v/>
      </c>
      <c r="I879" s="13">
        <f>100*C879/C$7</f>
        <v/>
      </c>
      <c r="J879" s="13">
        <f>100*D879/D$7</f>
        <v/>
      </c>
      <c r="K879" s="13">
        <f>100*E879/E$7</f>
        <v/>
      </c>
      <c r="L879" s="13">
        <f>100*F879/F$7</f>
        <v/>
      </c>
      <c r="M879" s="13">
        <f>100*G879/G$7</f>
        <v/>
      </c>
    </row>
    <row r="880">
      <c r="A880" s="11" t="n">
        <v>46149</v>
      </c>
      <c r="B880" s="12" t="n">
        <v>670.587158</v>
      </c>
      <c r="C880" s="12" t="n">
        <v>90.49829099999999</v>
      </c>
      <c r="D880" s="12" t="n">
        <v>94.30999799999999</v>
      </c>
      <c r="E880" s="12" t="n">
        <v>176.75</v>
      </c>
      <c r="F880" s="12" t="n">
        <v>23.952774</v>
      </c>
      <c r="G880" s="12" t="n">
        <v>96.728745</v>
      </c>
      <c r="H880" s="13">
        <f>100*B880/B$7</f>
        <v/>
      </c>
      <c r="I880" s="13">
        <f>100*C880/C$7</f>
        <v/>
      </c>
      <c r="J880" s="13">
        <f>100*D880/D$7</f>
        <v/>
      </c>
      <c r="K880" s="13">
        <f>100*E880/E$7</f>
        <v/>
      </c>
      <c r="L880" s="13">
        <f>100*F880/F$7</f>
        <v/>
      </c>
      <c r="M880" s="13">
        <f>100*G880/G$7</f>
        <v/>
      </c>
    </row>
    <row r="881">
      <c r="A881" s="11" t="n">
        <v>46150</v>
      </c>
      <c r="B881" s="12" t="n">
        <v>676.0711669999999</v>
      </c>
      <c r="C881" s="12" t="n">
        <v>91.721649</v>
      </c>
      <c r="D881" s="12" t="n">
        <v>96.110001</v>
      </c>
      <c r="E881" s="12" t="n">
        <v>190.199997</v>
      </c>
      <c r="F881" s="12" t="n">
        <v>23.893728</v>
      </c>
      <c r="G881" s="12" t="n">
        <v>96.808159</v>
      </c>
      <c r="H881" s="13">
        <f>100*B881/B$7</f>
        <v/>
      </c>
      <c r="I881" s="13">
        <f>100*C881/C$7</f>
        <v/>
      </c>
      <c r="J881" s="13">
        <f>100*D881/D$7</f>
        <v/>
      </c>
      <c r="K881" s="13">
        <f>100*E881/E$7</f>
        <v/>
      </c>
      <c r="L881" s="13">
        <f>100*F881/F$7</f>
        <v/>
      </c>
      <c r="M881" s="13">
        <f>100*G881/G$7</f>
        <v/>
      </c>
    </row>
    <row r="882">
      <c r="A882" s="11" t="n">
        <v>46153</v>
      </c>
      <c r="B882" s="12" t="n">
        <v>677.546936</v>
      </c>
      <c r="C882" s="12" t="n">
        <v>91.761436</v>
      </c>
      <c r="D882" s="12" t="n">
        <v>97.150002</v>
      </c>
      <c r="E882" s="12" t="n">
        <v>192.850006</v>
      </c>
      <c r="F882" s="12" t="n">
        <v>23.93309</v>
      </c>
      <c r="G882" s="12" t="n">
        <v>96.917343</v>
      </c>
      <c r="H882" s="13">
        <f>100*B882/B$7</f>
        <v/>
      </c>
      <c r="I882" s="13">
        <f>100*C882/C$7</f>
        <v/>
      </c>
      <c r="J882" s="13">
        <f>100*D882/D$7</f>
        <v/>
      </c>
      <c r="K882" s="13">
        <f>100*E882/E$7</f>
        <v/>
      </c>
      <c r="L882" s="13">
        <f>100*F882/F$7</f>
        <v/>
      </c>
      <c r="M882" s="13">
        <f>100*G882/G$7</f>
        <v/>
      </c>
    </row>
    <row r="883">
      <c r="A883" s="11" t="n">
        <v>46154</v>
      </c>
      <c r="B883" s="12" t="n">
        <v>676.699341</v>
      </c>
      <c r="C883" s="12" t="n">
        <v>91.56250799999999</v>
      </c>
      <c r="D883" s="12" t="n">
        <v>93.769997</v>
      </c>
      <c r="E883" s="12" t="n">
        <v>178.5</v>
      </c>
      <c r="F883" s="12" t="n">
        <v>23.795319</v>
      </c>
      <c r="G883" s="12" t="n">
        <v>96.778381</v>
      </c>
      <c r="H883" s="13">
        <f>100*B883/B$7</f>
        <v/>
      </c>
      <c r="I883" s="13">
        <f>100*C883/C$7</f>
        <v/>
      </c>
      <c r="J883" s="13">
        <f>100*D883/D$7</f>
        <v/>
      </c>
      <c r="K883" s="13">
        <f>100*E883/E$7</f>
        <v/>
      </c>
      <c r="L883" s="13">
        <f>100*F883/F$7</f>
        <v/>
      </c>
      <c r="M883" s="13">
        <f>100*G883/G$7</f>
        <v/>
      </c>
    </row>
    <row r="884">
      <c r="A884" s="11" t="n">
        <v>46155</v>
      </c>
      <c r="B884" s="12" t="n">
        <v>680.428528</v>
      </c>
      <c r="C884" s="12" t="n">
        <v>92.586945</v>
      </c>
      <c r="D884" s="12" t="n">
        <v>94.860001</v>
      </c>
      <c r="E884" s="12" t="n">
        <v>188.630005</v>
      </c>
      <c r="F884" s="12" t="n">
        <v>24.159431</v>
      </c>
      <c r="G884" s="12" t="n">
        <v>99.150688</v>
      </c>
      <c r="H884" s="13">
        <f>100*B884/B$7</f>
        <v/>
      </c>
      <c r="I884" s="13">
        <f>100*C884/C$7</f>
        <v/>
      </c>
      <c r="J884" s="13">
        <f>100*D884/D$7</f>
        <v/>
      </c>
      <c r="K884" s="13">
        <f>100*E884/E$7</f>
        <v/>
      </c>
      <c r="L884" s="13">
        <f>100*F884/F$7</f>
        <v/>
      </c>
      <c r="M884" s="13">
        <f>100*G884/G$7</f>
        <v/>
      </c>
    </row>
    <row r="885">
      <c r="A885" s="11" t="n">
        <v>46156</v>
      </c>
      <c r="B885" s="12" t="n">
        <v>685.733032</v>
      </c>
      <c r="C885" s="12" t="n">
        <v>91.56250799999999</v>
      </c>
      <c r="D885" s="12" t="n">
        <v>95.480003</v>
      </c>
      <c r="E885" s="12" t="n">
        <v>190.520004</v>
      </c>
      <c r="F885" s="12" t="n">
        <v>24.0315</v>
      </c>
      <c r="G885" s="12" t="n">
        <v>96.698967</v>
      </c>
      <c r="H885" s="13">
        <f>100*B885/B$7</f>
        <v/>
      </c>
      <c r="I885" s="13">
        <f>100*C885/C$7</f>
        <v/>
      </c>
      <c r="J885" s="13">
        <f>100*D885/D$7</f>
        <v/>
      </c>
      <c r="K885" s="13">
        <f>100*E885/E$7</f>
        <v/>
      </c>
      <c r="L885" s="13">
        <f>100*F885/F$7</f>
        <v/>
      </c>
      <c r="M885" s="13">
        <f>100*G885/G$7</f>
        <v/>
      </c>
    </row>
    <row r="886">
      <c r="A886" s="11" t="n">
        <v>46157</v>
      </c>
      <c r="B886" s="12" t="n">
        <v>677.467163</v>
      </c>
      <c r="C886" s="12" t="n">
        <v>90.577866</v>
      </c>
      <c r="D886" s="12" t="n">
        <v>91.279999</v>
      </c>
      <c r="E886" s="12" t="n">
        <v>178.860001</v>
      </c>
      <c r="F886" s="12" t="n">
        <v>23.677227</v>
      </c>
      <c r="G886" s="12" t="n">
        <v>94.376289</v>
      </c>
      <c r="H886" s="13">
        <f>100*B886/B$7</f>
        <v/>
      </c>
      <c r="I886" s="13">
        <f>100*C886/C$7</f>
        <v/>
      </c>
      <c r="J886" s="13">
        <f>100*D886/D$7</f>
        <v/>
      </c>
      <c r="K886" s="13">
        <f>100*E886/E$7</f>
        <v/>
      </c>
      <c r="L886" s="13">
        <f>100*F886/F$7</f>
        <v/>
      </c>
      <c r="M886" s="13">
        <f>100*G886/G$7</f>
        <v/>
      </c>
    </row>
    <row r="887">
      <c r="A887" s="11" t="n">
        <v>46160</v>
      </c>
      <c r="B887" s="12" t="n">
        <v>676.93866</v>
      </c>
      <c r="C887" s="12" t="n">
        <v>90.428673</v>
      </c>
      <c r="D887" s="12" t="n">
        <v>91.760002</v>
      </c>
      <c r="E887" s="12" t="n">
        <v>176.100006</v>
      </c>
      <c r="F887" s="12" t="n">
        <v>23.588659</v>
      </c>
      <c r="G887" s="12" t="n">
        <v>93.899841</v>
      </c>
      <c r="H887" s="13">
        <f>100*B887/B$7</f>
        <v/>
      </c>
      <c r="I887" s="13">
        <f>100*C887/C$7</f>
        <v/>
      </c>
      <c r="J887" s="13">
        <f>100*D887/D$7</f>
        <v/>
      </c>
      <c r="K887" s="13">
        <f>100*E887/E$7</f>
        <v/>
      </c>
      <c r="L887" s="13">
        <f>100*F887/F$7</f>
        <v/>
      </c>
      <c r="M887" s="13">
        <f>100*G887/G$7</f>
        <v/>
      </c>
    </row>
    <row r="888">
      <c r="A888" s="11" t="n">
        <v>46161</v>
      </c>
      <c r="B888" s="12" t="n">
        <v>672.631287</v>
      </c>
      <c r="C888" s="12" t="n">
        <v>89.80207799999999</v>
      </c>
      <c r="D888" s="12" t="n">
        <v>89.83000199999999</v>
      </c>
      <c r="E888" s="12" t="n">
        <v>174.020004</v>
      </c>
      <c r="F888" s="12" t="n">
        <v>23.27375</v>
      </c>
      <c r="G888" s="12" t="n">
        <v>94.048737</v>
      </c>
      <c r="H888" s="13">
        <f>100*B888/B$7</f>
        <v/>
      </c>
      <c r="I888" s="13">
        <f>100*C888/C$7</f>
        <v/>
      </c>
      <c r="J888" s="13">
        <f>100*D888/D$7</f>
        <v/>
      </c>
      <c r="K888" s="13">
        <f>100*E888/E$7</f>
        <v/>
      </c>
      <c r="L888" s="13">
        <f>100*F888/F$7</f>
        <v/>
      </c>
      <c r="M888" s="13">
        <f>100*G888/G$7</f>
        <v/>
      </c>
    </row>
    <row r="889">
      <c r="A889" s="11" t="n">
        <v>46162</v>
      </c>
      <c r="B889" s="12" t="n">
        <v>679.591003</v>
      </c>
      <c r="C889" s="12" t="n">
        <v>90.71711000000001</v>
      </c>
      <c r="D889" s="12" t="n">
        <v>91.91999800000001</v>
      </c>
      <c r="E889" s="12" t="n">
        <v>180.110001</v>
      </c>
      <c r="F889" s="12" t="n">
        <v>23.50009</v>
      </c>
      <c r="G889" s="12" t="n">
        <v>94.545036</v>
      </c>
      <c r="H889" s="13">
        <f>100*B889/B$7</f>
        <v/>
      </c>
      <c r="I889" s="13">
        <f>100*C889/C$7</f>
        <v/>
      </c>
      <c r="J889" s="13">
        <f>100*D889/D$7</f>
        <v/>
      </c>
      <c r="K889" s="13">
        <f>100*E889/E$7</f>
        <v/>
      </c>
      <c r="L889" s="13">
        <f>100*F889/F$7</f>
        <v/>
      </c>
      <c r="M889" s="13">
        <f>100*G889/G$7</f>
        <v/>
      </c>
    </row>
    <row r="890">
      <c r="A890" s="11" t="n">
        <v>46163</v>
      </c>
      <c r="B890" s="12" t="n">
        <v>680.8573</v>
      </c>
      <c r="C890" s="12" t="n">
        <v>90.876244</v>
      </c>
      <c r="D890" s="12" t="n">
        <v>94.470001</v>
      </c>
      <c r="E890" s="12" t="n">
        <v>186.419998</v>
      </c>
      <c r="F890" s="12" t="n">
        <v>23.450886</v>
      </c>
      <c r="G890" s="12" t="n">
        <v>93.03628500000001</v>
      </c>
      <c r="H890" s="13">
        <f>100*B890/B$7</f>
        <v/>
      </c>
      <c r="I890" s="13">
        <f>100*C890/C$7</f>
        <v/>
      </c>
      <c r="J890" s="13">
        <f>100*D890/D$7</f>
        <v/>
      </c>
      <c r="K890" s="13">
        <f>100*E890/E$7</f>
        <v/>
      </c>
      <c r="L890" s="13">
        <f>100*F890/F$7</f>
        <v/>
      </c>
      <c r="M890" s="13">
        <f>100*G890/G$7</f>
        <v/>
      </c>
    </row>
    <row r="891">
      <c r="A891" s="11" t="n">
        <v>46164</v>
      </c>
      <c r="B891" s="12" t="n">
        <v>683.559387</v>
      </c>
      <c r="C891" s="12" t="n">
        <v>91.11494399999999</v>
      </c>
      <c r="D891" s="12" t="n">
        <v>96.839996</v>
      </c>
      <c r="E891" s="12" t="n">
        <v>182.029999</v>
      </c>
      <c r="F891" s="12" t="n">
        <v>23.116295</v>
      </c>
      <c r="G891" s="12" t="n">
        <v>92.609467</v>
      </c>
      <c r="H891" s="13">
        <f>100*B891/B$7</f>
        <v/>
      </c>
      <c r="I891" s="13">
        <f>100*C891/C$7</f>
        <v/>
      </c>
      <c r="J891" s="13">
        <f>100*D891/D$7</f>
        <v/>
      </c>
      <c r="K891" s="13">
        <f>100*E891/E$7</f>
        <v/>
      </c>
      <c r="L891" s="13">
        <f>100*F891/F$7</f>
        <v/>
      </c>
      <c r="M891" s="13">
        <f>100*G891/G$7</f>
        <v/>
      </c>
    </row>
    <row r="892">
      <c r="A892" s="11" t="n">
        <v>46167</v>
      </c>
      <c r="B892" s="12" t="n">
        <v>683.559387</v>
      </c>
      <c r="C892" s="12" t="n">
        <v>91.11494399999999</v>
      </c>
      <c r="D892" s="12" t="n">
        <v>96.839996</v>
      </c>
      <c r="E892" s="12" t="n">
        <v>182.029999</v>
      </c>
      <c r="F892" s="12" t="n">
        <v>23.116295</v>
      </c>
      <c r="G892" s="12" t="n">
        <v>92.609467</v>
      </c>
      <c r="H892" s="13">
        <f>100*B892/B$7</f>
        <v/>
      </c>
      <c r="I892" s="13">
        <f>100*C892/C$7</f>
        <v/>
      </c>
      <c r="J892" s="13">
        <f>100*D892/D$7</f>
        <v/>
      </c>
      <c r="K892" s="13">
        <f>100*E892/E$7</f>
        <v/>
      </c>
      <c r="L892" s="13">
        <f>100*F892/F$7</f>
        <v/>
      </c>
      <c r="M892" s="13">
        <f>100*G892/G$7</f>
        <v/>
      </c>
    </row>
    <row r="893">
      <c r="A893" s="11" t="n">
        <v>46168</v>
      </c>
      <c r="B893" s="12" t="n">
        <v>688.00647</v>
      </c>
      <c r="C893" s="12" t="n">
        <v>92.397972</v>
      </c>
      <c r="D893" s="12" t="n">
        <v>102.139999</v>
      </c>
      <c r="E893" s="12" t="n">
        <v>200.649994</v>
      </c>
      <c r="F893" s="12" t="n">
        <v>22.968683</v>
      </c>
      <c r="G893" s="12" t="n">
        <v>93.24472799999999</v>
      </c>
      <c r="H893" s="13">
        <f>100*B893/B$7</f>
        <v/>
      </c>
      <c r="I893" s="13">
        <f>100*C893/C$7</f>
        <v/>
      </c>
      <c r="J893" s="13">
        <f>100*D893/D$7</f>
        <v/>
      </c>
      <c r="K893" s="13">
        <f>100*E893/E$7</f>
        <v/>
      </c>
      <c r="L893" s="13">
        <f>100*F893/F$7</f>
        <v/>
      </c>
      <c r="M893" s="13">
        <f>100*G893/G$7</f>
        <v/>
      </c>
    </row>
    <row r="894">
      <c r="A894" s="11" t="n">
        <v>46169</v>
      </c>
      <c r="B894" s="12" t="n">
        <v>687.956604</v>
      </c>
      <c r="C894" s="12" t="n">
        <v>91.791275</v>
      </c>
      <c r="D894" s="12" t="n">
        <v>102.970001</v>
      </c>
      <c r="E894" s="12" t="n">
        <v>198.289993</v>
      </c>
      <c r="F894" s="12" t="n">
        <v>22.7325</v>
      </c>
      <c r="G894" s="12" t="n">
        <v>92.142944</v>
      </c>
      <c r="H894" s="13">
        <f>100*B894/B$7</f>
        <v/>
      </c>
      <c r="I894" s="13">
        <f>100*C894/C$7</f>
        <v/>
      </c>
      <c r="J894" s="13">
        <f>100*D894/D$7</f>
        <v/>
      </c>
      <c r="K894" s="13">
        <f>100*E894/E$7</f>
        <v/>
      </c>
      <c r="L894" s="13">
        <f>100*F894/F$7</f>
        <v/>
      </c>
      <c r="M894" s="13">
        <f>100*G894/G$7</f>
        <v/>
      </c>
    </row>
    <row r="895">
      <c r="A895" s="11" t="n">
        <v>46170</v>
      </c>
      <c r="B895" s="12" t="n">
        <v>691.895081</v>
      </c>
      <c r="C895" s="12" t="n">
        <v>92.199051</v>
      </c>
      <c r="D895" s="12" t="n">
        <v>102.339996</v>
      </c>
      <c r="E895" s="12" t="n">
        <v>206.410004</v>
      </c>
      <c r="F895" s="12" t="n">
        <v>22.702978</v>
      </c>
      <c r="G895" s="12" t="n">
        <v>91.567238</v>
      </c>
      <c r="H895" s="13">
        <f>100*B895/B$7</f>
        <v/>
      </c>
      <c r="I895" s="13">
        <f>100*C895/C$7</f>
        <v/>
      </c>
      <c r="J895" s="13">
        <f>100*D895/D$7</f>
        <v/>
      </c>
      <c r="K895" s="13">
        <f>100*E895/E$7</f>
        <v/>
      </c>
      <c r="L895" s="13">
        <f>100*F895/F$7</f>
        <v/>
      </c>
      <c r="M895" s="13">
        <f>100*G895/G$7</f>
        <v/>
      </c>
    </row>
    <row r="896">
      <c r="A896" s="11" t="n">
        <v>46171</v>
      </c>
      <c r="B896" s="12" t="n">
        <v>693.47052</v>
      </c>
      <c r="C896" s="12" t="n">
        <v>92.457649</v>
      </c>
      <c r="D896" s="12" t="n">
        <v>102.779999</v>
      </c>
      <c r="E896" s="12" t="n">
        <v>205.830002</v>
      </c>
      <c r="F896" s="12" t="n">
        <v>22.742342</v>
      </c>
      <c r="G896" s="12" t="n">
        <v>91.597015</v>
      </c>
      <c r="H896" s="13">
        <f>100*B896/B$7</f>
        <v/>
      </c>
      <c r="I896" s="13">
        <f>100*C896/C$7</f>
        <v/>
      </c>
      <c r="J896" s="13">
        <f>100*D896/D$7</f>
        <v/>
      </c>
      <c r="K896" s="13">
        <f>100*E896/E$7</f>
        <v/>
      </c>
      <c r="L896" s="13">
        <f>100*F896/F$7</f>
        <v/>
      </c>
      <c r="M896" s="13">
        <f>100*G896/G$7</f>
        <v/>
      </c>
    </row>
    <row r="897">
      <c r="A897" s="11" t="n">
        <v>46174</v>
      </c>
      <c r="B897" s="12" t="n">
        <v>695.275269</v>
      </c>
      <c r="C897" s="12" t="n">
        <v>92.42781100000001</v>
      </c>
      <c r="D897" s="12" t="n">
        <v>106.419998</v>
      </c>
      <c r="E897" s="12" t="n">
        <v>216.699997</v>
      </c>
      <c r="F897" s="12" t="n">
        <v>22.643932</v>
      </c>
      <c r="G897" s="12" t="n">
        <v>92.073463</v>
      </c>
      <c r="H897" s="13">
        <f>100*B897/B$7</f>
        <v/>
      </c>
      <c r="I897" s="13">
        <f>100*C897/C$7</f>
        <v/>
      </c>
      <c r="J897" s="13">
        <f>100*D897/D$7</f>
        <v/>
      </c>
      <c r="K897" s="13">
        <f>100*E897/E$7</f>
        <v/>
      </c>
      <c r="L897" s="13">
        <f>100*F897/F$7</f>
        <v/>
      </c>
      <c r="M897" s="13">
        <f>100*G897/G$7</f>
        <v/>
      </c>
    </row>
    <row r="898">
      <c r="A898" s="11" t="n">
        <v>46175</v>
      </c>
      <c r="B898" s="12" t="n">
        <v>696.232544</v>
      </c>
      <c r="C898" s="12" t="n">
        <v>93.074303</v>
      </c>
      <c r="D898" s="12" t="n">
        <v>107.110001</v>
      </c>
      <c r="E898" s="12" t="n">
        <v>214.529999</v>
      </c>
      <c r="F898" s="12" t="n">
        <v>22.801386</v>
      </c>
      <c r="G898" s="12" t="n">
        <v>94.465622</v>
      </c>
      <c r="H898" s="13">
        <f>100*B898/B$7</f>
        <v/>
      </c>
      <c r="I898" s="13">
        <f>100*C898/C$7</f>
        <v/>
      </c>
      <c r="J898" s="13">
        <f>100*D898/D$7</f>
        <v/>
      </c>
      <c r="K898" s="13">
        <f>100*E898/E$7</f>
        <v/>
      </c>
      <c r="L898" s="13">
        <f>100*F898/F$7</f>
        <v/>
      </c>
      <c r="M898" s="13">
        <f>100*G898/G$7</f>
        <v/>
      </c>
    </row>
    <row r="899">
      <c r="A899" s="11" t="n">
        <v>46176</v>
      </c>
      <c r="B899" s="12" t="n">
        <v>691.346741</v>
      </c>
      <c r="C899" s="12" t="n">
        <v>93.43235799999999</v>
      </c>
      <c r="D899" s="12" t="n">
        <v>106.900002</v>
      </c>
      <c r="E899" s="12" t="n">
        <v>212.960007</v>
      </c>
      <c r="F899" s="12" t="n">
        <v>22.447113</v>
      </c>
      <c r="G899" s="12" t="n">
        <v>92.321617</v>
      </c>
      <c r="H899" s="13">
        <f>100*B899/B$7</f>
        <v/>
      </c>
      <c r="I899" s="13">
        <f>100*C899/C$7</f>
        <v/>
      </c>
      <c r="J899" s="13">
        <f>100*D899/D$7</f>
        <v/>
      </c>
      <c r="K899" s="13">
        <f>100*E899/E$7</f>
        <v/>
      </c>
      <c r="L899" s="13">
        <f>100*F899/F$7</f>
        <v/>
      </c>
      <c r="M899" s="13">
        <f>100*G899/G$7</f>
        <v/>
      </c>
    </row>
    <row r="900">
      <c r="A900" s="11" t="n">
        <v>46177</v>
      </c>
      <c r="B900" s="12" t="n">
        <v>694.038879</v>
      </c>
      <c r="C900" s="12" t="n">
        <v>93.621323</v>
      </c>
      <c r="D900" s="12" t="n">
        <v>105.75</v>
      </c>
      <c r="E900" s="12" t="n">
        <v>203.970001</v>
      </c>
      <c r="F900" s="12" t="n">
        <v>22.161728</v>
      </c>
      <c r="G900" s="12" t="n">
        <v>92.480423</v>
      </c>
      <c r="H900" s="13">
        <f>100*B900/B$7</f>
        <v/>
      </c>
      <c r="I900" s="13">
        <f>100*C900/C$7</f>
        <v/>
      </c>
      <c r="J900" s="13">
        <f>100*D900/D$7</f>
        <v/>
      </c>
      <c r="K900" s="13">
        <f>100*E900/E$7</f>
        <v/>
      </c>
      <c r="L900" s="13">
        <f>100*F900/F$7</f>
        <v/>
      </c>
      <c r="M900" s="13">
        <f>100*G900/G$7</f>
        <v/>
      </c>
    </row>
    <row r="901">
      <c r="A901" s="11" t="n">
        <v>46178</v>
      </c>
      <c r="B901" s="12" t="n">
        <v>676.031311</v>
      </c>
      <c r="C901" s="12" t="n">
        <v>90.229759</v>
      </c>
      <c r="D901" s="12" t="n">
        <v>98.08000199999999</v>
      </c>
      <c r="E901" s="12" t="n">
        <v>175.190002</v>
      </c>
      <c r="F901" s="12" t="n">
        <v>21.472864</v>
      </c>
      <c r="G901" s="12" t="n">
        <v>89.89967300000001</v>
      </c>
      <c r="H901" s="13">
        <f>100*B901/B$7</f>
        <v/>
      </c>
      <c r="I901" s="13">
        <f>100*C901/C$7</f>
        <v/>
      </c>
      <c r="J901" s="13">
        <f>100*D901/D$7</f>
        <v/>
      </c>
      <c r="K901" s="13">
        <f>100*E901/E$7</f>
        <v/>
      </c>
      <c r="L901" s="13">
        <f>100*F901/F$7</f>
        <v/>
      </c>
      <c r="M901" s="13">
        <f>100*G901/G$7</f>
        <v/>
      </c>
    </row>
    <row r="902">
      <c r="A902" s="11" t="n">
        <v>46181</v>
      </c>
      <c r="B902" s="12" t="n">
        <v>677.706421</v>
      </c>
      <c r="C902" s="12" t="n">
        <v>91.453102</v>
      </c>
      <c r="D902" s="12" t="n">
        <v>100.43</v>
      </c>
      <c r="E902" s="12" t="n">
        <v>185.639999</v>
      </c>
      <c r="F902" s="12" t="n">
        <v>21.502388</v>
      </c>
      <c r="G902" s="12" t="n">
        <v>89.71107499999999</v>
      </c>
      <c r="H902" s="13">
        <f>100*B902/B$7</f>
        <v/>
      </c>
      <c r="I902" s="13">
        <f>100*C902/C$7</f>
        <v/>
      </c>
      <c r="J902" s="13">
        <f>100*D902/D$7</f>
        <v/>
      </c>
      <c r="K902" s="13">
        <f>100*E902/E$7</f>
        <v/>
      </c>
      <c r="L902" s="13">
        <f>100*F902/F$7</f>
        <v/>
      </c>
      <c r="M902" s="13">
        <f>100*G902/G$7</f>
        <v/>
      </c>
    </row>
    <row r="903">
      <c r="A903" s="11" t="n">
        <v>46182</v>
      </c>
      <c r="B903" s="12" t="n">
        <v>675.732239</v>
      </c>
      <c r="C903" s="12" t="n">
        <v>90.458511</v>
      </c>
      <c r="D903" s="12" t="n">
        <v>100.800003</v>
      </c>
      <c r="E903" s="12" t="n">
        <v>184.050003</v>
      </c>
      <c r="F903" s="12" t="n">
        <v>21.246523</v>
      </c>
      <c r="G903" s="12" t="n">
        <v>90.247078</v>
      </c>
      <c r="H903" s="13">
        <f>100*B903/B$7</f>
        <v/>
      </c>
      <c r="I903" s="13">
        <f>100*C903/C$7</f>
        <v/>
      </c>
      <c r="J903" s="13">
        <f>100*D903/D$7</f>
        <v/>
      </c>
      <c r="K903" s="13">
        <f>100*E903/E$7</f>
        <v/>
      </c>
      <c r="L903" s="13">
        <f>100*F903/F$7</f>
        <v/>
      </c>
      <c r="M903" s="13">
        <f>100*G903/G$7</f>
        <v/>
      </c>
    </row>
    <row r="904">
      <c r="A904" s="11" t="n">
        <v>46183</v>
      </c>
      <c r="B904" s="12" t="n">
        <v>665.113098</v>
      </c>
      <c r="C904" s="12" t="n">
        <v>88.80748</v>
      </c>
      <c r="D904" s="12" t="n">
        <v>98</v>
      </c>
      <c r="E904" s="12" t="n">
        <v>178.449997</v>
      </c>
      <c r="F904" s="12" t="n">
        <v>21.039864</v>
      </c>
      <c r="G904" s="12" t="n">
        <v>89.82025899999999</v>
      </c>
      <c r="H904" s="13">
        <f>100*B904/B$7</f>
        <v/>
      </c>
      <c r="I904" s="13">
        <f>100*C904/C$7</f>
        <v/>
      </c>
      <c r="J904" s="13">
        <f>100*D904/D$7</f>
        <v/>
      </c>
      <c r="K904" s="13">
        <f>100*E904/E$7</f>
        <v/>
      </c>
      <c r="L904" s="13">
        <f>100*F904/F$7</f>
        <v/>
      </c>
      <c r="M904" s="13">
        <f>100*G904/G$7</f>
        <v/>
      </c>
    </row>
    <row r="905">
      <c r="A905" s="11" t="n">
        <v>46184</v>
      </c>
      <c r="B905" s="12" t="n">
        <v>676.26062</v>
      </c>
      <c r="C905" s="12" t="n">
        <v>91.681862</v>
      </c>
      <c r="D905" s="12" t="n">
        <v>102.449997</v>
      </c>
      <c r="E905" s="12" t="n">
        <v>198.940002</v>
      </c>
      <c r="F905" s="12" t="n">
        <v>21.531908</v>
      </c>
      <c r="G905" s="12" t="n">
        <v>90.227226</v>
      </c>
      <c r="H905" s="13">
        <f>100*B905/B$7</f>
        <v/>
      </c>
      <c r="I905" s="13">
        <f>100*C905/C$7</f>
        <v/>
      </c>
      <c r="J905" s="13">
        <f>100*D905/D$7</f>
        <v/>
      </c>
      <c r="K905" s="13">
        <f>100*E905/E$7</f>
        <v/>
      </c>
      <c r="L905" s="13">
        <f>100*F905/F$7</f>
        <v/>
      </c>
      <c r="M905" s="13">
        <f>100*G905/G$7</f>
        <v/>
      </c>
    </row>
    <row r="906">
      <c r="A906" s="11" t="n">
        <v>46185</v>
      </c>
      <c r="B906" s="12" t="n">
        <v>679.969849</v>
      </c>
      <c r="C906" s="12" t="n">
        <v>92.209</v>
      </c>
      <c r="D906" s="12" t="n">
        <v>102.620003</v>
      </c>
      <c r="E906" s="12" t="n">
        <v>197.449997</v>
      </c>
      <c r="F906" s="12" t="n">
        <v>21.65</v>
      </c>
      <c r="G906" s="12" t="n">
        <v>91.051086</v>
      </c>
      <c r="H906" s="13">
        <f>100*B906/B$7</f>
        <v/>
      </c>
      <c r="I906" s="13">
        <f>100*C906/C$7</f>
        <v/>
      </c>
      <c r="J906" s="13">
        <f>100*D906/D$7</f>
        <v/>
      </c>
      <c r="K906" s="13">
        <f>100*E906/E$7</f>
        <v/>
      </c>
      <c r="L906" s="13">
        <f>100*F906/F$7</f>
        <v/>
      </c>
      <c r="M906" s="13">
        <f>100*G906/G$7</f>
        <v/>
      </c>
    </row>
    <row r="907">
      <c r="A907" s="11" t="n">
        <v>46188</v>
      </c>
      <c r="B907" s="12" t="n">
        <v>691.815369</v>
      </c>
      <c r="C907" s="12" t="n">
        <v>94.05999799999999</v>
      </c>
      <c r="D907" s="12" t="n">
        <v>106.370003</v>
      </c>
      <c r="E907" s="12" t="n">
        <v>211.449997</v>
      </c>
      <c r="F907" s="12" t="n">
        <v>21.870001</v>
      </c>
      <c r="G907" s="12" t="n">
        <v>91.924576</v>
      </c>
      <c r="H907" s="13">
        <f>100*B907/B$7</f>
        <v/>
      </c>
      <c r="I907" s="13">
        <f>100*C907/C$7</f>
        <v/>
      </c>
      <c r="J907" s="13">
        <f>100*D907/D$7</f>
        <v/>
      </c>
      <c r="K907" s="13">
        <f>100*E907/E$7</f>
        <v/>
      </c>
      <c r="L907" s="13">
        <f>100*F907/F$7</f>
        <v/>
      </c>
      <c r="M907" s="13">
        <f>100*G907/G$7</f>
        <v/>
      </c>
    </row>
    <row r="908">
      <c r="A908" s="11" t="n">
        <v>46189</v>
      </c>
      <c r="B908" s="12" t="n">
        <v>687.747192</v>
      </c>
      <c r="C908" s="12" t="n">
        <v>94.120003</v>
      </c>
      <c r="D908" s="12" t="n">
        <v>103.790001</v>
      </c>
      <c r="E908" s="12" t="n">
        <v>205.910004</v>
      </c>
      <c r="F908" s="12" t="n">
        <v>21.73</v>
      </c>
      <c r="G908" s="12" t="n">
        <v>90.69375599999999</v>
      </c>
      <c r="H908" s="13">
        <f>100*B908/B$7</f>
        <v/>
      </c>
      <c r="I908" s="13">
        <f>100*C908/C$7</f>
        <v/>
      </c>
      <c r="J908" s="13">
        <f>100*D908/D$7</f>
        <v/>
      </c>
      <c r="K908" s="13">
        <f>100*E908/E$7</f>
        <v/>
      </c>
      <c r="L908" s="13">
        <f>100*F908/F$7</f>
        <v/>
      </c>
      <c r="M908" s="13">
        <f>100*G908/G$7</f>
        <v/>
      </c>
    </row>
    <row r="909">
      <c r="A909" s="11" t="n">
        <v>46190</v>
      </c>
      <c r="B909" s="12" t="n">
        <v>679.4313959999999</v>
      </c>
      <c r="C909" s="12" t="n">
        <v>94.449997</v>
      </c>
      <c r="D909" s="12" t="n">
        <v>105.110001</v>
      </c>
      <c r="E909" s="12" t="n">
        <v>205.080002</v>
      </c>
      <c r="F909" s="12" t="n">
        <v>21.34</v>
      </c>
      <c r="G909" s="12" t="n">
        <v>89.24456000000001</v>
      </c>
      <c r="H909" s="13">
        <f>100*B909/B$7</f>
        <v/>
      </c>
      <c r="I909" s="13">
        <f>100*C909/C$7</f>
        <v/>
      </c>
      <c r="J909" s="13">
        <f>100*D909/D$7</f>
        <v/>
      </c>
      <c r="K909" s="13">
        <f>100*E909/E$7</f>
        <v/>
      </c>
      <c r="L909" s="13">
        <f>100*F909/F$7</f>
        <v/>
      </c>
      <c r="M909" s="13">
        <f>100*G909/G$7</f>
        <v/>
      </c>
    </row>
    <row r="910">
      <c r="A910" s="11" t="n">
        <v>46191</v>
      </c>
      <c r="B910" s="12" t="n">
        <v>686.111938</v>
      </c>
      <c r="C910" s="12" t="n">
        <v>96.260002</v>
      </c>
      <c r="D910" s="12" t="n">
        <v>109.989998</v>
      </c>
      <c r="E910" s="12" t="n">
        <v>219.199997</v>
      </c>
      <c r="F910" s="12" t="n">
        <v>21.280001</v>
      </c>
      <c r="G910" s="12" t="n">
        <v>89.18499799999999</v>
      </c>
      <c r="H910" s="13">
        <f>100*B910/B$7</f>
        <v/>
      </c>
      <c r="I910" s="13">
        <f>100*C910/C$7</f>
        <v/>
      </c>
      <c r="J910" s="13">
        <f>100*D910/D$7</f>
        <v/>
      </c>
      <c r="K910" s="13">
        <f>100*E910/E$7</f>
        <v/>
      </c>
      <c r="L910" s="13">
        <f>100*F910/F$7</f>
        <v/>
      </c>
      <c r="M910" s="13">
        <f>100*G910/G$7</f>
        <v/>
      </c>
    </row>
    <row r="911">
      <c r="A911" s="11" t="n">
        <v>46192</v>
      </c>
      <c r="B911" s="12" t="n">
        <v>686.111938</v>
      </c>
      <c r="C911" s="12" t="n">
        <v>96.260002</v>
      </c>
      <c r="D911" s="12" t="n">
        <v>109.989998</v>
      </c>
      <c r="E911" s="12" t="n">
        <v>219.199997</v>
      </c>
      <c r="F911" s="12" t="n">
        <v>21.280001</v>
      </c>
      <c r="G911" s="12" t="n">
        <v>89.18499799999999</v>
      </c>
      <c r="H911" s="13">
        <f>100*B911/B$7</f>
        <v/>
      </c>
      <c r="I911" s="13">
        <f>100*C911/C$7</f>
        <v/>
      </c>
      <c r="J911" s="13">
        <f>100*D911/D$7</f>
        <v/>
      </c>
      <c r="K911" s="13">
        <f>100*E911/E$7</f>
        <v/>
      </c>
      <c r="L911" s="13">
        <f>100*F911/F$7</f>
        <v/>
      </c>
      <c r="M911" s="13">
        <f>100*G911/G$7</f>
        <v/>
      </c>
    </row>
    <row r="912">
      <c r="A912" s="11" t="n">
        <v>46195</v>
      </c>
      <c r="B912" s="12" t="n">
        <v>684.107788</v>
      </c>
      <c r="C912" s="12" t="n">
        <v>96.970001</v>
      </c>
      <c r="D912" s="12" t="n">
        <v>111.529999</v>
      </c>
      <c r="E912" s="12" t="n">
        <v>219.020004</v>
      </c>
      <c r="F912" s="12" t="n">
        <v>21.33</v>
      </c>
      <c r="G912" s="12" t="n">
        <v>89.849998</v>
      </c>
      <c r="H912" s="13">
        <f>100*B912/B$7</f>
        <v/>
      </c>
      <c r="I912" s="13">
        <f>100*C912/C$7</f>
        <v/>
      </c>
      <c r="J912" s="13">
        <f>100*D912/D$7</f>
        <v/>
      </c>
      <c r="K912" s="13">
        <f>100*E912/E$7</f>
        <v/>
      </c>
      <c r="L912" s="13">
        <f>100*F912/F$7</f>
        <v/>
      </c>
      <c r="M912" s="13">
        <f>100*G912/G$7</f>
        <v/>
      </c>
    </row>
    <row r="913">
      <c r="A913" s="11" t="n">
        <v>46196</v>
      </c>
      <c r="B913" s="12" t="n">
        <v>674.37616</v>
      </c>
      <c r="C913" s="12" t="n">
        <v>92.75</v>
      </c>
      <c r="D913" s="12" t="n">
        <v>105.239998</v>
      </c>
      <c r="E913" s="12" t="n">
        <v>192.199997</v>
      </c>
      <c r="F913" s="12" t="n">
        <v>21.120001</v>
      </c>
      <c r="G913" s="12" t="n">
        <v>87.699997</v>
      </c>
      <c r="H913" s="13">
        <f>100*B913/B$7</f>
        <v/>
      </c>
      <c r="I913" s="13">
        <f>100*C913/C$7</f>
        <v/>
      </c>
      <c r="J913" s="13">
        <f>100*D913/D$7</f>
        <v/>
      </c>
      <c r="K913" s="13">
        <f>100*E913/E$7</f>
        <v/>
      </c>
      <c r="L913" s="13">
        <f>100*F913/F$7</f>
        <v/>
      </c>
      <c r="M913" s="13">
        <f>100*G913/G$7</f>
        <v/>
      </c>
    </row>
    <row r="914">
      <c r="A914" s="11" t="n">
        <v>46197</v>
      </c>
      <c r="B914" s="12" t="n">
        <v>673.728027</v>
      </c>
      <c r="C914" s="12" t="n">
        <v>92.610001</v>
      </c>
      <c r="D914" s="12" t="n">
        <v>104.720001</v>
      </c>
      <c r="E914" s="12" t="n">
        <v>197.259995</v>
      </c>
      <c r="F914" s="12" t="n">
        <v>21.15</v>
      </c>
      <c r="G914" s="12" t="n">
        <v>87.160004</v>
      </c>
      <c r="H914" s="13">
        <f>100*B914/B$7</f>
        <v/>
      </c>
      <c r="I914" s="13">
        <f>100*C914/C$7</f>
        <v/>
      </c>
      <c r="J914" s="13">
        <f>100*D914/D$7</f>
        <v/>
      </c>
      <c r="K914" s="13">
        <f>100*E914/E$7</f>
        <v/>
      </c>
      <c r="L914" s="13">
        <f>100*F914/F$7</f>
        <v/>
      </c>
      <c r="M914" s="13">
        <f>100*G914/G$7</f>
        <v/>
      </c>
    </row>
    <row r="915">
      <c r="A915" s="11" t="n">
        <v>46198</v>
      </c>
      <c r="B915" s="12" t="n">
        <v>673.747986</v>
      </c>
      <c r="C915" s="12" t="n">
        <v>93.389999</v>
      </c>
      <c r="D915" s="12" t="n">
        <v>104.910004</v>
      </c>
      <c r="E915" s="12" t="n">
        <v>205</v>
      </c>
      <c r="F915" s="12" t="n">
        <v>21.120001</v>
      </c>
      <c r="G915" s="12" t="n">
        <v>86.19000200000001</v>
      </c>
      <c r="H915" s="13">
        <f>100*B915/B$7</f>
        <v/>
      </c>
      <c r="I915" s="13">
        <f>100*C915/C$7</f>
        <v/>
      </c>
      <c r="J915" s="13">
        <f>100*D915/D$7</f>
        <v/>
      </c>
      <c r="K915" s="13">
        <f>100*E915/E$7</f>
        <v/>
      </c>
      <c r="L915" s="13">
        <f>100*F915/F$7</f>
        <v/>
      </c>
      <c r="M915" s="13">
        <f>100*G915/G$7</f>
        <v/>
      </c>
    </row>
    <row r="916">
      <c r="A916" s="11" t="n">
        <v>46199</v>
      </c>
      <c r="B916" s="12" t="n">
        <v>670.26001</v>
      </c>
      <c r="C916" s="12" t="n">
        <v>92.800003</v>
      </c>
      <c r="D916" s="12" t="n">
        <v>102.809998</v>
      </c>
      <c r="E916" s="12" t="n">
        <v>197.279999</v>
      </c>
      <c r="F916" s="12" t="n">
        <v>21.09</v>
      </c>
      <c r="G916" s="12" t="n">
        <v>85.900002</v>
      </c>
      <c r="H916" s="13">
        <f>100*B916/B$7</f>
        <v/>
      </c>
      <c r="I916" s="13">
        <f>100*C916/C$7</f>
        <v/>
      </c>
      <c r="J916" s="13">
        <f>100*D916/D$7</f>
        <v/>
      </c>
      <c r="K916" s="13">
        <f>100*E916/E$7</f>
        <v/>
      </c>
      <c r="L916" s="13">
        <f>100*F916/F$7</f>
        <v/>
      </c>
      <c r="M916" s="13">
        <f>100*G916/G$7</f>
        <v/>
      </c>
    </row>
    <row r="917">
      <c r="A917" s="11" t="n">
        <v>46202</v>
      </c>
      <c r="B917" s="12" t="n">
        <v>681.01001</v>
      </c>
      <c r="C917" s="12" t="n">
        <v>93.209999</v>
      </c>
      <c r="D917" s="12" t="n">
        <v>105.790001</v>
      </c>
      <c r="E917" s="12" t="n">
        <v>197.5</v>
      </c>
      <c r="F917" s="12" t="n">
        <v>21.07</v>
      </c>
      <c r="G917" s="12" t="n">
        <v>86.290001</v>
      </c>
      <c r="H917" s="13">
        <f>100*B917/B$7</f>
        <v/>
      </c>
      <c r="I917" s="13">
        <f>100*C917/C$7</f>
        <v/>
      </c>
      <c r="J917" s="13">
        <f>100*D917/D$7</f>
        <v/>
      </c>
      <c r="K917" s="13">
        <f>100*E917/E$7</f>
        <v/>
      </c>
      <c r="L917" s="13">
        <f>100*F917/F$7</f>
        <v/>
      </c>
      <c r="M917" s="13">
        <f>100*G917/G$7</f>
        <v/>
      </c>
    </row>
    <row r="918">
      <c r="A918" s="11" t="n">
        <v>46203</v>
      </c>
      <c r="B918" s="12" t="n">
        <v>686.809998</v>
      </c>
      <c r="C918" s="12" t="n">
        <v>93.269997</v>
      </c>
      <c r="D918" s="12" t="n">
        <v>108.610001</v>
      </c>
      <c r="E918" s="12" t="n">
        <v>201.899994</v>
      </c>
      <c r="F918" s="12" t="n">
        <v>20.92</v>
      </c>
      <c r="G918" s="12" t="n">
        <v>86.519997</v>
      </c>
      <c r="H918" s="13">
        <f>100*B918/B$7</f>
        <v/>
      </c>
      <c r="I918" s="13">
        <f>100*C918/C$7</f>
        <v/>
      </c>
      <c r="J918" s="13">
        <f>100*D918/D$7</f>
        <v/>
      </c>
      <c r="K918" s="13">
        <f>100*E918/E$7</f>
        <v/>
      </c>
      <c r="L918" s="13">
        <f>100*F918/F$7</f>
        <v/>
      </c>
      <c r="M918" s="13">
        <f>100*G918/G$7</f>
        <v/>
      </c>
    </row>
    <row r="919">
      <c r="A919" s="11" t="n">
        <v>46204</v>
      </c>
      <c r="B919" s="12" t="n">
        <v>685.460022</v>
      </c>
      <c r="C919" s="12" t="n">
        <v>93.050003</v>
      </c>
      <c r="D919" s="12" t="n">
        <v>105.690002</v>
      </c>
      <c r="E919" s="12" t="n">
        <v>185.5</v>
      </c>
      <c r="F919" s="12" t="n">
        <v>21.059999</v>
      </c>
      <c r="G919" s="12" t="n">
        <v>87.529999</v>
      </c>
      <c r="H919" s="13">
        <f>100*B919/B$7</f>
        <v/>
      </c>
      <c r="I919" s="13">
        <f>100*C919/C$7</f>
        <v/>
      </c>
      <c r="J919" s="13">
        <f>100*D919/D$7</f>
        <v/>
      </c>
      <c r="K919" s="13">
        <f>100*E919/E$7</f>
        <v/>
      </c>
      <c r="L919" s="13">
        <f>100*F919/F$7</f>
        <v/>
      </c>
      <c r="M919" s="13">
        <f>100*G919/G$7</f>
        <v/>
      </c>
    </row>
    <row r="920">
      <c r="A920" s="11" t="n">
        <v>46205</v>
      </c>
      <c r="B920" s="12" t="n">
        <v>684.840027</v>
      </c>
      <c r="C920" s="12" t="n">
        <v>93.139999</v>
      </c>
      <c r="D920" s="12" t="n">
        <v>104.860001</v>
      </c>
      <c r="E920" s="12" t="n">
        <v>180.139999</v>
      </c>
      <c r="F920" s="12" t="n">
        <v>20.93</v>
      </c>
      <c r="G920" s="12" t="n">
        <v>86.18000000000001</v>
      </c>
      <c r="H920" s="13">
        <f>100*B920/B$7</f>
        <v/>
      </c>
      <c r="I920" s="13">
        <f>100*C920/C$7</f>
        <v/>
      </c>
      <c r="J920" s="13">
        <f>100*D920/D$7</f>
        <v/>
      </c>
      <c r="K920" s="13">
        <f>100*E920/E$7</f>
        <v/>
      </c>
      <c r="L920" s="13">
        <f>100*F920/F$7</f>
        <v/>
      </c>
      <c r="M920" s="13">
        <f>100*G920/G$7</f>
        <v/>
      </c>
    </row>
    <row r="921">
      <c r="A921" s="11" t="n">
        <v>46206</v>
      </c>
      <c r="B921" s="12" t="n">
        <v>684.840027</v>
      </c>
      <c r="C921" s="12" t="n">
        <v>93.139999</v>
      </c>
      <c r="D921" s="12" t="n">
        <v>104.860001</v>
      </c>
      <c r="E921" s="12" t="n">
        <v>180.139999</v>
      </c>
      <c r="F921" s="12" t="n">
        <v>20.93</v>
      </c>
      <c r="G921" s="12" t="n">
        <v>86.18000000000001</v>
      </c>
      <c r="H921" s="13">
        <f>100*B921/B$7</f>
        <v/>
      </c>
      <c r="I921" s="13">
        <f>100*C921/C$7</f>
        <v/>
      </c>
      <c r="J921" s="13">
        <f>100*D921/D$7</f>
        <v/>
      </c>
      <c r="K921" s="13">
        <f>100*E921/E$7</f>
        <v/>
      </c>
      <c r="L921" s="13">
        <f>100*F921/F$7</f>
        <v/>
      </c>
      <c r="M921" s="13">
        <f>100*G921/G$7</f>
        <v/>
      </c>
    </row>
    <row r="922">
      <c r="A922" s="11" t="n">
        <v>46209</v>
      </c>
      <c r="B922" s="12" t="n">
        <v>690.619995</v>
      </c>
      <c r="C922" s="12" t="n">
        <v>95.269997</v>
      </c>
      <c r="D922" s="12" t="n">
        <v>107.269997</v>
      </c>
      <c r="E922" s="12" t="n">
        <v>189.850006</v>
      </c>
      <c r="F922" s="12" t="n">
        <v>21.23</v>
      </c>
      <c r="G922" s="12" t="n">
        <v>87.650002</v>
      </c>
      <c r="H922" s="13">
        <f>100*B922/B$7</f>
        <v/>
      </c>
      <c r="I922" s="13">
        <f>100*C922/C$7</f>
        <v/>
      </c>
      <c r="J922" s="13">
        <f>100*D922/D$7</f>
        <v/>
      </c>
      <c r="K922" s="13">
        <f>100*E922/E$7</f>
        <v/>
      </c>
      <c r="L922" s="13">
        <f>100*F922/F$7</f>
        <v/>
      </c>
      <c r="M922" s="13">
        <f>100*G922/G$7</f>
        <v/>
      </c>
    </row>
    <row r="923">
      <c r="A923" s="11" t="n">
        <v>46210</v>
      </c>
      <c r="B923" s="12" t="n">
        <v>687.080017</v>
      </c>
      <c r="C923" s="12" t="n">
        <v>93.06999999999999</v>
      </c>
      <c r="D923" s="12" t="n">
        <v>101.879997</v>
      </c>
      <c r="E923" s="12" t="n">
        <v>181.289993</v>
      </c>
      <c r="F923" s="12" t="n">
        <v>21.07</v>
      </c>
      <c r="G923" s="12" t="n">
        <v>87.040001</v>
      </c>
      <c r="H923" s="13">
        <f>100*B923/B$7</f>
        <v/>
      </c>
      <c r="I923" s="13">
        <f>100*C923/C$7</f>
        <v/>
      </c>
      <c r="J923" s="13">
        <f>100*D923/D$7</f>
        <v/>
      </c>
      <c r="K923" s="13">
        <f>100*E923/E$7</f>
        <v/>
      </c>
      <c r="L923" s="13">
        <f>100*F923/F$7</f>
        <v/>
      </c>
      <c r="M923" s="13">
        <f>100*G923/G$7</f>
        <v/>
      </c>
    </row>
    <row r="924">
      <c r="A924" s="11" t="n">
        <v>46211</v>
      </c>
      <c r="B924" s="12" t="n">
        <v>685.26001</v>
      </c>
      <c r="C924" s="12" t="n">
        <v>92.540001</v>
      </c>
      <c r="D924" s="12" t="n">
        <v>103.900002</v>
      </c>
      <c r="E924" s="12" t="n">
        <v>182.720001</v>
      </c>
      <c r="F924" s="12" t="n">
        <v>21.110001</v>
      </c>
      <c r="G924" s="12" t="n">
        <v>88.120003</v>
      </c>
      <c r="H924" s="13">
        <f>100*B924/B$7</f>
        <v/>
      </c>
      <c r="I924" s="13">
        <f>100*C924/C$7</f>
        <v/>
      </c>
      <c r="J924" s="13">
        <f>100*D924/D$7</f>
        <v/>
      </c>
      <c r="K924" s="13">
        <f>100*E924/E$7</f>
        <v/>
      </c>
      <c r="L924" s="13">
        <f>100*F924/F$7</f>
        <v/>
      </c>
      <c r="M924" s="13">
        <f>100*G924/G$7</f>
        <v/>
      </c>
    </row>
    <row r="925">
      <c r="A925" s="11" t="n">
        <v>46212</v>
      </c>
      <c r="B925" s="12" t="n">
        <v>690.690002</v>
      </c>
      <c r="C925" s="12" t="n">
        <v>93.519997</v>
      </c>
      <c r="D925" s="12" t="n">
        <v>105.050003</v>
      </c>
      <c r="E925" s="12" t="n">
        <v>184.75</v>
      </c>
      <c r="F925" s="12" t="n">
        <v>21.209999</v>
      </c>
      <c r="G925" s="12" t="n">
        <v>88.91999800000001</v>
      </c>
      <c r="H925" s="13">
        <f>100*B925/B$7</f>
        <v/>
      </c>
      <c r="I925" s="13">
        <f>100*C925/C$7</f>
        <v/>
      </c>
      <c r="J925" s="13">
        <f>100*D925/D$7</f>
        <v/>
      </c>
      <c r="K925" s="13">
        <f>100*E925/E$7</f>
        <v/>
      </c>
      <c r="L925" s="13">
        <f>100*F925/F$7</f>
        <v/>
      </c>
      <c r="M925" s="13">
        <f>100*G925/G$7</f>
        <v/>
      </c>
    </row>
    <row r="926">
      <c r="A926" s="11" t="n">
        <v>46213</v>
      </c>
      <c r="B926" s="12" t="n">
        <v>693.8599850000001</v>
      </c>
      <c r="C926" s="12" t="n">
        <v>94.550003</v>
      </c>
      <c r="D926" s="12" t="n">
        <v>106.190002</v>
      </c>
      <c r="E926" s="12" t="n">
        <v>183.520004</v>
      </c>
      <c r="F926" s="12" t="n">
        <v>21.5</v>
      </c>
      <c r="G926" s="12" t="n">
        <v>88.790001</v>
      </c>
      <c r="H926" s="13">
        <f>100*B926/B$7</f>
        <v/>
      </c>
      <c r="I926" s="13">
        <f>100*C926/C$7</f>
        <v/>
      </c>
      <c r="J926" s="13">
        <f>100*D926/D$7</f>
        <v/>
      </c>
      <c r="K926" s="13">
        <f>100*E926/E$7</f>
        <v/>
      </c>
      <c r="L926" s="13">
        <f>100*F926/F$7</f>
        <v/>
      </c>
      <c r="M926" s="13">
        <f>100*G926/G$7</f>
        <v/>
      </c>
    </row>
    <row r="927">
      <c r="A927" s="11" t="n">
        <v>46216</v>
      </c>
      <c r="B927" s="12" t="n">
        <v>688.5</v>
      </c>
      <c r="C927" s="12" t="n">
        <v>92.720001</v>
      </c>
      <c r="D927" s="12" t="n">
        <v>101.879997</v>
      </c>
      <c r="E927" s="12" t="n">
        <v>168.020004</v>
      </c>
      <c r="F927" s="12" t="n">
        <v>21.299999</v>
      </c>
      <c r="G927" s="12" t="n">
        <v>87.55999799999999</v>
      </c>
      <c r="H927" s="13">
        <f>100*B927/B$7</f>
        <v/>
      </c>
      <c r="I927" s="13">
        <f>100*C927/C$7</f>
        <v/>
      </c>
      <c r="J927" s="13">
        <f>100*D927/D$7</f>
        <v/>
      </c>
      <c r="K927" s="13">
        <f>100*E927/E$7</f>
        <v/>
      </c>
      <c r="L927" s="13">
        <f>100*F927/F$7</f>
        <v/>
      </c>
      <c r="M927" s="13">
        <f>100*G927/G$7</f>
        <v/>
      </c>
    </row>
    <row r="928">
      <c r="A928" s="11" t="n">
        <v>46217</v>
      </c>
      <c r="B928" s="12" t="n">
        <v>691.099976</v>
      </c>
      <c r="C928" s="12" t="n">
        <v>93.889999</v>
      </c>
      <c r="D928" s="12" t="n">
        <v>101.879997</v>
      </c>
      <c r="E928" s="12" t="n">
        <v>176.979996</v>
      </c>
      <c r="F928" s="12" t="n">
        <v>21.67</v>
      </c>
      <c r="G928" s="12" t="n">
        <v>88.730003</v>
      </c>
      <c r="H928" s="13">
        <f>100*B928/B$7</f>
        <v/>
      </c>
      <c r="I928" s="13">
        <f>100*C928/C$7</f>
        <v/>
      </c>
      <c r="J928" s="13">
        <f>100*D928/D$7</f>
        <v/>
      </c>
      <c r="K928" s="13">
        <f>100*E928/E$7</f>
        <v/>
      </c>
      <c r="L928" s="13">
        <f>100*F928/F$7</f>
        <v/>
      </c>
      <c r="M928" s="13">
        <f>100*G928/G$7</f>
        <v/>
      </c>
    </row>
    <row r="929">
      <c r="A929" s="11" t="n">
        <v>46218</v>
      </c>
      <c r="B929" s="12" t="n">
        <v>693.799988</v>
      </c>
      <c r="C929" s="12" t="n">
        <v>93.5</v>
      </c>
      <c r="D929" s="12" t="n">
        <v>102.489998</v>
      </c>
      <c r="E929" s="12" t="n">
        <v>171.639999</v>
      </c>
      <c r="F929" s="12" t="n">
        <v>22.08</v>
      </c>
      <c r="G929" s="12" t="n">
        <v>90.06999999999999</v>
      </c>
      <c r="H929" s="13">
        <f>100*B929/B$7</f>
        <v/>
      </c>
      <c r="I929" s="13">
        <f>100*C929/C$7</f>
        <v/>
      </c>
      <c r="J929" s="13">
        <f>100*D929/D$7</f>
        <v/>
      </c>
      <c r="K929" s="13">
        <f>100*E929/E$7</f>
        <v/>
      </c>
      <c r="L929" s="13">
        <f>100*F929/F$7</f>
        <v/>
      </c>
      <c r="M929" s="13">
        <f>100*G929/G$7</f>
        <v/>
      </c>
    </row>
    <row r="930">
      <c r="A930" s="11" t="n">
        <v>46219</v>
      </c>
      <c r="B930" s="12" t="n">
        <v>690.1400149999999</v>
      </c>
      <c r="C930" s="12" t="n">
        <v>91.910004</v>
      </c>
      <c r="D930" s="12" t="n">
        <v>100.160004</v>
      </c>
      <c r="E930" s="12" t="n">
        <v>163.360001</v>
      </c>
      <c r="F930" s="12" t="n">
        <v>22.049999</v>
      </c>
      <c r="G930" s="12" t="n">
        <v>89.589996</v>
      </c>
      <c r="H930" s="13">
        <f>100*B930/B$7</f>
        <v/>
      </c>
      <c r="I930" s="13">
        <f>100*C930/C$7</f>
        <v/>
      </c>
      <c r="J930" s="13">
        <f>100*D930/D$7</f>
        <v/>
      </c>
      <c r="K930" s="13">
        <f>100*E930/E$7</f>
        <v/>
      </c>
      <c r="L930" s="13">
        <f>100*F930/F$7</f>
        <v/>
      </c>
      <c r="M930" s="13">
        <f>100*G930/G$7</f>
        <v/>
      </c>
    </row>
    <row r="931">
      <c r="A931" s="11" t="n">
        <v>46220</v>
      </c>
      <c r="B931" s="12" t="n">
        <v>683.169983</v>
      </c>
      <c r="C931" s="12" t="n">
        <v>90.489998</v>
      </c>
      <c r="D931" s="12" t="n">
        <v>97.33000199999999</v>
      </c>
      <c r="E931" s="12" t="n">
        <v>162.539993</v>
      </c>
      <c r="F931" s="12" t="n">
        <v>22.040001</v>
      </c>
      <c r="G931" s="12" t="n">
        <v>87.56999999999999</v>
      </c>
      <c r="H931" s="13">
        <f>100*B931/B$7</f>
        <v/>
      </c>
      <c r="I931" s="13">
        <f>100*C931/C$7</f>
        <v/>
      </c>
      <c r="J931" s="13">
        <f>100*D931/D$7</f>
        <v/>
      </c>
      <c r="K931" s="13">
        <f>100*E931/E$7</f>
        <v/>
      </c>
      <c r="L931" s="13">
        <f>100*F931/F$7</f>
        <v/>
      </c>
      <c r="M931" s="13">
        <f>100*G931/G$7</f>
        <v/>
      </c>
    </row>
    <row r="932">
      <c r="A932" s="11" t="n">
        <v>46223</v>
      </c>
      <c r="B932" s="12" t="n">
        <v>682.210022</v>
      </c>
      <c r="C932" s="12" t="n">
        <v>90.43000000000001</v>
      </c>
      <c r="D932" s="12" t="n">
        <v>95.94000200000001</v>
      </c>
      <c r="E932" s="12" t="n">
        <v>162.860001</v>
      </c>
      <c r="F932" s="12" t="n">
        <v>22.139999</v>
      </c>
      <c r="G932" s="12" t="n">
        <v>89.209999</v>
      </c>
      <c r="H932" s="13">
        <f>100*B932/B$7</f>
        <v/>
      </c>
      <c r="I932" s="13">
        <f>100*C932/C$7</f>
        <v/>
      </c>
      <c r="J932" s="13">
        <f>100*D932/D$7</f>
        <v/>
      </c>
      <c r="K932" s="13">
        <f>100*E932/E$7</f>
        <v/>
      </c>
      <c r="L932" s="13">
        <f>100*F932/F$7</f>
        <v/>
      </c>
      <c r="M932" s="13">
        <f>100*G932/G$7</f>
        <v/>
      </c>
    </row>
    <row r="933">
      <c r="A933" s="11" t="n">
        <v>46224</v>
      </c>
      <c r="B933" s="12" t="n">
        <v>687.869995</v>
      </c>
      <c r="C933" s="12" t="n">
        <v>92.739998</v>
      </c>
      <c r="D933" s="12" t="n">
        <v>100.580002</v>
      </c>
      <c r="E933" s="12" t="n">
        <v>172.899994</v>
      </c>
      <c r="F933" s="12" t="n">
        <v>22.299999</v>
      </c>
      <c r="G933" s="12" t="n">
        <v>89.269997</v>
      </c>
      <c r="H933" s="13">
        <f>100*B933/B$7</f>
        <v/>
      </c>
      <c r="I933" s="13">
        <f>100*C933/C$7</f>
        <v/>
      </c>
      <c r="J933" s="13">
        <f>100*D933/D$7</f>
        <v/>
      </c>
      <c r="K933" s="13">
        <f>100*E933/E$7</f>
        <v/>
      </c>
      <c r="L933" s="13">
        <f>100*F933/F$7</f>
        <v/>
      </c>
      <c r="M933" s="13">
        <f>100*G933/G$7</f>
        <v/>
      </c>
    </row>
    <row r="934">
      <c r="A934" s="11" t="n">
        <v>46225</v>
      </c>
      <c r="B934" s="12" t="n">
        <v>687.030029</v>
      </c>
      <c r="C934" s="12" t="n">
        <v>92.19000200000001</v>
      </c>
      <c r="D934" s="12" t="n">
        <v>101.68</v>
      </c>
      <c r="E934" s="12" t="n">
        <v>170.429993</v>
      </c>
      <c r="F934" s="12" t="n">
        <v>22.540001</v>
      </c>
      <c r="G934" s="12" t="n">
        <v>88.56999999999999</v>
      </c>
      <c r="H934" s="13">
        <f>100*B934/B$7</f>
        <v/>
      </c>
      <c r="I934" s="13">
        <f>100*C934/C$7</f>
        <v/>
      </c>
      <c r="J934" s="13">
        <f>100*D934/D$7</f>
        <v/>
      </c>
      <c r="K934" s="13">
        <f>100*E934/E$7</f>
        <v/>
      </c>
      <c r="L934" s="13">
        <f>100*F934/F$7</f>
        <v/>
      </c>
      <c r="M934" s="13">
        <f>100*G934/G$7</f>
        <v/>
      </c>
    </row>
    <row r="935">
      <c r="A935" s="11" t="n">
        <v>46226</v>
      </c>
      <c r="B935" s="12" t="n">
        <v>678.6099850000001</v>
      </c>
      <c r="C935" s="12" t="n">
        <v>91.099998</v>
      </c>
      <c r="D935" s="12" t="n">
        <v>99.839996</v>
      </c>
      <c r="E935" s="12" t="n">
        <v>173.860001</v>
      </c>
      <c r="F935" s="12" t="n">
        <v>22.440001</v>
      </c>
      <c r="G935" s="12" t="n">
        <v>88.44000200000001</v>
      </c>
      <c r="H935" s="13">
        <f>100*B935/B$7</f>
        <v/>
      </c>
      <c r="I935" s="13">
        <f>100*C935/C$7</f>
        <v/>
      </c>
      <c r="J935" s="13">
        <f>100*D935/D$7</f>
        <v/>
      </c>
      <c r="K935" s="13">
        <f>100*E935/E$7</f>
        <v/>
      </c>
      <c r="L935" s="13">
        <f>100*F935/F$7</f>
        <v/>
      </c>
      <c r="M935" s="13">
        <f>100*G935/G$7</f>
        <v/>
      </c>
    </row>
    <row r="936">
      <c r="A936" s="11" t="n">
        <v>46227</v>
      </c>
      <c r="B936" s="12" t="n">
        <v>679.1400149999999</v>
      </c>
      <c r="C936" s="12" t="n">
        <v>91.209999</v>
      </c>
      <c r="D936" s="12" t="n">
        <v>98.010002</v>
      </c>
      <c r="E936" s="12" t="n">
        <v>162.960007</v>
      </c>
      <c r="F936" s="12" t="n">
        <v>22.549999</v>
      </c>
      <c r="G936" s="12" t="n">
        <v>88.029999</v>
      </c>
      <c r="H936" s="13">
        <f>100*B936/B$7</f>
        <v/>
      </c>
      <c r="I936" s="13">
        <f>100*C936/C$7</f>
        <v/>
      </c>
      <c r="J936" s="13">
        <f>100*D936/D$7</f>
        <v/>
      </c>
      <c r="K936" s="13">
        <f>100*E936/E$7</f>
        <v/>
      </c>
      <c r="L936" s="13">
        <f>100*F936/F$7</f>
        <v/>
      </c>
      <c r="M936" s="13">
        <f>100*G936/G$7</f>
        <v/>
      </c>
    </row>
    <row r="937">
      <c r="A937" s="11" t="n">
        <v>46230</v>
      </c>
      <c r="B937" s="12" t="n">
        <v>679.309998</v>
      </c>
      <c r="C937" s="12" t="n">
        <v>91.510002</v>
      </c>
      <c r="D937" s="12" t="n">
        <v>97.80999799999999</v>
      </c>
      <c r="E937" s="12" t="n">
        <v>161.199997</v>
      </c>
      <c r="F937" s="12" t="n">
        <v>22.780001</v>
      </c>
      <c r="G937" s="12" t="n">
        <v>89.639999</v>
      </c>
      <c r="H937" s="13">
        <f>100*B937/B$7</f>
        <v/>
      </c>
      <c r="I937" s="13">
        <f>100*C937/C$7</f>
        <v/>
      </c>
      <c r="J937" s="13">
        <f>100*D937/D$7</f>
        <v/>
      </c>
      <c r="K937" s="13">
        <f>100*E937/E$7</f>
        <v/>
      </c>
      <c r="L937" s="13">
        <f>100*F937/F$7</f>
        <v/>
      </c>
      <c r="M937" s="13">
        <f>100*G937/G$7</f>
        <v/>
      </c>
    </row>
    <row r="938">
      <c r="A938" s="11" t="n">
        <v>46231</v>
      </c>
      <c r="B938" s="12" t="n">
        <v>680.960022</v>
      </c>
      <c r="C938" s="12" t="n">
        <v>89.83000199999999</v>
      </c>
      <c r="D938" s="12" t="n">
        <v>93.949997</v>
      </c>
      <c r="E938" s="12" t="n">
        <v>151.449997</v>
      </c>
      <c r="F938" s="12" t="n">
        <v>22.950001</v>
      </c>
      <c r="G938" s="12" t="n">
        <v>89.69000200000001</v>
      </c>
      <c r="H938" s="13">
        <f>100*B938/B$7</f>
        <v/>
      </c>
      <c r="I938" s="13">
        <f>100*C938/C$7</f>
        <v/>
      </c>
      <c r="J938" s="13">
        <f>100*D938/D$7</f>
        <v/>
      </c>
      <c r="K938" s="13">
        <f>100*E938/E$7</f>
        <v/>
      </c>
      <c r="L938" s="13">
        <f>100*F938/F$7</f>
        <v/>
      </c>
      <c r="M938" s="13">
        <f>100*G938/G$7</f>
        <v/>
      </c>
    </row>
    <row r="939">
      <c r="A939" s="11" t="n">
        <v>46232</v>
      </c>
      <c r="B939" s="12" t="n">
        <v>670.630005</v>
      </c>
      <c r="C939" s="12" t="n">
        <v>89.349998</v>
      </c>
      <c r="D939" s="12" t="n">
        <v>89.410004</v>
      </c>
      <c r="E939" s="12" t="n">
        <v>144.210007</v>
      </c>
      <c r="F939" s="12" t="n">
        <v>22.9</v>
      </c>
      <c r="G939" s="12" t="n">
        <v>90.260002</v>
      </c>
      <c r="H939" s="13">
        <f>100*B939/B$7</f>
        <v/>
      </c>
      <c r="I939" s="13">
        <f>100*C939/C$7</f>
        <v/>
      </c>
      <c r="J939" s="13">
        <f>100*D939/D$7</f>
        <v/>
      </c>
      <c r="K939" s="13">
        <f>100*E939/E$7</f>
        <v/>
      </c>
      <c r="L939" s="13">
        <f>100*F939/F$7</f>
        <v/>
      </c>
      <c r="M939" s="13">
        <f>100*G939/G$7</f>
        <v/>
      </c>
    </row>
    <row r="940">
      <c r="A940" s="11" t="n">
        <v>46233</v>
      </c>
      <c r="B940" s="12" t="n">
        <v>681.789978</v>
      </c>
      <c r="C940" s="12" t="n">
        <v>93.290001</v>
      </c>
      <c r="D940" s="12" t="n">
        <v>94</v>
      </c>
      <c r="E940" s="12" t="n">
        <v>161.210007</v>
      </c>
      <c r="F940" s="12" t="n">
        <v>23.299999</v>
      </c>
      <c r="G940" s="12" t="n">
        <v>91.08000199999999</v>
      </c>
      <c r="H940" s="13">
        <f>100*B940/B$7</f>
        <v/>
      </c>
      <c r="I940" s="13">
        <f>100*C940/C$7</f>
        <v/>
      </c>
      <c r="J940" s="13">
        <f>100*D940/D$7</f>
        <v/>
      </c>
      <c r="K940" s="13">
        <f>100*E940/E$7</f>
        <v/>
      </c>
      <c r="L940" s="13">
        <f>100*F940/F$7</f>
        <v/>
      </c>
      <c r="M940" s="13">
        <f>100*G940/G$7</f>
        <v/>
      </c>
    </row>
    <row r="941">
      <c r="A941" s="11" t="n">
        <v>46234</v>
      </c>
      <c r="B941" s="12" t="n">
        <v>686.650024</v>
      </c>
      <c r="C941" s="12" t="n">
        <v>92.389999</v>
      </c>
      <c r="D941" s="12" t="n">
        <v>96.550003</v>
      </c>
      <c r="E941" s="12" t="n">
        <v>157.100006</v>
      </c>
      <c r="F941" s="12" t="n">
        <v>23.08</v>
      </c>
      <c r="G941" s="12" t="n">
        <v>91.43000000000001</v>
      </c>
      <c r="H941" s="13">
        <f>100*B941/B$7</f>
        <v/>
      </c>
      <c r="I941" s="13">
        <f>100*C941/C$7</f>
        <v/>
      </c>
      <c r="J941" s="13">
        <f>100*D941/D$7</f>
        <v/>
      </c>
      <c r="K941" s="13">
        <f>100*E941/E$7</f>
        <v/>
      </c>
      <c r="L941" s="13">
        <f>100*F941/F$7</f>
        <v/>
      </c>
      <c r="M941" s="13">
        <f>100*G941/G$7</f>
        <v/>
      </c>
    </row>
  </sheetData>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J22"/>
  <sheetViews>
    <sheetView showGridLines="0" workbookViewId="0">
      <selection activeCell="A1" sqref="A1"/>
    </sheetView>
  </sheetViews>
  <sheetFormatPr baseColWidth="8" defaultRowHeight="15"/>
  <cols>
    <col width="22" customWidth="1" min="1" max="1"/>
    <col width="18" customWidth="1" min="2" max="2"/>
    <col width="18" customWidth="1" min="3" max="3"/>
    <col width="18" customWidth="1" min="4" max="4"/>
  </cols>
  <sheetData>
    <row r="1">
      <c r="A1" s="1" t="inlineStr">
        <is>
          <t>Where the curve is, and where the steepener already went</t>
        </is>
      </c>
    </row>
    <row r="2">
      <c r="A2" s="2" t="inlineStr">
        <is>
          <t>Both blocks read live off the JGBCurve sheet. Percentiles are weekly observations since January 2000.</t>
        </is>
      </c>
    </row>
    <row r="3" ht="4" customHeight="1">
      <c r="A3" s="3" t="n"/>
      <c r="B3" s="3" t="n"/>
      <c r="C3" s="3" t="n"/>
      <c r="D3" s="3" t="n"/>
      <c r="E3" s="3" t="n"/>
      <c r="F3" s="3" t="n"/>
      <c r="G3" s="3" t="n"/>
      <c r="H3" s="3" t="n"/>
      <c r="I3" s="3" t="n"/>
      <c r="J3" s="3" t="n"/>
    </row>
    <row r="6" ht="26" customHeight="1">
      <c r="A6" s="21" t="inlineStr">
        <is>
          <t>Tenor</t>
        </is>
      </c>
      <c r="B6" s="21" t="inlineStr">
        <is>
          <t>31 Jul 2026</t>
        </is>
      </c>
      <c r="C6" s="21" t="inlineStr">
        <is>
          <t>01 Aug 2025</t>
        </is>
      </c>
      <c r="D6" s="21" t="inlineStr">
        <is>
          <t>30 Jul 2021</t>
        </is>
      </c>
    </row>
    <row r="7">
      <c r="A7" s="14" t="inlineStr">
        <is>
          <t>1y</t>
        </is>
      </c>
      <c r="B7" s="22">
        <f>'JGBCurve'!$B$1393</f>
        <v/>
      </c>
      <c r="C7" s="22">
        <f>'JGBCurve'!$B$1341</f>
        <v/>
      </c>
      <c r="D7" s="22">
        <f>'JGBCurve'!$B$1132</f>
        <v/>
      </c>
    </row>
    <row r="8">
      <c r="A8" s="14" t="inlineStr">
        <is>
          <t>2y</t>
        </is>
      </c>
      <c r="B8" s="22">
        <f>'JGBCurve'!$C$1393</f>
        <v/>
      </c>
      <c r="C8" s="22">
        <f>'JGBCurve'!$C$1341</f>
        <v/>
      </c>
      <c r="D8" s="22">
        <f>'JGBCurve'!$C$1132</f>
        <v/>
      </c>
    </row>
    <row r="9">
      <c r="A9" s="14" t="inlineStr">
        <is>
          <t>5y</t>
        </is>
      </c>
      <c r="B9" s="22">
        <f>'JGBCurve'!$D$1393</f>
        <v/>
      </c>
      <c r="C9" s="22">
        <f>'JGBCurve'!$D$1341</f>
        <v/>
      </c>
      <c r="D9" s="22">
        <f>'JGBCurve'!$D$1132</f>
        <v/>
      </c>
    </row>
    <row r="10">
      <c r="A10" s="14" t="inlineStr">
        <is>
          <t>10y</t>
        </is>
      </c>
      <c r="B10" s="22">
        <f>'JGBCurve'!$E$1393</f>
        <v/>
      </c>
      <c r="C10" s="22">
        <f>'JGBCurve'!$E$1341</f>
        <v/>
      </c>
      <c r="D10" s="22">
        <f>'JGBCurve'!$E$1132</f>
        <v/>
      </c>
    </row>
    <row r="11">
      <c r="A11" s="14" t="inlineStr">
        <is>
          <t>20y</t>
        </is>
      </c>
      <c r="B11" s="22">
        <f>'JGBCurve'!$F$1393</f>
        <v/>
      </c>
      <c r="C11" s="22">
        <f>'JGBCurve'!$F$1341</f>
        <v/>
      </c>
      <c r="D11" s="22">
        <f>'JGBCurve'!$F$1132</f>
        <v/>
      </c>
    </row>
    <row r="12">
      <c r="A12" s="14" t="inlineStr">
        <is>
          <t>30y</t>
        </is>
      </c>
      <c r="B12" s="22">
        <f>'JGBCurve'!$G$1393</f>
        <v/>
      </c>
      <c r="C12" s="22">
        <f>'JGBCurve'!$G$1341</f>
        <v/>
      </c>
      <c r="D12" s="22">
        <f>'JGBCurve'!$G$1132</f>
        <v/>
      </c>
    </row>
    <row r="13">
      <c r="A13" s="14" t="inlineStr">
        <is>
          <t>40y</t>
        </is>
      </c>
      <c r="B13" s="22">
        <f>'JGBCurve'!$H$1393</f>
        <v/>
      </c>
      <c r="C13" s="22">
        <f>'JGBCurve'!$H$1341</f>
        <v/>
      </c>
      <c r="D13" s="22">
        <f>'JGBCurve'!$H$1132</f>
        <v/>
      </c>
    </row>
    <row r="17" ht="26" customHeight="1">
      <c r="A17" s="21" t="inlineStr">
        <is>
          <t>Spread</t>
        </is>
      </c>
      <c r="B17" s="21" t="inlineStr">
        <is>
          <t>Current, bp</t>
        </is>
      </c>
      <c r="C17" s="21" t="inlineStr">
        <is>
          <t>Percentile since 2000</t>
        </is>
      </c>
      <c r="D17" s="21" t="inlineStr">
        <is>
          <t>Observations</t>
        </is>
      </c>
    </row>
    <row r="18">
      <c r="A18" s="14" t="inlineStr">
        <is>
          <t>30s40s</t>
        </is>
      </c>
      <c r="B18" s="15">
        <f>'JGBCurve'!$S$1393</f>
        <v/>
      </c>
      <c r="C18" s="13">
        <f>COUNTIF('JGBCurve'!$S$7:$S$1393,"&lt;"&amp;'JGBCurve'!$S$1393)/COUNT('JGBCurve'!$S$7:$S$1393)*100</f>
        <v/>
      </c>
      <c r="D18" s="15">
        <f>COUNT('JGBCurve'!$S$7:$S$1393)</f>
        <v/>
      </c>
    </row>
    <row r="19">
      <c r="A19" s="14" t="inlineStr">
        <is>
          <t>20s40s</t>
        </is>
      </c>
      <c r="B19" s="15">
        <f>'JGBCurve'!$R$1393</f>
        <v/>
      </c>
      <c r="C19" s="13">
        <f>COUNTIF('JGBCurve'!$R$7:$R$1393,"&lt;"&amp;'JGBCurve'!$R$1393)/COUNT('JGBCurve'!$R$7:$R$1393)*100</f>
        <v/>
      </c>
      <c r="D19" s="15">
        <f>COUNT('JGBCurve'!$R$7:$R$1393)</f>
        <v/>
      </c>
    </row>
    <row r="20">
      <c r="A20" s="14" t="inlineStr">
        <is>
          <t>2s10s</t>
        </is>
      </c>
      <c r="B20" s="15">
        <f>'JGBCurve'!$O$1393</f>
        <v/>
      </c>
      <c r="C20" s="13">
        <f>COUNTIF('JGBCurve'!$O$7:$O$1393,"&lt;"&amp;'JGBCurve'!$O$1393)/COUNT('JGBCurve'!$O$7:$O$1393)*100</f>
        <v/>
      </c>
      <c r="D20" s="15">
        <f>COUNT('JGBCurve'!$O$7:$O$1393)</f>
        <v/>
      </c>
    </row>
    <row r="21">
      <c r="A21" s="14" t="inlineStr">
        <is>
          <t>10s30s</t>
        </is>
      </c>
      <c r="B21" s="15">
        <f>'JGBCurve'!$P$1393</f>
        <v/>
      </c>
      <c r="C21" s="13">
        <f>COUNTIF('JGBCurve'!$P$7:$P$1393,"&lt;"&amp;'JGBCurve'!$P$1393)/COUNT('JGBCurve'!$P$7:$P$1393)*100</f>
        <v/>
      </c>
      <c r="D21" s="15">
        <f>COUNT('JGBCurve'!$P$7:$P$1393)</f>
        <v/>
      </c>
    </row>
    <row r="22">
      <c r="A22" s="14" t="inlineStr">
        <is>
          <t>2s30s</t>
        </is>
      </c>
      <c r="B22" s="15">
        <f>'JGBCurve'!$Q$1393</f>
        <v/>
      </c>
      <c r="C22" s="13">
        <f>COUNTIF('JGBCurve'!$Q$7:$Q$1393,"&lt;"&amp;'JGBCurve'!$Q$1393)/COUNT('JGBCurve'!$Q$7:$Q$1393)*100</f>
        <v/>
      </c>
      <c r="D22" s="15">
        <f>COUNT('JGBCurve'!$Q$7:$Q$1393)</f>
        <v/>
      </c>
    </row>
  </sheetData>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S1393"/>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1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s>
  <sheetData>
    <row r="1">
      <c r="A1" s="1" t="inlineStr">
        <is>
          <t>The JGB curve, and what a hedged Treasury pays against it</t>
        </is>
      </c>
    </row>
    <row r="2">
      <c r="A2" s="2" t="inlineStr">
        <is>
          <t>Weekly, Friday. Columns B to K are pulled; L to S are derived live. Hedge cost is the one-year rate gap, a proxy for rolled FX forwards.</t>
        </is>
      </c>
    </row>
    <row r="3" ht="4" customHeight="1">
      <c r="A3" s="3" t="n"/>
      <c r="B3" s="3" t="n"/>
      <c r="C3" s="3" t="n"/>
      <c r="D3" s="3" t="n"/>
      <c r="E3" s="3" t="n"/>
      <c r="F3" s="3" t="n"/>
      <c r="G3" s="3" t="n"/>
      <c r="H3" s="3" t="n"/>
      <c r="I3" s="3" t="n"/>
      <c r="J3" s="3" t="n"/>
      <c r="K3" s="3" t="n"/>
      <c r="L3" s="3" t="n"/>
      <c r="M3" s="3" t="n"/>
      <c r="N3" s="3" t="n"/>
      <c r="O3" s="3" t="n"/>
      <c r="P3" s="3" t="n"/>
      <c r="Q3" s="3" t="n"/>
      <c r="R3" s="3" t="n"/>
      <c r="S3" s="3" t="n"/>
    </row>
    <row r="6" ht="30" customHeight="1">
      <c r="A6" s="9" t="inlineStr">
        <is>
          <t>Date</t>
        </is>
      </c>
      <c r="B6" s="10" t="inlineStr">
        <is>
          <t>JGB 1y</t>
        </is>
      </c>
      <c r="C6" s="10" t="inlineStr">
        <is>
          <t>JGB 2y</t>
        </is>
      </c>
      <c r="D6" s="10" t="inlineStr">
        <is>
          <t>JGB 5y</t>
        </is>
      </c>
      <c r="E6" s="10" t="inlineStr">
        <is>
          <t>JGB 10y</t>
        </is>
      </c>
      <c r="F6" s="10" t="inlineStr">
        <is>
          <t>JGB 20y</t>
        </is>
      </c>
      <c r="G6" s="10" t="inlineStr">
        <is>
          <t>JGB 30y</t>
        </is>
      </c>
      <c r="H6" s="10" t="inlineStr">
        <is>
          <t>JGB 40y</t>
        </is>
      </c>
      <c r="I6" s="10" t="inlineStr">
        <is>
          <t>UST 30y</t>
        </is>
      </c>
      <c r="J6" s="10" t="inlineStr">
        <is>
          <t>UST 1y</t>
        </is>
      </c>
      <c r="K6" s="10" t="inlineStr">
        <is>
          <t>UST 10y</t>
        </is>
      </c>
      <c r="L6" s="10" t="inlineStr">
        <is>
          <t>Hedge cost</t>
        </is>
      </c>
      <c r="M6" s="10" t="inlineStr">
        <is>
          <t>UST 30y, yen hedged</t>
        </is>
      </c>
      <c r="N6" s="10" t="inlineStr">
        <is>
          <t>JGB 30y pickup, bp</t>
        </is>
      </c>
      <c r="O6" s="10" t="inlineStr">
        <is>
          <t>2s10s, bp</t>
        </is>
      </c>
      <c r="P6" s="10" t="inlineStr">
        <is>
          <t>10s30s, bp</t>
        </is>
      </c>
      <c r="Q6" s="10" t="inlineStr">
        <is>
          <t>2s30s, bp</t>
        </is>
      </c>
      <c r="R6" s="10" t="inlineStr">
        <is>
          <t>20s40s, bp</t>
        </is>
      </c>
      <c r="S6" s="10" t="inlineStr">
        <is>
          <t>30s40s, bp</t>
        </is>
      </c>
    </row>
    <row r="7">
      <c r="A7" s="11" t="n">
        <v>36532</v>
      </c>
      <c r="B7" s="22" t="n">
        <v>0.196</v>
      </c>
      <c r="C7" s="22" t="n">
        <v>0.406</v>
      </c>
      <c r="D7" s="22" t="n">
        <v>1.026</v>
      </c>
      <c r="E7" s="22" t="n">
        <v>1.738</v>
      </c>
      <c r="F7" s="22" t="n">
        <v>2.384</v>
      </c>
      <c r="G7" s="22" t="n">
        <v>2.496</v>
      </c>
      <c r="H7" s="22" t="n"/>
      <c r="I7" s="22" t="n">
        <v>6.55</v>
      </c>
      <c r="J7" s="22" t="n">
        <v>6</v>
      </c>
      <c r="K7" s="22" t="n">
        <v>6.52</v>
      </c>
      <c r="L7" s="17">
        <f>$J7-$B7</f>
        <v/>
      </c>
      <c r="M7" s="17">
        <f>$I7-$L7</f>
        <v/>
      </c>
      <c r="N7" s="23">
        <f>($G7-$M7)*100</f>
        <v/>
      </c>
      <c r="O7" s="15">
        <f>($E7-$C7)*100</f>
        <v/>
      </c>
      <c r="P7" s="15">
        <f>($G7-$E7)*100</f>
        <v/>
      </c>
      <c r="Q7" s="15">
        <f>($G7-$C7)*100</f>
        <v/>
      </c>
      <c r="R7" s="15">
        <f>IF($H7="","",($H7-$F7)*100)</f>
        <v/>
      </c>
      <c r="S7" s="15">
        <f>IF($H7="","",($H7-$G7)*100)</f>
        <v/>
      </c>
    </row>
    <row r="8">
      <c r="A8" s="11" t="n">
        <v>36539</v>
      </c>
      <c r="B8" s="22" t="n">
        <v>0.193</v>
      </c>
      <c r="C8" s="22" t="n">
        <v>0.414</v>
      </c>
      <c r="D8" s="22" t="n">
        <v>1.03</v>
      </c>
      <c r="E8" s="22" t="n">
        <v>1.75</v>
      </c>
      <c r="F8" s="22" t="n">
        <v>2.36</v>
      </c>
      <c r="G8" s="22" t="n">
        <v>2.476</v>
      </c>
      <c r="H8" s="22" t="n"/>
      <c r="I8" s="22" t="n">
        <v>6.69</v>
      </c>
      <c r="J8" s="22" t="n">
        <v>6.13</v>
      </c>
      <c r="K8" s="22" t="n">
        <v>6.69</v>
      </c>
      <c r="L8" s="17">
        <f>$J8-$B8</f>
        <v/>
      </c>
      <c r="M8" s="17">
        <f>$I8-$L8</f>
        <v/>
      </c>
      <c r="N8" s="23">
        <f>($G8-$M8)*100</f>
        <v/>
      </c>
      <c r="O8" s="15">
        <f>($E8-$C8)*100</f>
        <v/>
      </c>
      <c r="P8" s="15">
        <f>($G8-$E8)*100</f>
        <v/>
      </c>
      <c r="Q8" s="15">
        <f>($G8-$C8)*100</f>
        <v/>
      </c>
      <c r="R8" s="15">
        <f>IF($H8="","",($H8-$F8)*100)</f>
        <v/>
      </c>
      <c r="S8" s="15">
        <f>IF($H8="","",($H8-$G8)*100)</f>
        <v/>
      </c>
    </row>
    <row r="9">
      <c r="A9" s="11" t="n">
        <v>36546</v>
      </c>
      <c r="B9" s="22" t="n">
        <v>0.2</v>
      </c>
      <c r="C9" s="22" t="n">
        <v>0.41</v>
      </c>
      <c r="D9" s="22" t="n">
        <v>1.032</v>
      </c>
      <c r="E9" s="22" t="n">
        <v>1.722</v>
      </c>
      <c r="F9" s="22" t="n">
        <v>2.346</v>
      </c>
      <c r="G9" s="22" t="n">
        <v>2.461</v>
      </c>
      <c r="H9" s="22" t="n"/>
      <c r="I9" s="22" t="n">
        <v>6.71</v>
      </c>
      <c r="J9" s="22" t="n">
        <v>6.12</v>
      </c>
      <c r="K9" s="22" t="n">
        <v>6.79</v>
      </c>
      <c r="L9" s="17">
        <f>$J9-$B9</f>
        <v/>
      </c>
      <c r="M9" s="17">
        <f>$I9-$L9</f>
        <v/>
      </c>
      <c r="N9" s="23">
        <f>($G9-$M9)*100</f>
        <v/>
      </c>
      <c r="O9" s="15">
        <f>($E9-$C9)*100</f>
        <v/>
      </c>
      <c r="P9" s="15">
        <f>($G9-$E9)*100</f>
        <v/>
      </c>
      <c r="Q9" s="15">
        <f>($G9-$C9)*100</f>
        <v/>
      </c>
      <c r="R9" s="15">
        <f>IF($H9="","",($H9-$F9)*100)</f>
        <v/>
      </c>
      <c r="S9" s="15">
        <f>IF($H9="","",($H9-$G9)*100)</f>
        <v/>
      </c>
    </row>
    <row r="10">
      <c r="A10" s="11" t="n">
        <v>36553</v>
      </c>
      <c r="B10" s="22" t="n">
        <v>0.182</v>
      </c>
      <c r="C10" s="22" t="n">
        <v>0.371</v>
      </c>
      <c r="D10" s="22" t="n">
        <v>0.931</v>
      </c>
      <c r="E10" s="22" t="n">
        <v>1.62</v>
      </c>
      <c r="F10" s="22" t="n">
        <v>2.248</v>
      </c>
      <c r="G10" s="22" t="n">
        <v>2.357</v>
      </c>
      <c r="H10" s="22" t="n"/>
      <c r="I10" s="22" t="n">
        <v>6.45</v>
      </c>
      <c r="J10" s="22" t="n">
        <v>6.25</v>
      </c>
      <c r="K10" s="22" t="n">
        <v>6.66</v>
      </c>
      <c r="L10" s="17">
        <f>$J10-$B10</f>
        <v/>
      </c>
      <c r="M10" s="17">
        <f>$I10-$L10</f>
        <v/>
      </c>
      <c r="N10" s="23">
        <f>($G10-$M10)*100</f>
        <v/>
      </c>
      <c r="O10" s="15">
        <f>($E10-$C10)*100</f>
        <v/>
      </c>
      <c r="P10" s="15">
        <f>($G10-$E10)*100</f>
        <v/>
      </c>
      <c r="Q10" s="15">
        <f>($G10-$C10)*100</f>
        <v/>
      </c>
      <c r="R10" s="15">
        <f>IF($H10="","",($H10-$F10)*100)</f>
        <v/>
      </c>
      <c r="S10" s="15">
        <f>IF($H10="","",($H10-$G10)*100)</f>
        <v/>
      </c>
    </row>
    <row r="11">
      <c r="A11" s="11" t="n">
        <v>36560</v>
      </c>
      <c r="B11" s="22" t="n">
        <v>0.199</v>
      </c>
      <c r="C11" s="22" t="n">
        <v>0.421</v>
      </c>
      <c r="D11" s="22" t="n">
        <v>0.983</v>
      </c>
      <c r="E11" s="22" t="n">
        <v>1.761</v>
      </c>
      <c r="F11" s="22" t="n">
        <v>2.373</v>
      </c>
      <c r="G11" s="22" t="n">
        <v>2.427</v>
      </c>
      <c r="H11" s="22" t="n"/>
      <c r="I11" s="22" t="n">
        <v>6.23</v>
      </c>
      <c r="J11" s="22" t="n">
        <v>6.19</v>
      </c>
      <c r="K11" s="22" t="n">
        <v>6.53</v>
      </c>
      <c r="L11" s="17">
        <f>$J11-$B11</f>
        <v/>
      </c>
      <c r="M11" s="17">
        <f>$I11-$L11</f>
        <v/>
      </c>
      <c r="N11" s="23">
        <f>($G11-$M11)*100</f>
        <v/>
      </c>
      <c r="O11" s="15">
        <f>($E11-$C11)*100</f>
        <v/>
      </c>
      <c r="P11" s="15">
        <f>($G11-$E11)*100</f>
        <v/>
      </c>
      <c r="Q11" s="15">
        <f>($G11-$C11)*100</f>
        <v/>
      </c>
      <c r="R11" s="15">
        <f>IF($H11="","",($H11-$F11)*100)</f>
        <v/>
      </c>
      <c r="S11" s="15">
        <f>IF($H11="","",($H11-$G11)*100)</f>
        <v/>
      </c>
    </row>
    <row r="12">
      <c r="A12" s="11" t="n">
        <v>36567</v>
      </c>
      <c r="B12" s="22" t="n">
        <v>0.198</v>
      </c>
      <c r="C12" s="22" t="n">
        <v>0.433</v>
      </c>
      <c r="D12" s="22" t="n">
        <v>1.069</v>
      </c>
      <c r="E12" s="22" t="n">
        <v>1.81</v>
      </c>
      <c r="F12" s="22" t="n">
        <v>2.417</v>
      </c>
      <c r="G12" s="22" t="n">
        <v>2.458</v>
      </c>
      <c r="H12" s="22" t="n"/>
      <c r="I12" s="22" t="n">
        <v>6.29</v>
      </c>
      <c r="J12" s="22" t="n">
        <v>6.17</v>
      </c>
      <c r="K12" s="22" t="n">
        <v>6.63</v>
      </c>
      <c r="L12" s="17">
        <f>$J12-$B12</f>
        <v/>
      </c>
      <c r="M12" s="17">
        <f>$I12-$L12</f>
        <v/>
      </c>
      <c r="N12" s="23">
        <f>($G12-$M12)*100</f>
        <v/>
      </c>
      <c r="O12" s="15">
        <f>($E12-$C12)*100</f>
        <v/>
      </c>
      <c r="P12" s="15">
        <f>($G12-$E12)*100</f>
        <v/>
      </c>
      <c r="Q12" s="15">
        <f>($G12-$C12)*100</f>
        <v/>
      </c>
      <c r="R12" s="15">
        <f>IF($H12="","",($H12-$F12)*100)</f>
        <v/>
      </c>
      <c r="S12" s="15">
        <f>IF($H12="","",($H12-$G12)*100)</f>
        <v/>
      </c>
    </row>
    <row r="13">
      <c r="A13" s="11" t="n">
        <v>36574</v>
      </c>
      <c r="B13" s="22" t="n">
        <v>0.188</v>
      </c>
      <c r="C13" s="22" t="n">
        <v>0.398</v>
      </c>
      <c r="D13" s="22" t="n">
        <v>1.03</v>
      </c>
      <c r="E13" s="22" t="n">
        <v>1.783</v>
      </c>
      <c r="F13" s="22" t="n">
        <v>2.332</v>
      </c>
      <c r="G13" s="22" t="n">
        <v>2.387</v>
      </c>
      <c r="H13" s="22" t="n"/>
      <c r="I13" s="22" t="n">
        <v>6.16</v>
      </c>
      <c r="J13" s="22" t="n">
        <v>6.26</v>
      </c>
      <c r="K13" s="22" t="n">
        <v>6.49</v>
      </c>
      <c r="L13" s="17">
        <f>$J13-$B13</f>
        <v/>
      </c>
      <c r="M13" s="17">
        <f>$I13-$L13</f>
        <v/>
      </c>
      <c r="N13" s="23">
        <f>($G13-$M13)*100</f>
        <v/>
      </c>
      <c r="O13" s="15">
        <f>($E13-$C13)*100</f>
        <v/>
      </c>
      <c r="P13" s="15">
        <f>($G13-$E13)*100</f>
        <v/>
      </c>
      <c r="Q13" s="15">
        <f>($G13-$C13)*100</f>
        <v/>
      </c>
      <c r="R13" s="15">
        <f>IF($H13="","",($H13-$F13)*100)</f>
        <v/>
      </c>
      <c r="S13" s="15">
        <f>IF($H13="","",($H13-$G13)*100)</f>
        <v/>
      </c>
    </row>
    <row r="14">
      <c r="A14" s="11" t="n">
        <v>36581</v>
      </c>
      <c r="B14" s="22" t="n">
        <v>0.186</v>
      </c>
      <c r="C14" s="22" t="n">
        <v>0.412</v>
      </c>
      <c r="D14" s="22" t="n">
        <v>1.091</v>
      </c>
      <c r="E14" s="22" t="n">
        <v>1.861</v>
      </c>
      <c r="F14" s="22" t="n">
        <v>2.39</v>
      </c>
      <c r="G14" s="22" t="n">
        <v>2.434</v>
      </c>
      <c r="H14" s="22" t="n"/>
      <c r="I14" s="22" t="n">
        <v>6.17</v>
      </c>
      <c r="J14" s="22" t="n">
        <v>6.18</v>
      </c>
      <c r="K14" s="22" t="n">
        <v>6.36</v>
      </c>
      <c r="L14" s="17">
        <f>$J14-$B14</f>
        <v/>
      </c>
      <c r="M14" s="17">
        <f>$I14-$L14</f>
        <v/>
      </c>
      <c r="N14" s="23">
        <f>($G14-$M14)*100</f>
        <v/>
      </c>
      <c r="O14" s="15">
        <f>($E14-$C14)*100</f>
        <v/>
      </c>
      <c r="P14" s="15">
        <f>($G14-$E14)*100</f>
        <v/>
      </c>
      <c r="Q14" s="15">
        <f>($G14-$C14)*100</f>
        <v/>
      </c>
      <c r="R14" s="15">
        <f>IF($H14="","",($H14-$F14)*100)</f>
        <v/>
      </c>
      <c r="S14" s="15">
        <f>IF($H14="","",($H14-$G14)*100)</f>
        <v/>
      </c>
    </row>
    <row r="15">
      <c r="A15" s="11" t="n">
        <v>36588</v>
      </c>
      <c r="B15" s="22" t="n">
        <v>0.205</v>
      </c>
      <c r="C15" s="22" t="n">
        <v>0.425</v>
      </c>
      <c r="D15" s="22" t="n">
        <v>1.068</v>
      </c>
      <c r="E15" s="22" t="n">
        <v>1.781</v>
      </c>
      <c r="F15" s="22" t="n">
        <v>2.264</v>
      </c>
      <c r="G15" s="22" t="n">
        <v>2.321</v>
      </c>
      <c r="H15" s="22" t="n"/>
      <c r="I15" s="22" t="n">
        <v>6.13</v>
      </c>
      <c r="J15" s="22" t="n">
        <v>6.15</v>
      </c>
      <c r="K15" s="22" t="n">
        <v>6.39</v>
      </c>
      <c r="L15" s="17">
        <f>$J15-$B15</f>
        <v/>
      </c>
      <c r="M15" s="17">
        <f>$I15-$L15</f>
        <v/>
      </c>
      <c r="N15" s="23">
        <f>($G15-$M15)*100</f>
        <v/>
      </c>
      <c r="O15" s="15">
        <f>($E15-$C15)*100</f>
        <v/>
      </c>
      <c r="P15" s="15">
        <f>($G15-$E15)*100</f>
        <v/>
      </c>
      <c r="Q15" s="15">
        <f>($G15-$C15)*100</f>
        <v/>
      </c>
      <c r="R15" s="15">
        <f>IF($H15="","",($H15-$F15)*100)</f>
        <v/>
      </c>
      <c r="S15" s="15">
        <f>IF($H15="","",($H15-$G15)*100)</f>
        <v/>
      </c>
    </row>
    <row r="16">
      <c r="A16" s="11" t="n">
        <v>36595</v>
      </c>
      <c r="B16" s="22" t="n">
        <v>0.225</v>
      </c>
      <c r="C16" s="22" t="n">
        <v>0.44</v>
      </c>
      <c r="D16" s="22" t="n">
        <v>1.106</v>
      </c>
      <c r="E16" s="22" t="n">
        <v>1.815</v>
      </c>
      <c r="F16" s="22" t="n">
        <v>2.266</v>
      </c>
      <c r="G16" s="22" t="n">
        <v>2.306</v>
      </c>
      <c r="H16" s="22" t="n"/>
      <c r="I16" s="22" t="n">
        <v>6.19</v>
      </c>
      <c r="J16" s="22" t="n">
        <v>6.21</v>
      </c>
      <c r="K16" s="22" t="n">
        <v>6.39</v>
      </c>
      <c r="L16" s="17">
        <f>$J16-$B16</f>
        <v/>
      </c>
      <c r="M16" s="17">
        <f>$I16-$L16</f>
        <v/>
      </c>
      <c r="N16" s="23">
        <f>($G16-$M16)*100</f>
        <v/>
      </c>
      <c r="O16" s="15">
        <f>($E16-$C16)*100</f>
        <v/>
      </c>
      <c r="P16" s="15">
        <f>($G16-$E16)*100</f>
        <v/>
      </c>
      <c r="Q16" s="15">
        <f>($G16-$C16)*100</f>
        <v/>
      </c>
      <c r="R16" s="15">
        <f>IF($H16="","",($H16-$F16)*100)</f>
        <v/>
      </c>
      <c r="S16" s="15">
        <f>IF($H16="","",($H16-$G16)*100)</f>
        <v/>
      </c>
    </row>
    <row r="17">
      <c r="A17" s="11" t="n">
        <v>36602</v>
      </c>
      <c r="B17" s="22" t="n">
        <v>0.238</v>
      </c>
      <c r="C17" s="22" t="n">
        <v>0.468</v>
      </c>
      <c r="D17" s="22" t="n">
        <v>1.164</v>
      </c>
      <c r="E17" s="22" t="n">
        <v>1.831</v>
      </c>
      <c r="F17" s="22" t="n">
        <v>2.285</v>
      </c>
      <c r="G17" s="22" t="n">
        <v>2.323</v>
      </c>
      <c r="H17" s="22" t="n"/>
      <c r="I17" s="22" t="n">
        <v>6.01</v>
      </c>
      <c r="J17" s="22" t="n">
        <v>6.2</v>
      </c>
      <c r="K17" s="22" t="n">
        <v>6.2</v>
      </c>
      <c r="L17" s="17">
        <f>$J17-$B17</f>
        <v/>
      </c>
      <c r="M17" s="17">
        <f>$I17-$L17</f>
        <v/>
      </c>
      <c r="N17" s="23">
        <f>($G17-$M17)*100</f>
        <v/>
      </c>
      <c r="O17" s="15">
        <f>($E17-$C17)*100</f>
        <v/>
      </c>
      <c r="P17" s="15">
        <f>($G17-$E17)*100</f>
        <v/>
      </c>
      <c r="Q17" s="15">
        <f>($G17-$C17)*100</f>
        <v/>
      </c>
      <c r="R17" s="15">
        <f>IF($H17="","",($H17-$F17)*100)</f>
        <v/>
      </c>
      <c r="S17" s="15">
        <f>IF($H17="","",($H17-$G17)*100)</f>
        <v/>
      </c>
    </row>
    <row r="18">
      <c r="A18" s="11" t="n">
        <v>36609</v>
      </c>
      <c r="B18" s="22" t="n">
        <v>0.241</v>
      </c>
      <c r="C18" s="22" t="n">
        <v>0.473</v>
      </c>
      <c r="D18" s="22" t="n">
        <v>1.178</v>
      </c>
      <c r="E18" s="22" t="n">
        <v>1.862</v>
      </c>
      <c r="F18" s="22" t="n">
        <v>2.308</v>
      </c>
      <c r="G18" s="22" t="n">
        <v>2.34</v>
      </c>
      <c r="H18" s="22" t="n"/>
      <c r="I18" s="22" t="n">
        <v>6</v>
      </c>
      <c r="J18" s="22" t="n">
        <v>6.31</v>
      </c>
      <c r="K18" s="22" t="n">
        <v>6.2</v>
      </c>
      <c r="L18" s="17">
        <f>$J18-$B18</f>
        <v/>
      </c>
      <c r="M18" s="17">
        <f>$I18-$L18</f>
        <v/>
      </c>
      <c r="N18" s="23">
        <f>($G18-$M18)*100</f>
        <v/>
      </c>
      <c r="O18" s="15">
        <f>($E18-$C18)*100</f>
        <v/>
      </c>
      <c r="P18" s="15">
        <f>($G18-$E18)*100</f>
        <v/>
      </c>
      <c r="Q18" s="15">
        <f>($G18-$C18)*100</f>
        <v/>
      </c>
      <c r="R18" s="15">
        <f>IF($H18="","",($H18-$F18)*100)</f>
        <v/>
      </c>
      <c r="S18" s="15">
        <f>IF($H18="","",($H18-$G18)*100)</f>
        <v/>
      </c>
    </row>
    <row r="19">
      <c r="A19" s="11" t="n">
        <v>36616</v>
      </c>
      <c r="B19" s="22" t="n">
        <v>0.256</v>
      </c>
      <c r="C19" s="22" t="n">
        <v>0.493</v>
      </c>
      <c r="D19" s="22" t="n">
        <v>1.128</v>
      </c>
      <c r="E19" s="22" t="n">
        <v>1.776</v>
      </c>
      <c r="F19" s="22" t="n">
        <v>2.199</v>
      </c>
      <c r="G19" s="22" t="n">
        <v>2.25</v>
      </c>
      <c r="H19" s="22" t="n"/>
      <c r="I19" s="22" t="n">
        <v>5.84</v>
      </c>
      <c r="J19" s="22" t="n">
        <v>6.28</v>
      </c>
      <c r="K19" s="22" t="n">
        <v>6.03</v>
      </c>
      <c r="L19" s="17">
        <f>$J19-$B19</f>
        <v/>
      </c>
      <c r="M19" s="17">
        <f>$I19-$L19</f>
        <v/>
      </c>
      <c r="N19" s="23">
        <f>($G19-$M19)*100</f>
        <v/>
      </c>
      <c r="O19" s="15">
        <f>($E19-$C19)*100</f>
        <v/>
      </c>
      <c r="P19" s="15">
        <f>($G19-$E19)*100</f>
        <v/>
      </c>
      <c r="Q19" s="15">
        <f>($G19-$C19)*100</f>
        <v/>
      </c>
      <c r="R19" s="15">
        <f>IF($H19="","",($H19-$F19)*100)</f>
        <v/>
      </c>
      <c r="S19" s="15">
        <f>IF($H19="","",($H19-$G19)*100)</f>
        <v/>
      </c>
    </row>
    <row r="20">
      <c r="A20" s="11" t="n">
        <v>36623</v>
      </c>
      <c r="B20" s="22" t="n">
        <v>0.234</v>
      </c>
      <c r="C20" s="22" t="n">
        <v>0.453</v>
      </c>
      <c r="D20" s="22" t="n">
        <v>1.112</v>
      </c>
      <c r="E20" s="22" t="n">
        <v>1.727</v>
      </c>
      <c r="F20" s="22" t="n">
        <v>2.12</v>
      </c>
      <c r="G20" s="22" t="n">
        <v>2.159</v>
      </c>
      <c r="H20" s="22" t="n"/>
      <c r="I20" s="22" t="n">
        <v>5.71</v>
      </c>
      <c r="J20" s="22" t="n">
        <v>6.17</v>
      </c>
      <c r="K20" s="22" t="n">
        <v>5.86</v>
      </c>
      <c r="L20" s="17">
        <f>$J20-$B20</f>
        <v/>
      </c>
      <c r="M20" s="17">
        <f>$I20-$L20</f>
        <v/>
      </c>
      <c r="N20" s="23">
        <f>($G20-$M20)*100</f>
        <v/>
      </c>
      <c r="O20" s="15">
        <f>($E20-$C20)*100</f>
        <v/>
      </c>
      <c r="P20" s="15">
        <f>($G20-$E20)*100</f>
        <v/>
      </c>
      <c r="Q20" s="15">
        <f>($G20-$C20)*100</f>
        <v/>
      </c>
      <c r="R20" s="15">
        <f>IF($H20="","",($H20-$F20)*100)</f>
        <v/>
      </c>
      <c r="S20" s="15">
        <f>IF($H20="","",($H20-$G20)*100)</f>
        <v/>
      </c>
    </row>
    <row r="21">
      <c r="A21" s="11" t="n">
        <v>36630</v>
      </c>
      <c r="B21" s="22" t="n">
        <v>0.285</v>
      </c>
      <c r="C21" s="22" t="n">
        <v>0.51</v>
      </c>
      <c r="D21" s="22" t="n">
        <v>1.178</v>
      </c>
      <c r="E21" s="22" t="n">
        <v>1.794</v>
      </c>
      <c r="F21" s="22" t="n">
        <v>2.139</v>
      </c>
      <c r="G21" s="22" t="n">
        <v>2.179</v>
      </c>
      <c r="H21" s="22" t="n"/>
      <c r="I21" s="22" t="n">
        <v>5.79</v>
      </c>
      <c r="J21" s="22" t="n">
        <v>6.08</v>
      </c>
      <c r="K21" s="22" t="n">
        <v>5.85</v>
      </c>
      <c r="L21" s="17">
        <f>$J21-$B21</f>
        <v/>
      </c>
      <c r="M21" s="17">
        <f>$I21-$L21</f>
        <v/>
      </c>
      <c r="N21" s="23">
        <f>($G21-$M21)*100</f>
        <v/>
      </c>
      <c r="O21" s="15">
        <f>($E21-$C21)*100</f>
        <v/>
      </c>
      <c r="P21" s="15">
        <f>($G21-$E21)*100</f>
        <v/>
      </c>
      <c r="Q21" s="15">
        <f>($G21-$C21)*100</f>
        <v/>
      </c>
      <c r="R21" s="15">
        <f>IF($H21="","",($H21-$F21)*100)</f>
        <v/>
      </c>
      <c r="S21" s="15">
        <f>IF($H21="","",($H21-$G21)*100)</f>
        <v/>
      </c>
    </row>
    <row r="22">
      <c r="A22" s="11" t="n">
        <v>36637</v>
      </c>
      <c r="B22" s="22" t="n">
        <v>0.26</v>
      </c>
      <c r="C22" s="22" t="n">
        <v>0.469</v>
      </c>
      <c r="D22" s="22" t="n">
        <v>1.129</v>
      </c>
      <c r="E22" s="22" t="n">
        <v>1.748</v>
      </c>
      <c r="F22" s="22" t="n">
        <v>2.11</v>
      </c>
      <c r="G22" s="22" t="n">
        <v>2.154</v>
      </c>
      <c r="H22" s="22" t="n"/>
      <c r="I22" s="22" t="n">
        <v>5.83</v>
      </c>
      <c r="J22" s="22" t="n">
        <v>6.12</v>
      </c>
      <c r="K22" s="22" t="n">
        <v>5.99</v>
      </c>
      <c r="L22" s="17">
        <f>$J22-$B22</f>
        <v/>
      </c>
      <c r="M22" s="17">
        <f>$I22-$L22</f>
        <v/>
      </c>
      <c r="N22" s="23">
        <f>($G22-$M22)*100</f>
        <v/>
      </c>
      <c r="O22" s="15">
        <f>($E22-$C22)*100</f>
        <v/>
      </c>
      <c r="P22" s="15">
        <f>($G22-$E22)*100</f>
        <v/>
      </c>
      <c r="Q22" s="15">
        <f>($G22-$C22)*100</f>
        <v/>
      </c>
      <c r="R22" s="15">
        <f>IF($H22="","",($H22-$F22)*100)</f>
        <v/>
      </c>
      <c r="S22" s="15">
        <f>IF($H22="","",($H22-$G22)*100)</f>
        <v/>
      </c>
    </row>
    <row r="23">
      <c r="A23" s="11" t="n">
        <v>36644</v>
      </c>
      <c r="B23" s="22" t="n">
        <v>0.238</v>
      </c>
      <c r="C23" s="22" t="n">
        <v>0.437</v>
      </c>
      <c r="D23" s="22" t="n">
        <v>1.096</v>
      </c>
      <c r="E23" s="22" t="n">
        <v>1.739</v>
      </c>
      <c r="F23" s="22" t="n">
        <v>2.15</v>
      </c>
      <c r="G23" s="22" t="n">
        <v>2.194</v>
      </c>
      <c r="H23" s="22" t="n"/>
      <c r="I23" s="22" t="n">
        <v>5.97</v>
      </c>
      <c r="J23" s="22" t="n">
        <v>6.24</v>
      </c>
      <c r="K23" s="22" t="n">
        <v>6.23</v>
      </c>
      <c r="L23" s="17">
        <f>$J23-$B23</f>
        <v/>
      </c>
      <c r="M23" s="17">
        <f>$I23-$L23</f>
        <v/>
      </c>
      <c r="N23" s="23">
        <f>($G23-$M23)*100</f>
        <v/>
      </c>
      <c r="O23" s="15">
        <f>($E23-$C23)*100</f>
        <v/>
      </c>
      <c r="P23" s="15">
        <f>($G23-$E23)*100</f>
        <v/>
      </c>
      <c r="Q23" s="15">
        <f>($G23-$C23)*100</f>
        <v/>
      </c>
      <c r="R23" s="15">
        <f>IF($H23="","",($H23-$F23)*100)</f>
        <v/>
      </c>
      <c r="S23" s="15">
        <f>IF($H23="","",($H23-$G23)*100)</f>
        <v/>
      </c>
    </row>
    <row r="24">
      <c r="A24" s="11" t="n">
        <v>36651</v>
      </c>
      <c r="B24" s="22" t="n">
        <v>0.228</v>
      </c>
      <c r="C24" s="22" t="n">
        <v>0.424</v>
      </c>
      <c r="D24" s="22" t="n">
        <v>1.075</v>
      </c>
      <c r="E24" s="22" t="n">
        <v>1.712</v>
      </c>
      <c r="F24" s="22" t="n">
        <v>2.159</v>
      </c>
      <c r="G24" s="22" t="n">
        <v>2.21</v>
      </c>
      <c r="H24" s="22" t="n"/>
      <c r="I24" s="22" t="n">
        <v>6.2</v>
      </c>
      <c r="J24" s="22" t="n">
        <v>6.29</v>
      </c>
      <c r="K24" s="22" t="n">
        <v>6.51</v>
      </c>
      <c r="L24" s="17">
        <f>$J24-$B24</f>
        <v/>
      </c>
      <c r="M24" s="17">
        <f>$I24-$L24</f>
        <v/>
      </c>
      <c r="N24" s="23">
        <f>($G24-$M24)*100</f>
        <v/>
      </c>
      <c r="O24" s="15">
        <f>($E24-$C24)*100</f>
        <v/>
      </c>
      <c r="P24" s="15">
        <f>($G24-$E24)*100</f>
        <v/>
      </c>
      <c r="Q24" s="15">
        <f>($G24-$C24)*100</f>
        <v/>
      </c>
      <c r="R24" s="15">
        <f>IF($H24="","",($H24-$F24)*100)</f>
        <v/>
      </c>
      <c r="S24" s="15">
        <f>IF($H24="","",($H24-$G24)*100)</f>
        <v/>
      </c>
    </row>
    <row r="25">
      <c r="A25" s="11" t="n">
        <v>36658</v>
      </c>
      <c r="B25" s="22" t="n">
        <v>0.208</v>
      </c>
      <c r="C25" s="22" t="n">
        <v>0.39</v>
      </c>
      <c r="D25" s="22" t="n">
        <v>1.069</v>
      </c>
      <c r="E25" s="22" t="n">
        <v>1.689</v>
      </c>
      <c r="F25" s="22" t="n">
        <v>2.12</v>
      </c>
      <c r="G25" s="22" t="n">
        <v>2.187</v>
      </c>
      <c r="H25" s="22" t="n"/>
      <c r="I25" s="22" t="n">
        <v>6.2</v>
      </c>
      <c r="J25" s="22" t="n">
        <v>6.44</v>
      </c>
      <c r="K25" s="22" t="n">
        <v>6.51</v>
      </c>
      <c r="L25" s="17">
        <f>$J25-$B25</f>
        <v/>
      </c>
      <c r="M25" s="17">
        <f>$I25-$L25</f>
        <v/>
      </c>
      <c r="N25" s="23">
        <f>($G25-$M25)*100</f>
        <v/>
      </c>
      <c r="O25" s="15">
        <f>($E25-$C25)*100</f>
        <v/>
      </c>
      <c r="P25" s="15">
        <f>($G25-$E25)*100</f>
        <v/>
      </c>
      <c r="Q25" s="15">
        <f>($G25-$C25)*100</f>
        <v/>
      </c>
      <c r="R25" s="15">
        <f>IF($H25="","",($H25-$F25)*100)</f>
        <v/>
      </c>
      <c r="S25" s="15">
        <f>IF($H25="","",($H25-$G25)*100)</f>
        <v/>
      </c>
    </row>
    <row r="26">
      <c r="A26" s="11" t="n">
        <v>36665</v>
      </c>
      <c r="B26" s="22" t="n">
        <v>0.21</v>
      </c>
      <c r="C26" s="22" t="n">
        <v>0.398</v>
      </c>
      <c r="D26" s="22" t="n">
        <v>1.077</v>
      </c>
      <c r="E26" s="22" t="n">
        <v>1.714</v>
      </c>
      <c r="F26" s="22" t="n">
        <v>2.198</v>
      </c>
      <c r="G26" s="22" t="n">
        <v>2.325</v>
      </c>
      <c r="H26" s="22" t="n"/>
      <c r="I26" s="22" t="n">
        <v>6.22</v>
      </c>
      <c r="J26" s="22" t="n">
        <v>6.32</v>
      </c>
      <c r="K26" s="22" t="n">
        <v>6.51</v>
      </c>
      <c r="L26" s="17">
        <f>$J26-$B26</f>
        <v/>
      </c>
      <c r="M26" s="17">
        <f>$I26-$L26</f>
        <v/>
      </c>
      <c r="N26" s="23">
        <f>($G26-$M26)*100</f>
        <v/>
      </c>
      <c r="O26" s="15">
        <f>($E26-$C26)*100</f>
        <v/>
      </c>
      <c r="P26" s="15">
        <f>($G26-$E26)*100</f>
        <v/>
      </c>
      <c r="Q26" s="15">
        <f>($G26-$C26)*100</f>
        <v/>
      </c>
      <c r="R26" s="15">
        <f>IF($H26="","",($H26-$F26)*100)</f>
        <v/>
      </c>
      <c r="S26" s="15">
        <f>IF($H26="","",($H26-$G26)*100)</f>
        <v/>
      </c>
    </row>
    <row r="27">
      <c r="A27" s="11" t="n">
        <v>36672</v>
      </c>
      <c r="B27" s="22" t="n">
        <v>0.191</v>
      </c>
      <c r="C27" s="22" t="n">
        <v>0.373</v>
      </c>
      <c r="D27" s="22" t="n">
        <v>1.04</v>
      </c>
      <c r="E27" s="22" t="n">
        <v>1.665</v>
      </c>
      <c r="F27" s="22" t="n">
        <v>2.108</v>
      </c>
      <c r="G27" s="22" t="n">
        <v>2.241</v>
      </c>
      <c r="H27" s="22" t="n"/>
      <c r="I27" s="22" t="n">
        <v>6.06</v>
      </c>
      <c r="J27" s="22" t="n">
        <v>6.27</v>
      </c>
      <c r="K27" s="22" t="n">
        <v>6.33</v>
      </c>
      <c r="L27" s="17">
        <f>$J27-$B27</f>
        <v/>
      </c>
      <c r="M27" s="17">
        <f>$I27-$L27</f>
        <v/>
      </c>
      <c r="N27" s="23">
        <f>($G27-$M27)*100</f>
        <v/>
      </c>
      <c r="O27" s="15">
        <f>($E27-$C27)*100</f>
        <v/>
      </c>
      <c r="P27" s="15">
        <f>($G27-$E27)*100</f>
        <v/>
      </c>
      <c r="Q27" s="15">
        <f>($G27-$C27)*100</f>
        <v/>
      </c>
      <c r="R27" s="15">
        <f>IF($H27="","",($H27-$F27)*100)</f>
        <v/>
      </c>
      <c r="S27" s="15">
        <f>IF($H27="","",($H27-$G27)*100)</f>
        <v/>
      </c>
    </row>
    <row r="28">
      <c r="A28" s="11" t="n">
        <v>36679</v>
      </c>
      <c r="B28" s="22" t="n">
        <v>0.224</v>
      </c>
      <c r="C28" s="22" t="n">
        <v>0.439</v>
      </c>
      <c r="D28" s="22" t="n">
        <v>1.08</v>
      </c>
      <c r="E28" s="22" t="n">
        <v>1.668</v>
      </c>
      <c r="F28" s="22" t="n">
        <v>2.073</v>
      </c>
      <c r="G28" s="22" t="n">
        <v>2.206</v>
      </c>
      <c r="H28" s="22" t="n"/>
      <c r="I28" s="22" t="n">
        <v>5.94</v>
      </c>
      <c r="J28" s="22" t="n">
        <v>6.23</v>
      </c>
      <c r="K28" s="22" t="n">
        <v>6.15</v>
      </c>
      <c r="L28" s="17">
        <f>$J28-$B28</f>
        <v/>
      </c>
      <c r="M28" s="17">
        <f>$I28-$L28</f>
        <v/>
      </c>
      <c r="N28" s="23">
        <f>($G28-$M28)*100</f>
        <v/>
      </c>
      <c r="O28" s="15">
        <f>($E28-$C28)*100</f>
        <v/>
      </c>
      <c r="P28" s="15">
        <f>($G28-$E28)*100</f>
        <v/>
      </c>
      <c r="Q28" s="15">
        <f>($G28-$C28)*100</f>
        <v/>
      </c>
      <c r="R28" s="15">
        <f>IF($H28="","",($H28-$F28)*100)</f>
        <v/>
      </c>
      <c r="S28" s="15">
        <f>IF($H28="","",($H28-$G28)*100)</f>
        <v/>
      </c>
    </row>
    <row r="29">
      <c r="A29" s="11" t="n">
        <v>36686</v>
      </c>
      <c r="B29" s="22" t="n">
        <v>0.239</v>
      </c>
      <c r="C29" s="22" t="n">
        <v>0.45</v>
      </c>
      <c r="D29" s="22" t="n">
        <v>1.081</v>
      </c>
      <c r="E29" s="22" t="n">
        <v>1.658</v>
      </c>
      <c r="F29" s="22" t="n">
        <v>2.094</v>
      </c>
      <c r="G29" s="22" t="n">
        <v>2.224</v>
      </c>
      <c r="H29" s="22" t="n"/>
      <c r="I29" s="22" t="n">
        <v>5.89</v>
      </c>
      <c r="J29" s="22" t="n">
        <v>6.23</v>
      </c>
      <c r="K29" s="22" t="n">
        <v>6.13</v>
      </c>
      <c r="L29" s="17">
        <f>$J29-$B29</f>
        <v/>
      </c>
      <c r="M29" s="17">
        <f>$I29-$L29</f>
        <v/>
      </c>
      <c r="N29" s="23">
        <f>($G29-$M29)*100</f>
        <v/>
      </c>
      <c r="O29" s="15">
        <f>($E29-$C29)*100</f>
        <v/>
      </c>
      <c r="P29" s="15">
        <f>($G29-$E29)*100</f>
        <v/>
      </c>
      <c r="Q29" s="15">
        <f>($G29-$C29)*100</f>
        <v/>
      </c>
      <c r="R29" s="15">
        <f>IF($H29="","",($H29-$F29)*100)</f>
        <v/>
      </c>
      <c r="S29" s="15">
        <f>IF($H29="","",($H29-$G29)*100)</f>
        <v/>
      </c>
    </row>
    <row r="30">
      <c r="A30" s="11" t="n">
        <v>36693</v>
      </c>
      <c r="B30" s="22" t="n">
        <v>0.227</v>
      </c>
      <c r="C30" s="22" t="n">
        <v>0.422</v>
      </c>
      <c r="D30" s="22" t="n">
        <v>1.039</v>
      </c>
      <c r="E30" s="22" t="n">
        <v>1.628</v>
      </c>
      <c r="F30" s="22" t="n">
        <v>2.043</v>
      </c>
      <c r="G30" s="22" t="n">
        <v>2.177</v>
      </c>
      <c r="H30" s="22" t="n"/>
      <c r="I30" s="22" t="n">
        <v>5.88</v>
      </c>
      <c r="J30" s="22" t="n">
        <v>6.09</v>
      </c>
      <c r="K30" s="22" t="n">
        <v>5.99</v>
      </c>
      <c r="L30" s="17">
        <f>$J30-$B30</f>
        <v/>
      </c>
      <c r="M30" s="17">
        <f>$I30-$L30</f>
        <v/>
      </c>
      <c r="N30" s="23">
        <f>($G30-$M30)*100</f>
        <v/>
      </c>
      <c r="O30" s="15">
        <f>($E30-$C30)*100</f>
        <v/>
      </c>
      <c r="P30" s="15">
        <f>($G30-$E30)*100</f>
        <v/>
      </c>
      <c r="Q30" s="15">
        <f>($G30-$C30)*100</f>
        <v/>
      </c>
      <c r="R30" s="15">
        <f>IF($H30="","",($H30-$F30)*100)</f>
        <v/>
      </c>
      <c r="S30" s="15">
        <f>IF($H30="","",($H30-$G30)*100)</f>
        <v/>
      </c>
    </row>
    <row r="31">
      <c r="A31" s="11" t="n">
        <v>36700</v>
      </c>
      <c r="B31" s="22" t="n">
        <v>0.274</v>
      </c>
      <c r="C31" s="22" t="n">
        <v>0.482</v>
      </c>
      <c r="D31" s="22" t="n">
        <v>1.102</v>
      </c>
      <c r="E31" s="22" t="n">
        <v>1.652</v>
      </c>
      <c r="F31" s="22" t="n">
        <v>2.089</v>
      </c>
      <c r="G31" s="22" t="n">
        <v>2.221</v>
      </c>
      <c r="H31" s="22" t="n"/>
      <c r="I31" s="22" t="n">
        <v>6.04</v>
      </c>
      <c r="J31" s="22" t="n">
        <v>6.19</v>
      </c>
      <c r="K31" s="22" t="n">
        <v>6.19</v>
      </c>
      <c r="L31" s="17">
        <f>$J31-$B31</f>
        <v/>
      </c>
      <c r="M31" s="17">
        <f>$I31-$L31</f>
        <v/>
      </c>
      <c r="N31" s="23">
        <f>($G31-$M31)*100</f>
        <v/>
      </c>
      <c r="O31" s="15">
        <f>($E31-$C31)*100</f>
        <v/>
      </c>
      <c r="P31" s="15">
        <f>($G31-$E31)*100</f>
        <v/>
      </c>
      <c r="Q31" s="15">
        <f>($G31-$C31)*100</f>
        <v/>
      </c>
      <c r="R31" s="15">
        <f>IF($H31="","",($H31-$F31)*100)</f>
        <v/>
      </c>
      <c r="S31" s="15">
        <f>IF($H31="","",($H31-$G31)*100)</f>
        <v/>
      </c>
    </row>
    <row r="32">
      <c r="A32" s="11" t="n">
        <v>36707</v>
      </c>
      <c r="B32" s="22" t="n">
        <v>0.316</v>
      </c>
      <c r="C32" s="22" t="n">
        <v>0.524</v>
      </c>
      <c r="D32" s="22" t="n">
        <v>1.131</v>
      </c>
      <c r="E32" s="22" t="n">
        <v>1.712</v>
      </c>
      <c r="F32" s="22" t="n">
        <v>2.116</v>
      </c>
      <c r="G32" s="22" t="n">
        <v>2.241</v>
      </c>
      <c r="H32" s="22" t="n"/>
      <c r="I32" s="22" t="n">
        <v>5.9</v>
      </c>
      <c r="J32" s="22" t="n">
        <v>6.08</v>
      </c>
      <c r="K32" s="22" t="n">
        <v>6.03</v>
      </c>
      <c r="L32" s="17">
        <f>$J32-$B32</f>
        <v/>
      </c>
      <c r="M32" s="17">
        <f>$I32-$L32</f>
        <v/>
      </c>
      <c r="N32" s="23">
        <f>($G32-$M32)*100</f>
        <v/>
      </c>
      <c r="O32" s="15">
        <f>($E32-$C32)*100</f>
        <v/>
      </c>
      <c r="P32" s="15">
        <f>($G32-$E32)*100</f>
        <v/>
      </c>
      <c r="Q32" s="15">
        <f>($G32-$C32)*100</f>
        <v/>
      </c>
      <c r="R32" s="15">
        <f>IF($H32="","",($H32-$F32)*100)</f>
        <v/>
      </c>
      <c r="S32" s="15">
        <f>IF($H32="","",($H32-$G32)*100)</f>
        <v/>
      </c>
    </row>
    <row r="33">
      <c r="A33" s="11" t="n">
        <v>36714</v>
      </c>
      <c r="B33" s="22" t="n">
        <v>0.325</v>
      </c>
      <c r="C33" s="22" t="n">
        <v>0.505</v>
      </c>
      <c r="D33" s="22" t="n">
        <v>1.116</v>
      </c>
      <c r="E33" s="22" t="n">
        <v>1.723</v>
      </c>
      <c r="F33" s="22" t="n">
        <v>2.164</v>
      </c>
      <c r="G33" s="22" t="n">
        <v>2.297</v>
      </c>
      <c r="H33" s="22" t="n"/>
      <c r="I33" s="22" t="n">
        <v>5.87</v>
      </c>
      <c r="J33" s="22" t="n">
        <v>6.07</v>
      </c>
      <c r="K33" s="22" t="n">
        <v>6.01</v>
      </c>
      <c r="L33" s="17">
        <f>$J33-$B33</f>
        <v/>
      </c>
      <c r="M33" s="17">
        <f>$I33-$L33</f>
        <v/>
      </c>
      <c r="N33" s="23">
        <f>($G33-$M33)*100</f>
        <v/>
      </c>
      <c r="O33" s="15">
        <f>($E33-$C33)*100</f>
        <v/>
      </c>
      <c r="P33" s="15">
        <f>($G33-$E33)*100</f>
        <v/>
      </c>
      <c r="Q33" s="15">
        <f>($G33-$C33)*100</f>
        <v/>
      </c>
      <c r="R33" s="15">
        <f>IF($H33="","",($H33-$F33)*100)</f>
        <v/>
      </c>
      <c r="S33" s="15">
        <f>IF($H33="","",($H33-$G33)*100)</f>
        <v/>
      </c>
    </row>
    <row r="34">
      <c r="A34" s="11" t="n">
        <v>36721</v>
      </c>
      <c r="B34" s="22" t="n">
        <v>0.326</v>
      </c>
      <c r="C34" s="22" t="n">
        <v>0.486</v>
      </c>
      <c r="D34" s="22" t="n">
        <v>1.072</v>
      </c>
      <c r="E34" s="22" t="n">
        <v>1.685</v>
      </c>
      <c r="F34" s="22" t="n">
        <v>2.165</v>
      </c>
      <c r="G34" s="22" t="n">
        <v>2.302</v>
      </c>
      <c r="H34" s="22" t="n"/>
      <c r="I34" s="22" t="n">
        <v>5.88</v>
      </c>
      <c r="J34" s="22" t="n">
        <v>6.12</v>
      </c>
      <c r="K34" s="22" t="n">
        <v>6.1</v>
      </c>
      <c r="L34" s="17">
        <f>$J34-$B34</f>
        <v/>
      </c>
      <c r="M34" s="17">
        <f>$I34-$L34</f>
        <v/>
      </c>
      <c r="N34" s="23">
        <f>($G34-$M34)*100</f>
        <v/>
      </c>
      <c r="O34" s="15">
        <f>($E34-$C34)*100</f>
        <v/>
      </c>
      <c r="P34" s="15">
        <f>($G34-$E34)*100</f>
        <v/>
      </c>
      <c r="Q34" s="15">
        <f>($G34-$C34)*100</f>
        <v/>
      </c>
      <c r="R34" s="15">
        <f>IF($H34="","",($H34-$F34)*100)</f>
        <v/>
      </c>
      <c r="S34" s="15">
        <f>IF($H34="","",($H34-$G34)*100)</f>
        <v/>
      </c>
    </row>
    <row r="35">
      <c r="A35" s="11" t="n">
        <v>36728</v>
      </c>
      <c r="B35" s="22" t="n">
        <v>0.309</v>
      </c>
      <c r="C35" s="22" t="n">
        <v>0.479</v>
      </c>
      <c r="D35" s="22" t="n">
        <v>1.074</v>
      </c>
      <c r="E35" s="22" t="n">
        <v>1.683</v>
      </c>
      <c r="F35" s="22" t="n">
        <v>2.166</v>
      </c>
      <c r="G35" s="22" t="n">
        <v>2.306</v>
      </c>
      <c r="H35" s="22" t="n"/>
      <c r="I35" s="22" t="n">
        <v>5.79</v>
      </c>
      <c r="J35" s="22" t="n">
        <v>6.07</v>
      </c>
      <c r="K35" s="22" t="n">
        <v>6.01</v>
      </c>
      <c r="L35" s="17">
        <f>$J35-$B35</f>
        <v/>
      </c>
      <c r="M35" s="17">
        <f>$I35-$L35</f>
        <v/>
      </c>
      <c r="N35" s="23">
        <f>($G35-$M35)*100</f>
        <v/>
      </c>
      <c r="O35" s="15">
        <f>($E35-$C35)*100</f>
        <v/>
      </c>
      <c r="P35" s="15">
        <f>($G35-$E35)*100</f>
        <v/>
      </c>
      <c r="Q35" s="15">
        <f>($G35-$C35)*100</f>
        <v/>
      </c>
      <c r="R35" s="15">
        <f>IF($H35="","",($H35-$F35)*100)</f>
        <v/>
      </c>
      <c r="S35" s="15">
        <f>IF($H35="","",($H35-$G35)*100)</f>
        <v/>
      </c>
    </row>
    <row r="36">
      <c r="A36" s="11" t="n">
        <v>36735</v>
      </c>
      <c r="B36" s="22" t="n">
        <v>0.293</v>
      </c>
      <c r="C36" s="22" t="n">
        <v>0.446</v>
      </c>
      <c r="D36" s="22" t="n">
        <v>1.053</v>
      </c>
      <c r="E36" s="22" t="n">
        <v>1.65</v>
      </c>
      <c r="F36" s="22" t="n">
        <v>2.171</v>
      </c>
      <c r="G36" s="22" t="n">
        <v>2.318</v>
      </c>
      <c r="H36" s="22" t="n"/>
      <c r="I36" s="22" t="n">
        <v>5.78</v>
      </c>
      <c r="J36" s="22" t="n">
        <v>6.05</v>
      </c>
      <c r="K36" s="22" t="n">
        <v>6.04</v>
      </c>
      <c r="L36" s="17">
        <f>$J36-$B36</f>
        <v/>
      </c>
      <c r="M36" s="17">
        <f>$I36-$L36</f>
        <v/>
      </c>
      <c r="N36" s="23">
        <f>($G36-$M36)*100</f>
        <v/>
      </c>
      <c r="O36" s="15">
        <f>($E36-$C36)*100</f>
        <v/>
      </c>
      <c r="P36" s="15">
        <f>($G36-$E36)*100</f>
        <v/>
      </c>
      <c r="Q36" s="15">
        <f>($G36-$C36)*100</f>
        <v/>
      </c>
      <c r="R36" s="15">
        <f>IF($H36="","",($H36-$F36)*100)</f>
        <v/>
      </c>
      <c r="S36" s="15">
        <f>IF($H36="","",($H36-$G36)*100)</f>
        <v/>
      </c>
    </row>
    <row r="37">
      <c r="A37" s="11" t="n">
        <v>36742</v>
      </c>
      <c r="B37" s="22" t="n">
        <v>0.296</v>
      </c>
      <c r="C37" s="22" t="n">
        <v>0.457</v>
      </c>
      <c r="D37" s="22" t="n">
        <v>1.046</v>
      </c>
      <c r="E37" s="22" t="n">
        <v>1.652</v>
      </c>
      <c r="F37" s="22" t="n">
        <v>2.132</v>
      </c>
      <c r="G37" s="22" t="n">
        <v>2.278</v>
      </c>
      <c r="H37" s="22" t="n"/>
      <c r="I37" s="22" t="n">
        <v>5.72</v>
      </c>
      <c r="J37" s="22" t="n">
        <v>6.08</v>
      </c>
      <c r="K37" s="22" t="n">
        <v>5.91</v>
      </c>
      <c r="L37" s="17">
        <f>$J37-$B37</f>
        <v/>
      </c>
      <c r="M37" s="17">
        <f>$I37-$L37</f>
        <v/>
      </c>
      <c r="N37" s="23">
        <f>($G37-$M37)*100</f>
        <v/>
      </c>
      <c r="O37" s="15">
        <f>($E37-$C37)*100</f>
        <v/>
      </c>
      <c r="P37" s="15">
        <f>($G37-$E37)*100</f>
        <v/>
      </c>
      <c r="Q37" s="15">
        <f>($G37-$C37)*100</f>
        <v/>
      </c>
      <c r="R37" s="15">
        <f>IF($H37="","",($H37-$F37)*100)</f>
        <v/>
      </c>
      <c r="S37" s="15">
        <f>IF($H37="","",($H37-$G37)*100)</f>
        <v/>
      </c>
    </row>
    <row r="38">
      <c r="A38" s="11" t="n">
        <v>36749</v>
      </c>
      <c r="B38" s="22" t="n">
        <v>0.352</v>
      </c>
      <c r="C38" s="22" t="n">
        <v>0.521</v>
      </c>
      <c r="D38" s="22" t="n">
        <v>1.095</v>
      </c>
      <c r="E38" s="22" t="n">
        <v>1.694</v>
      </c>
      <c r="F38" s="22" t="n">
        <v>2.158</v>
      </c>
      <c r="G38" s="22" t="n">
        <v>2.305</v>
      </c>
      <c r="H38" s="22" t="n"/>
      <c r="I38" s="22" t="n">
        <v>5.72</v>
      </c>
      <c r="J38" s="22" t="n">
        <v>6.24</v>
      </c>
      <c r="K38" s="22" t="n">
        <v>5.79</v>
      </c>
      <c r="L38" s="17">
        <f>$J38-$B38</f>
        <v/>
      </c>
      <c r="M38" s="17">
        <f>$I38-$L38</f>
        <v/>
      </c>
      <c r="N38" s="23">
        <f>($G38-$M38)*100</f>
        <v/>
      </c>
      <c r="O38" s="15">
        <f>($E38-$C38)*100</f>
        <v/>
      </c>
      <c r="P38" s="15">
        <f>($G38-$E38)*100</f>
        <v/>
      </c>
      <c r="Q38" s="15">
        <f>($G38-$C38)*100</f>
        <v/>
      </c>
      <c r="R38" s="15">
        <f>IF($H38="","",($H38-$F38)*100)</f>
        <v/>
      </c>
      <c r="S38" s="15">
        <f>IF($H38="","",($H38-$G38)*100)</f>
        <v/>
      </c>
    </row>
    <row r="39">
      <c r="A39" s="11" t="n">
        <v>36756</v>
      </c>
      <c r="B39" s="22" t="n">
        <v>0.399</v>
      </c>
      <c r="C39" s="22" t="n">
        <v>0.548</v>
      </c>
      <c r="D39" s="22" t="n">
        <v>1.128</v>
      </c>
      <c r="E39" s="22" t="n">
        <v>1.756</v>
      </c>
      <c r="F39" s="22" t="n">
        <v>2.249</v>
      </c>
      <c r="G39" s="22" t="n">
        <v>2.391</v>
      </c>
      <c r="H39" s="22" t="n"/>
      <c r="I39" s="22" t="n">
        <v>5.69</v>
      </c>
      <c r="J39" s="22" t="n">
        <v>6.19</v>
      </c>
      <c r="K39" s="22" t="n">
        <v>5.78</v>
      </c>
      <c r="L39" s="17">
        <f>$J39-$B39</f>
        <v/>
      </c>
      <c r="M39" s="17">
        <f>$I39-$L39</f>
        <v/>
      </c>
      <c r="N39" s="23">
        <f>($G39-$M39)*100</f>
        <v/>
      </c>
      <c r="O39" s="15">
        <f>($E39-$C39)*100</f>
        <v/>
      </c>
      <c r="P39" s="15">
        <f>($G39-$E39)*100</f>
        <v/>
      </c>
      <c r="Q39" s="15">
        <f>($G39-$C39)*100</f>
        <v/>
      </c>
      <c r="R39" s="15">
        <f>IF($H39="","",($H39-$F39)*100)</f>
        <v/>
      </c>
      <c r="S39" s="15">
        <f>IF($H39="","",($H39-$G39)*100)</f>
        <v/>
      </c>
    </row>
    <row r="40">
      <c r="A40" s="11" t="n">
        <v>36763</v>
      </c>
      <c r="B40" s="22" t="n">
        <v>0.445</v>
      </c>
      <c r="C40" s="22" t="n">
        <v>0.613</v>
      </c>
      <c r="D40" s="22" t="n">
        <v>1.236</v>
      </c>
      <c r="E40" s="22" t="n">
        <v>1.849</v>
      </c>
      <c r="F40" s="22" t="n">
        <v>2.329</v>
      </c>
      <c r="G40" s="22" t="n">
        <v>2.48</v>
      </c>
      <c r="H40" s="22" t="n"/>
      <c r="I40" s="22" t="n">
        <v>5.67</v>
      </c>
      <c r="J40" s="22" t="n">
        <v>6.2</v>
      </c>
      <c r="K40" s="22" t="n">
        <v>5.73</v>
      </c>
      <c r="L40" s="17">
        <f>$J40-$B40</f>
        <v/>
      </c>
      <c r="M40" s="17">
        <f>$I40-$L40</f>
        <v/>
      </c>
      <c r="N40" s="23">
        <f>($G40-$M40)*100</f>
        <v/>
      </c>
      <c r="O40" s="15">
        <f>($E40-$C40)*100</f>
        <v/>
      </c>
      <c r="P40" s="15">
        <f>($G40-$E40)*100</f>
        <v/>
      </c>
      <c r="Q40" s="15">
        <f>($G40-$C40)*100</f>
        <v/>
      </c>
      <c r="R40" s="15">
        <f>IF($H40="","",($H40-$F40)*100)</f>
        <v/>
      </c>
      <c r="S40" s="15">
        <f>IF($H40="","",($H40-$G40)*100)</f>
        <v/>
      </c>
    </row>
    <row r="41">
      <c r="A41" s="11" t="n">
        <v>36770</v>
      </c>
      <c r="B41" s="22" t="n">
        <v>0.484</v>
      </c>
      <c r="C41" s="22" t="n">
        <v>0.662</v>
      </c>
      <c r="D41" s="22" t="n">
        <v>1.296</v>
      </c>
      <c r="E41" s="22" t="n">
        <v>1.924</v>
      </c>
      <c r="F41" s="22" t="n">
        <v>2.388</v>
      </c>
      <c r="G41" s="22" t="n">
        <v>2.557</v>
      </c>
      <c r="H41" s="22" t="n"/>
      <c r="I41" s="22" t="n">
        <v>5.67</v>
      </c>
      <c r="J41" s="22" t="n">
        <v>6.18</v>
      </c>
      <c r="K41" s="22" t="n">
        <v>5.68</v>
      </c>
      <c r="L41" s="17">
        <f>$J41-$B41</f>
        <v/>
      </c>
      <c r="M41" s="17">
        <f>$I41-$L41</f>
        <v/>
      </c>
      <c r="N41" s="23">
        <f>($G41-$M41)*100</f>
        <v/>
      </c>
      <c r="O41" s="15">
        <f>($E41-$C41)*100</f>
        <v/>
      </c>
      <c r="P41" s="15">
        <f>($G41-$E41)*100</f>
        <v/>
      </c>
      <c r="Q41" s="15">
        <f>($G41-$C41)*100</f>
        <v/>
      </c>
      <c r="R41" s="15">
        <f>IF($H41="","",($H41-$F41)*100)</f>
        <v/>
      </c>
      <c r="S41" s="15">
        <f>IF($H41="","",($H41-$G41)*100)</f>
        <v/>
      </c>
    </row>
    <row r="42">
      <c r="A42" s="11" t="n">
        <v>36777</v>
      </c>
      <c r="B42" s="22" t="n">
        <v>0.461</v>
      </c>
      <c r="C42" s="22" t="n">
        <v>0.628</v>
      </c>
      <c r="D42" s="22" t="n">
        <v>1.244</v>
      </c>
      <c r="E42" s="22" t="n">
        <v>1.845</v>
      </c>
      <c r="F42" s="22" t="n">
        <v>2.321</v>
      </c>
      <c r="G42" s="22" t="n">
        <v>2.514</v>
      </c>
      <c r="H42" s="22" t="n"/>
      <c r="I42" s="22" t="n">
        <v>5.7</v>
      </c>
      <c r="J42" s="22" t="n">
        <v>6.19</v>
      </c>
      <c r="K42" s="22" t="n">
        <v>5.73</v>
      </c>
      <c r="L42" s="17">
        <f>$J42-$B42</f>
        <v/>
      </c>
      <c r="M42" s="17">
        <f>$I42-$L42</f>
        <v/>
      </c>
      <c r="N42" s="23">
        <f>($G42-$M42)*100</f>
        <v/>
      </c>
      <c r="O42" s="15">
        <f>($E42-$C42)*100</f>
        <v/>
      </c>
      <c r="P42" s="15">
        <f>($G42-$E42)*100</f>
        <v/>
      </c>
      <c r="Q42" s="15">
        <f>($G42-$C42)*100</f>
        <v/>
      </c>
      <c r="R42" s="15">
        <f>IF($H42="","",($H42-$F42)*100)</f>
        <v/>
      </c>
      <c r="S42" s="15">
        <f>IF($H42="","",($H42-$G42)*100)</f>
        <v/>
      </c>
    </row>
    <row r="43">
      <c r="A43" s="11" t="n">
        <v>36784</v>
      </c>
      <c r="B43" s="22" t="n">
        <v>0.463</v>
      </c>
      <c r="C43" s="22" t="n">
        <v>0.623</v>
      </c>
      <c r="D43" s="22" t="n">
        <v>1.249</v>
      </c>
      <c r="E43" s="22" t="n">
        <v>1.876</v>
      </c>
      <c r="F43" s="22" t="n">
        <v>2.383</v>
      </c>
      <c r="G43" s="22" t="n">
        <v>2.575</v>
      </c>
      <c r="H43" s="22" t="n"/>
      <c r="I43" s="22" t="n">
        <v>5.9</v>
      </c>
      <c r="J43" s="22" t="n">
        <v>6.1</v>
      </c>
      <c r="K43" s="22" t="n">
        <v>5.84</v>
      </c>
      <c r="L43" s="17">
        <f>$J43-$B43</f>
        <v/>
      </c>
      <c r="M43" s="17">
        <f>$I43-$L43</f>
        <v/>
      </c>
      <c r="N43" s="23">
        <f>($G43-$M43)*100</f>
        <v/>
      </c>
      <c r="O43" s="15">
        <f>($E43-$C43)*100</f>
        <v/>
      </c>
      <c r="P43" s="15">
        <f>($G43-$E43)*100</f>
        <v/>
      </c>
      <c r="Q43" s="15">
        <f>($G43-$C43)*100</f>
        <v/>
      </c>
      <c r="R43" s="15">
        <f>IF($H43="","",($H43-$F43)*100)</f>
        <v/>
      </c>
      <c r="S43" s="15">
        <f>IF($H43="","",($H43-$G43)*100)</f>
        <v/>
      </c>
    </row>
    <row r="44">
      <c r="A44" s="11" t="n">
        <v>36791</v>
      </c>
      <c r="B44" s="22" t="n">
        <v>0.472</v>
      </c>
      <c r="C44" s="22" t="n">
        <v>0.619</v>
      </c>
      <c r="D44" s="22" t="n">
        <v>1.204</v>
      </c>
      <c r="E44" s="22" t="n">
        <v>1.838</v>
      </c>
      <c r="F44" s="22" t="n">
        <v>2.391</v>
      </c>
      <c r="G44" s="22" t="n">
        <v>2.605</v>
      </c>
      <c r="H44" s="22" t="n"/>
      <c r="I44" s="22" t="n">
        <v>5.92</v>
      </c>
      <c r="J44" s="22" t="n">
        <v>6.08</v>
      </c>
      <c r="K44" s="22" t="n">
        <v>5.85</v>
      </c>
      <c r="L44" s="17">
        <f>$J44-$B44</f>
        <v/>
      </c>
      <c r="M44" s="17">
        <f>$I44-$L44</f>
        <v/>
      </c>
      <c r="N44" s="23">
        <f>($G44-$M44)*100</f>
        <v/>
      </c>
      <c r="O44" s="15">
        <f>($E44-$C44)*100</f>
        <v/>
      </c>
      <c r="P44" s="15">
        <f>($G44-$E44)*100</f>
        <v/>
      </c>
      <c r="Q44" s="15">
        <f>($G44-$C44)*100</f>
        <v/>
      </c>
      <c r="R44" s="15">
        <f>IF($H44="","",($H44-$F44)*100)</f>
        <v/>
      </c>
      <c r="S44" s="15">
        <f>IF($H44="","",($H44-$G44)*100)</f>
        <v/>
      </c>
    </row>
    <row r="45">
      <c r="A45" s="11" t="n">
        <v>36798</v>
      </c>
      <c r="B45" s="22" t="n">
        <v>0.499</v>
      </c>
      <c r="C45" s="22" t="n">
        <v>0.646</v>
      </c>
      <c r="D45" s="22" t="n">
        <v>1.209</v>
      </c>
      <c r="E45" s="22" t="n">
        <v>1.824</v>
      </c>
      <c r="F45" s="22" t="n">
        <v>2.43</v>
      </c>
      <c r="G45" s="22" t="n">
        <v>2.641</v>
      </c>
      <c r="H45" s="22" t="n"/>
      <c r="I45" s="22" t="n">
        <v>5.88</v>
      </c>
      <c r="J45" s="22" t="n">
        <v>6.07</v>
      </c>
      <c r="K45" s="22" t="n">
        <v>5.8</v>
      </c>
      <c r="L45" s="17">
        <f>$J45-$B45</f>
        <v/>
      </c>
      <c r="M45" s="17">
        <f>$I45-$L45</f>
        <v/>
      </c>
      <c r="N45" s="23">
        <f>($G45-$M45)*100</f>
        <v/>
      </c>
      <c r="O45" s="15">
        <f>($E45-$C45)*100</f>
        <v/>
      </c>
      <c r="P45" s="15">
        <f>($G45-$E45)*100</f>
        <v/>
      </c>
      <c r="Q45" s="15">
        <f>($G45-$C45)*100</f>
        <v/>
      </c>
      <c r="R45" s="15">
        <f>IF($H45="","",($H45-$F45)*100)</f>
        <v/>
      </c>
      <c r="S45" s="15">
        <f>IF($H45="","",($H45-$G45)*100)</f>
        <v/>
      </c>
    </row>
    <row r="46">
      <c r="A46" s="11" t="n">
        <v>36805</v>
      </c>
      <c r="B46" s="22" t="n">
        <v>0.482</v>
      </c>
      <c r="C46" s="22" t="n">
        <v>0.618</v>
      </c>
      <c r="D46" s="22" t="n">
        <v>1.177</v>
      </c>
      <c r="E46" s="22" t="n">
        <v>1.799</v>
      </c>
      <c r="F46" s="22" t="n">
        <v>2.421</v>
      </c>
      <c r="G46" s="22" t="n">
        <v>2.655</v>
      </c>
      <c r="H46" s="22" t="n"/>
      <c r="I46" s="22" t="n">
        <v>5.85</v>
      </c>
      <c r="J46" s="22" t="n">
        <v>6.06</v>
      </c>
      <c r="K46" s="22" t="n">
        <v>5.82</v>
      </c>
      <c r="L46" s="17">
        <f>$J46-$B46</f>
        <v/>
      </c>
      <c r="M46" s="17">
        <f>$I46-$L46</f>
        <v/>
      </c>
      <c r="N46" s="23">
        <f>($G46-$M46)*100</f>
        <v/>
      </c>
      <c r="O46" s="15">
        <f>($E46-$C46)*100</f>
        <v/>
      </c>
      <c r="P46" s="15">
        <f>($G46-$E46)*100</f>
        <v/>
      </c>
      <c r="Q46" s="15">
        <f>($G46-$C46)*100</f>
        <v/>
      </c>
      <c r="R46" s="15">
        <f>IF($H46="","",($H46-$F46)*100)</f>
        <v/>
      </c>
      <c r="S46" s="15">
        <f>IF($H46="","",($H46-$G46)*100)</f>
        <v/>
      </c>
    </row>
    <row r="47">
      <c r="A47" s="11" t="n">
        <v>36812</v>
      </c>
      <c r="B47" s="22" t="n">
        <v>0.463</v>
      </c>
      <c r="C47" s="22" t="n">
        <v>0.586</v>
      </c>
      <c r="D47" s="22" t="n">
        <v>1.151</v>
      </c>
      <c r="E47" s="22" t="n">
        <v>1.835</v>
      </c>
      <c r="F47" s="22" t="n">
        <v>2.531</v>
      </c>
      <c r="G47" s="22" t="n">
        <v>2.793</v>
      </c>
      <c r="H47" s="22" t="n"/>
      <c r="I47" s="22" t="n">
        <v>5.8</v>
      </c>
      <c r="J47" s="22" t="n">
        <v>5.93</v>
      </c>
      <c r="K47" s="22" t="n">
        <v>5.73</v>
      </c>
      <c r="L47" s="17">
        <f>$J47-$B47</f>
        <v/>
      </c>
      <c r="M47" s="17">
        <f>$I47-$L47</f>
        <v/>
      </c>
      <c r="N47" s="23">
        <f>($G47-$M47)*100</f>
        <v/>
      </c>
      <c r="O47" s="15">
        <f>($E47-$C47)*100</f>
        <v/>
      </c>
      <c r="P47" s="15">
        <f>($G47-$E47)*100</f>
        <v/>
      </c>
      <c r="Q47" s="15">
        <f>($G47-$C47)*100</f>
        <v/>
      </c>
      <c r="R47" s="15">
        <f>IF($H47="","",($H47-$F47)*100)</f>
        <v/>
      </c>
      <c r="S47" s="15">
        <f>IF($H47="","",($H47-$G47)*100)</f>
        <v/>
      </c>
    </row>
    <row r="48">
      <c r="A48" s="11" t="n">
        <v>36819</v>
      </c>
      <c r="B48" s="22" t="n">
        <v>0.459</v>
      </c>
      <c r="C48" s="22" t="n">
        <v>0.579</v>
      </c>
      <c r="D48" s="22" t="n">
        <v>1.139</v>
      </c>
      <c r="E48" s="22" t="n">
        <v>1.829</v>
      </c>
      <c r="F48" s="22" t="n">
        <v>2.531</v>
      </c>
      <c r="G48" s="22" t="n">
        <v>2.832</v>
      </c>
      <c r="H48" s="22" t="n"/>
      <c r="I48" s="22" t="n">
        <v>5.73</v>
      </c>
      <c r="J48" s="22" t="n">
        <v>5.94</v>
      </c>
      <c r="K48" s="22" t="n">
        <v>5.64</v>
      </c>
      <c r="L48" s="17">
        <f>$J48-$B48</f>
        <v/>
      </c>
      <c r="M48" s="17">
        <f>$I48-$L48</f>
        <v/>
      </c>
      <c r="N48" s="23">
        <f>($G48-$M48)*100</f>
        <v/>
      </c>
      <c r="O48" s="15">
        <f>($E48-$C48)*100</f>
        <v/>
      </c>
      <c r="P48" s="15">
        <f>($G48-$E48)*100</f>
        <v/>
      </c>
      <c r="Q48" s="15">
        <f>($G48-$C48)*100</f>
        <v/>
      </c>
      <c r="R48" s="15">
        <f>IF($H48="","",($H48-$F48)*100)</f>
        <v/>
      </c>
      <c r="S48" s="15">
        <f>IF($H48="","",($H48-$G48)*100)</f>
        <v/>
      </c>
    </row>
    <row r="49">
      <c r="A49" s="11" t="n">
        <v>36826</v>
      </c>
      <c r="B49" s="22" t="n">
        <v>0.454</v>
      </c>
      <c r="C49" s="22" t="n">
        <v>0.575</v>
      </c>
      <c r="D49" s="22" t="n">
        <v>1.146</v>
      </c>
      <c r="E49" s="22" t="n">
        <v>1.829</v>
      </c>
      <c r="F49" s="22" t="n">
        <v>2.501</v>
      </c>
      <c r="G49" s="22" t="n">
        <v>2.868</v>
      </c>
      <c r="H49" s="22" t="n"/>
      <c r="I49" s="22" t="n">
        <v>5.74</v>
      </c>
      <c r="J49" s="22" t="n">
        <v>6.11</v>
      </c>
      <c r="K49" s="22" t="n">
        <v>5.72</v>
      </c>
      <c r="L49" s="17">
        <f>$J49-$B49</f>
        <v/>
      </c>
      <c r="M49" s="17">
        <f>$I49-$L49</f>
        <v/>
      </c>
      <c r="N49" s="23">
        <f>($G49-$M49)*100</f>
        <v/>
      </c>
      <c r="O49" s="15">
        <f>($E49-$C49)*100</f>
        <v/>
      </c>
      <c r="P49" s="15">
        <f>($G49-$E49)*100</f>
        <v/>
      </c>
      <c r="Q49" s="15">
        <f>($G49-$C49)*100</f>
        <v/>
      </c>
      <c r="R49" s="15">
        <f>IF($H49="","",($H49-$F49)*100)</f>
        <v/>
      </c>
      <c r="S49" s="15">
        <f>IF($H49="","",($H49-$G49)*100)</f>
        <v/>
      </c>
    </row>
    <row r="50">
      <c r="A50" s="11" t="n">
        <v>36833</v>
      </c>
      <c r="B50" s="22" t="n">
        <v>0.448</v>
      </c>
      <c r="C50" s="22" t="n">
        <v>0.5639999999999999</v>
      </c>
      <c r="D50" s="22" t="n">
        <v>1.123</v>
      </c>
      <c r="E50" s="22" t="n">
        <v>1.81</v>
      </c>
      <c r="F50" s="22" t="n">
        <v>2.486</v>
      </c>
      <c r="G50" s="22" t="n">
        <v>2.886</v>
      </c>
      <c r="H50" s="22" t="n"/>
      <c r="I50" s="22" t="n">
        <v>5.86</v>
      </c>
      <c r="J50" s="22" t="n">
        <v>6.13</v>
      </c>
      <c r="K50" s="22" t="n">
        <v>5.83</v>
      </c>
      <c r="L50" s="17">
        <f>$J50-$B50</f>
        <v/>
      </c>
      <c r="M50" s="17">
        <f>$I50-$L50</f>
        <v/>
      </c>
      <c r="N50" s="23">
        <f>($G50-$M50)*100</f>
        <v/>
      </c>
      <c r="O50" s="15">
        <f>($E50-$C50)*100</f>
        <v/>
      </c>
      <c r="P50" s="15">
        <f>($G50-$E50)*100</f>
        <v/>
      </c>
      <c r="Q50" s="15">
        <f>($G50-$C50)*100</f>
        <v/>
      </c>
      <c r="R50" s="15">
        <f>IF($H50="","",($H50-$F50)*100)</f>
        <v/>
      </c>
      <c r="S50" s="15">
        <f>IF($H50="","",($H50-$G50)*100)</f>
        <v/>
      </c>
    </row>
    <row r="51">
      <c r="A51" s="11" t="n">
        <v>36840</v>
      </c>
      <c r="B51" s="22" t="n">
        <v>0.453</v>
      </c>
      <c r="C51" s="22" t="n">
        <v>0.582</v>
      </c>
      <c r="D51" s="22" t="n">
        <v>1.141</v>
      </c>
      <c r="E51" s="22" t="n">
        <v>1.803</v>
      </c>
      <c r="F51" s="22" t="n">
        <v>2.464</v>
      </c>
      <c r="G51" s="22" t="n">
        <v>2.848</v>
      </c>
      <c r="H51" s="22" t="n"/>
      <c r="I51" s="22" t="n">
        <v>5.88</v>
      </c>
      <c r="J51" s="22" t="n">
        <v>6.11</v>
      </c>
      <c r="K51" s="22" t="n">
        <v>5.82</v>
      </c>
      <c r="L51" s="17">
        <f>$J51-$B51</f>
        <v/>
      </c>
      <c r="M51" s="17">
        <f>$I51-$L51</f>
        <v/>
      </c>
      <c r="N51" s="23">
        <f>($G51-$M51)*100</f>
        <v/>
      </c>
      <c r="O51" s="15">
        <f>($E51-$C51)*100</f>
        <v/>
      </c>
      <c r="P51" s="15">
        <f>($G51-$E51)*100</f>
        <v/>
      </c>
      <c r="Q51" s="15">
        <f>($G51-$C51)*100</f>
        <v/>
      </c>
      <c r="R51" s="15">
        <f>IF($H51="","",($H51-$F51)*100)</f>
        <v/>
      </c>
      <c r="S51" s="15">
        <f>IF($H51="","",($H51-$G51)*100)</f>
        <v/>
      </c>
    </row>
    <row r="52">
      <c r="A52" s="11" t="n">
        <v>36847</v>
      </c>
      <c r="B52" s="22" t="n">
        <v>0.447</v>
      </c>
      <c r="C52" s="22" t="n">
        <v>0.5620000000000001</v>
      </c>
      <c r="D52" s="22" t="n">
        <v>1.102</v>
      </c>
      <c r="E52" s="22" t="n">
        <v>1.766</v>
      </c>
      <c r="F52" s="22" t="n">
        <v>2.383</v>
      </c>
      <c r="G52" s="22" t="n">
        <v>2.736</v>
      </c>
      <c r="H52" s="22" t="n"/>
      <c r="I52" s="22" t="n">
        <v>5.78</v>
      </c>
      <c r="J52" s="22" t="n">
        <v>6.09</v>
      </c>
      <c r="K52" s="22" t="n">
        <v>5.71</v>
      </c>
      <c r="L52" s="17">
        <f>$J52-$B52</f>
        <v/>
      </c>
      <c r="M52" s="17">
        <f>$I52-$L52</f>
        <v/>
      </c>
      <c r="N52" s="23">
        <f>($G52-$M52)*100</f>
        <v/>
      </c>
      <c r="O52" s="15">
        <f>($E52-$C52)*100</f>
        <v/>
      </c>
      <c r="P52" s="15">
        <f>($G52-$E52)*100</f>
        <v/>
      </c>
      <c r="Q52" s="15">
        <f>($G52-$C52)*100</f>
        <v/>
      </c>
      <c r="R52" s="15">
        <f>IF($H52="","",($H52-$F52)*100)</f>
        <v/>
      </c>
      <c r="S52" s="15">
        <f>IF($H52="","",($H52-$G52)*100)</f>
        <v/>
      </c>
    </row>
    <row r="53">
      <c r="A53" s="11" t="n">
        <v>36854</v>
      </c>
      <c r="B53" s="22" t="n">
        <v>0.444</v>
      </c>
      <c r="C53" s="22" t="n">
        <v>0.555</v>
      </c>
      <c r="D53" s="22" t="n">
        <v>1.071</v>
      </c>
      <c r="E53" s="22" t="n">
        <v>1.664</v>
      </c>
      <c r="F53" s="22" t="n">
        <v>2.225</v>
      </c>
      <c r="G53" s="22" t="n">
        <v>2.569</v>
      </c>
      <c r="H53" s="22" t="n"/>
      <c r="I53" s="22" t="n">
        <v>5.67</v>
      </c>
      <c r="J53" s="22" t="n">
        <v>6.12</v>
      </c>
      <c r="K53" s="22" t="n">
        <v>5.63</v>
      </c>
      <c r="L53" s="17">
        <f>$J53-$B53</f>
        <v/>
      </c>
      <c r="M53" s="17">
        <f>$I53-$L53</f>
        <v/>
      </c>
      <c r="N53" s="23">
        <f>($G53-$M53)*100</f>
        <v/>
      </c>
      <c r="O53" s="15">
        <f>($E53-$C53)*100</f>
        <v/>
      </c>
      <c r="P53" s="15">
        <f>($G53-$E53)*100</f>
        <v/>
      </c>
      <c r="Q53" s="15">
        <f>($G53-$C53)*100</f>
        <v/>
      </c>
      <c r="R53" s="15">
        <f>IF($H53="","",($H53-$F53)*100)</f>
        <v/>
      </c>
      <c r="S53" s="15">
        <f>IF($H53="","",($H53-$G53)*100)</f>
        <v/>
      </c>
    </row>
    <row r="54">
      <c r="A54" s="11" t="n">
        <v>36861</v>
      </c>
      <c r="B54" s="22" t="n">
        <v>0.461</v>
      </c>
      <c r="C54" s="22" t="n">
        <v>0.555</v>
      </c>
      <c r="D54" s="22" t="n">
        <v>0.996</v>
      </c>
      <c r="E54" s="22" t="n">
        <v>1.622</v>
      </c>
      <c r="F54" s="22" t="n">
        <v>2.16</v>
      </c>
      <c r="G54" s="22" t="n">
        <v>2.548</v>
      </c>
      <c r="H54" s="22" t="n"/>
      <c r="I54" s="22" t="n">
        <v>5.64</v>
      </c>
      <c r="J54" s="22" t="n">
        <v>5.93</v>
      </c>
      <c r="K54" s="22" t="n">
        <v>5.52</v>
      </c>
      <c r="L54" s="17">
        <f>$J54-$B54</f>
        <v/>
      </c>
      <c r="M54" s="17">
        <f>$I54-$L54</f>
        <v/>
      </c>
      <c r="N54" s="23">
        <f>($G54-$M54)*100</f>
        <v/>
      </c>
      <c r="O54" s="15">
        <f>($E54-$C54)*100</f>
        <v/>
      </c>
      <c r="P54" s="15">
        <f>($G54-$E54)*100</f>
        <v/>
      </c>
      <c r="Q54" s="15">
        <f>($G54-$C54)*100</f>
        <v/>
      </c>
      <c r="R54" s="15">
        <f>IF($H54="","",($H54-$F54)*100)</f>
        <v/>
      </c>
      <c r="S54" s="15">
        <f>IF($H54="","",($H54-$G54)*100)</f>
        <v/>
      </c>
    </row>
    <row r="55">
      <c r="A55" s="11" t="n">
        <v>36868</v>
      </c>
      <c r="B55" s="22" t="n">
        <v>0.481</v>
      </c>
      <c r="C55" s="22" t="n">
        <v>0.5629999999999999</v>
      </c>
      <c r="D55" s="22" t="n">
        <v>0.974</v>
      </c>
      <c r="E55" s="22" t="n">
        <v>1.589</v>
      </c>
      <c r="F55" s="22" t="n">
        <v>2.22</v>
      </c>
      <c r="G55" s="22" t="n">
        <v>2.614</v>
      </c>
      <c r="H55" s="22" t="n"/>
      <c r="I55" s="22" t="n">
        <v>5.55</v>
      </c>
      <c r="J55" s="22" t="n">
        <v>5.77</v>
      </c>
      <c r="K55" s="22" t="n">
        <v>5.35</v>
      </c>
      <c r="L55" s="17">
        <f>$J55-$B55</f>
        <v/>
      </c>
      <c r="M55" s="17">
        <f>$I55-$L55</f>
        <v/>
      </c>
      <c r="N55" s="23">
        <f>($G55-$M55)*100</f>
        <v/>
      </c>
      <c r="O55" s="15">
        <f>($E55-$C55)*100</f>
        <v/>
      </c>
      <c r="P55" s="15">
        <f>($G55-$E55)*100</f>
        <v/>
      </c>
      <c r="Q55" s="15">
        <f>($G55-$C55)*100</f>
        <v/>
      </c>
      <c r="R55" s="15">
        <f>IF($H55="","",($H55-$F55)*100)</f>
        <v/>
      </c>
      <c r="S55" s="15">
        <f>IF($H55="","",($H55-$G55)*100)</f>
        <v/>
      </c>
    </row>
    <row r="56">
      <c r="A56" s="11" t="n">
        <v>36875</v>
      </c>
      <c r="B56" s="22" t="n">
        <v>0.488</v>
      </c>
      <c r="C56" s="22" t="n">
        <v>0.555</v>
      </c>
      <c r="D56" s="22" t="n">
        <v>1.038</v>
      </c>
      <c r="E56" s="22" t="n">
        <v>1.655</v>
      </c>
      <c r="F56" s="22" t="n">
        <v>2.207</v>
      </c>
      <c r="G56" s="22" t="n">
        <v>2.611</v>
      </c>
      <c r="H56" s="22" t="n"/>
      <c r="I56" s="22" t="n">
        <v>5.44</v>
      </c>
      <c r="J56" s="22" t="n">
        <v>5.65</v>
      </c>
      <c r="K56" s="22" t="n">
        <v>5.2</v>
      </c>
      <c r="L56" s="17">
        <f>$J56-$B56</f>
        <v/>
      </c>
      <c r="M56" s="17">
        <f>$I56-$L56</f>
        <v/>
      </c>
      <c r="N56" s="23">
        <f>($G56-$M56)*100</f>
        <v/>
      </c>
      <c r="O56" s="15">
        <f>($E56-$C56)*100</f>
        <v/>
      </c>
      <c r="P56" s="15">
        <f>($G56-$E56)*100</f>
        <v/>
      </c>
      <c r="Q56" s="15">
        <f>($G56-$C56)*100</f>
        <v/>
      </c>
      <c r="R56" s="15">
        <f>IF($H56="","",($H56-$F56)*100)</f>
        <v/>
      </c>
      <c r="S56" s="15">
        <f>IF($H56="","",($H56-$G56)*100)</f>
        <v/>
      </c>
    </row>
    <row r="57">
      <c r="A57" s="11" t="n">
        <v>36882</v>
      </c>
      <c r="B57" s="22" t="n">
        <v>0.47</v>
      </c>
      <c r="C57" s="22" t="n">
        <v>0.517</v>
      </c>
      <c r="D57" s="22" t="n">
        <v>0.955</v>
      </c>
      <c r="E57" s="22" t="n">
        <v>1.582</v>
      </c>
      <c r="F57" s="22" t="n">
        <v>2.189</v>
      </c>
      <c r="G57" s="22" t="n">
        <v>2.595</v>
      </c>
      <c r="H57" s="22" t="n"/>
      <c r="I57" s="22" t="n">
        <v>5.4</v>
      </c>
      <c r="J57" s="22" t="n">
        <v>5.25</v>
      </c>
      <c r="K57" s="22" t="n">
        <v>5.02</v>
      </c>
      <c r="L57" s="17">
        <f>$J57-$B57</f>
        <v/>
      </c>
      <c r="M57" s="17">
        <f>$I57-$L57</f>
        <v/>
      </c>
      <c r="N57" s="23">
        <f>($G57-$M57)*100</f>
        <v/>
      </c>
      <c r="O57" s="15">
        <f>($E57-$C57)*100</f>
        <v/>
      </c>
      <c r="P57" s="15">
        <f>($G57-$E57)*100</f>
        <v/>
      </c>
      <c r="Q57" s="15">
        <f>($G57-$C57)*100</f>
        <v/>
      </c>
      <c r="R57" s="15">
        <f>IF($H57="","",($H57-$F57)*100)</f>
        <v/>
      </c>
      <c r="S57" s="15">
        <f>IF($H57="","",($H57-$G57)*100)</f>
        <v/>
      </c>
    </row>
    <row r="58">
      <c r="A58" s="11" t="n">
        <v>36889</v>
      </c>
      <c r="B58" s="22" t="n">
        <v>0.47</v>
      </c>
      <c r="C58" s="22" t="n">
        <v>0.515</v>
      </c>
      <c r="D58" s="22" t="n">
        <v>0.998</v>
      </c>
      <c r="E58" s="22" t="n">
        <v>1.65</v>
      </c>
      <c r="F58" s="22" t="n">
        <v>2.217</v>
      </c>
      <c r="G58" s="22" t="n">
        <v>2.622</v>
      </c>
      <c r="H58" s="22" t="n"/>
      <c r="I58" s="22" t="n">
        <v>5.46</v>
      </c>
      <c r="J58" s="22" t="n">
        <v>5.32</v>
      </c>
      <c r="K58" s="22" t="n">
        <v>5.12</v>
      </c>
      <c r="L58" s="17">
        <f>$J58-$B58</f>
        <v/>
      </c>
      <c r="M58" s="17">
        <f>$I58-$L58</f>
        <v/>
      </c>
      <c r="N58" s="23">
        <f>($G58-$M58)*100</f>
        <v/>
      </c>
      <c r="O58" s="15">
        <f>($E58-$C58)*100</f>
        <v/>
      </c>
      <c r="P58" s="15">
        <f>($G58-$E58)*100</f>
        <v/>
      </c>
      <c r="Q58" s="15">
        <f>($G58-$C58)*100</f>
        <v/>
      </c>
      <c r="R58" s="15">
        <f>IF($H58="","",($H58-$F58)*100)</f>
        <v/>
      </c>
      <c r="S58" s="15">
        <f>IF($H58="","",($H58-$G58)*100)</f>
        <v/>
      </c>
    </row>
    <row r="59">
      <c r="A59" s="11" t="n">
        <v>36896</v>
      </c>
      <c r="B59" s="22" t="n">
        <v>0.426</v>
      </c>
      <c r="C59" s="22" t="n">
        <v>0.454</v>
      </c>
      <c r="D59" s="22" t="n">
        <v>0.9379999999999999</v>
      </c>
      <c r="E59" s="22" t="n">
        <v>1.63</v>
      </c>
      <c r="F59" s="22" t="n">
        <v>2.196</v>
      </c>
      <c r="G59" s="22" t="n">
        <v>2.605</v>
      </c>
      <c r="H59" s="22" t="n"/>
      <c r="I59" s="22" t="n">
        <v>5.41</v>
      </c>
      <c r="J59" s="22" t="n">
        <v>4.6</v>
      </c>
      <c r="K59" s="22" t="n">
        <v>4.93</v>
      </c>
      <c r="L59" s="17">
        <f>$J59-$B59</f>
        <v/>
      </c>
      <c r="M59" s="17">
        <f>$I59-$L59</f>
        <v/>
      </c>
      <c r="N59" s="23">
        <f>($G59-$M59)*100</f>
        <v/>
      </c>
      <c r="O59" s="15">
        <f>($E59-$C59)*100</f>
        <v/>
      </c>
      <c r="P59" s="15">
        <f>($G59-$E59)*100</f>
        <v/>
      </c>
      <c r="Q59" s="15">
        <f>($G59-$C59)*100</f>
        <v/>
      </c>
      <c r="R59" s="15">
        <f>IF($H59="","",($H59-$F59)*100)</f>
        <v/>
      </c>
      <c r="S59" s="15">
        <f>IF($H59="","",($H59-$G59)*100)</f>
        <v/>
      </c>
    </row>
    <row r="60">
      <c r="A60" s="11" t="n">
        <v>36903</v>
      </c>
      <c r="B60" s="22" t="n">
        <v>0.397</v>
      </c>
      <c r="C60" s="22" t="n">
        <v>0.443</v>
      </c>
      <c r="D60" s="22" t="n">
        <v>0.885</v>
      </c>
      <c r="E60" s="22" t="n">
        <v>1.48</v>
      </c>
      <c r="F60" s="22" t="n">
        <v>2.074</v>
      </c>
      <c r="G60" s="22" t="n">
        <v>2.492</v>
      </c>
      <c r="H60" s="22" t="n"/>
      <c r="I60" s="22" t="n">
        <v>5.63</v>
      </c>
      <c r="J60" s="22" t="n">
        <v>4.96</v>
      </c>
      <c r="K60" s="22" t="n">
        <v>5.25</v>
      </c>
      <c r="L60" s="17">
        <f>$J60-$B60</f>
        <v/>
      </c>
      <c r="M60" s="17">
        <f>$I60-$L60</f>
        <v/>
      </c>
      <c r="N60" s="23">
        <f>($G60-$M60)*100</f>
        <v/>
      </c>
      <c r="O60" s="15">
        <f>($E60-$C60)*100</f>
        <v/>
      </c>
      <c r="P60" s="15">
        <f>($G60-$E60)*100</f>
        <v/>
      </c>
      <c r="Q60" s="15">
        <f>($G60-$C60)*100</f>
        <v/>
      </c>
      <c r="R60" s="15">
        <f>IF($H60="","",($H60-$F60)*100)</f>
        <v/>
      </c>
      <c r="S60" s="15">
        <f>IF($H60="","",($H60-$G60)*100)</f>
        <v/>
      </c>
    </row>
    <row r="61">
      <c r="A61" s="11" t="n">
        <v>36910</v>
      </c>
      <c r="B61" s="22" t="n">
        <v>0.378</v>
      </c>
      <c r="C61" s="22" t="n">
        <v>0.416</v>
      </c>
      <c r="D61" s="22" t="n">
        <v>0.862</v>
      </c>
      <c r="E61" s="22" t="n">
        <v>1.484</v>
      </c>
      <c r="F61" s="22" t="n">
        <v>2.06</v>
      </c>
      <c r="G61" s="22" t="n">
        <v>2.475</v>
      </c>
      <c r="H61" s="22" t="n"/>
      <c r="I61" s="22" t="n">
        <v>5.56</v>
      </c>
      <c r="J61" s="22" t="n">
        <v>4.79</v>
      </c>
      <c r="K61" s="22" t="n">
        <v>5.19</v>
      </c>
      <c r="L61" s="17">
        <f>$J61-$B61</f>
        <v/>
      </c>
      <c r="M61" s="17">
        <f>$I61-$L61</f>
        <v/>
      </c>
      <c r="N61" s="23">
        <f>($G61-$M61)*100</f>
        <v/>
      </c>
      <c r="O61" s="15">
        <f>($E61-$C61)*100</f>
        <v/>
      </c>
      <c r="P61" s="15">
        <f>($G61-$E61)*100</f>
        <v/>
      </c>
      <c r="Q61" s="15">
        <f>($G61-$C61)*100</f>
        <v/>
      </c>
      <c r="R61" s="15">
        <f>IF($H61="","",($H61-$F61)*100)</f>
        <v/>
      </c>
      <c r="S61" s="15">
        <f>IF($H61="","",($H61-$G61)*100)</f>
        <v/>
      </c>
    </row>
    <row r="62">
      <c r="A62" s="11" t="n">
        <v>36917</v>
      </c>
      <c r="B62" s="22" t="n">
        <v>0.35</v>
      </c>
      <c r="C62" s="22" t="n">
        <v>0.371</v>
      </c>
      <c r="D62" s="22" t="n">
        <v>0.774</v>
      </c>
      <c r="E62" s="22" t="n">
        <v>1.414</v>
      </c>
      <c r="F62" s="22" t="n">
        <v>1.95</v>
      </c>
      <c r="G62" s="22" t="n">
        <v>2.346</v>
      </c>
      <c r="H62" s="22" t="n"/>
      <c r="I62" s="22" t="n">
        <v>5.64</v>
      </c>
      <c r="J62" s="22" t="n">
        <v>4.8</v>
      </c>
      <c r="K62" s="22" t="n">
        <v>5.29</v>
      </c>
      <c r="L62" s="17">
        <f>$J62-$B62</f>
        <v/>
      </c>
      <c r="M62" s="17">
        <f>$I62-$L62</f>
        <v/>
      </c>
      <c r="N62" s="23">
        <f>($G62-$M62)*100</f>
        <v/>
      </c>
      <c r="O62" s="15">
        <f>($E62-$C62)*100</f>
        <v/>
      </c>
      <c r="P62" s="15">
        <f>($G62-$E62)*100</f>
        <v/>
      </c>
      <c r="Q62" s="15">
        <f>($G62-$C62)*100</f>
        <v/>
      </c>
      <c r="R62" s="15">
        <f>IF($H62="","",($H62-$F62)*100)</f>
        <v/>
      </c>
      <c r="S62" s="15">
        <f>IF($H62="","",($H62-$G62)*100)</f>
        <v/>
      </c>
    </row>
    <row r="63">
      <c r="A63" s="11" t="n">
        <v>36924</v>
      </c>
      <c r="B63" s="22" t="n">
        <v>0.379</v>
      </c>
      <c r="C63" s="22" t="n">
        <v>0.417</v>
      </c>
      <c r="D63" s="22" t="n">
        <v>0.877</v>
      </c>
      <c r="E63" s="22" t="n">
        <v>1.494</v>
      </c>
      <c r="F63" s="22" t="n">
        <v>2.017</v>
      </c>
      <c r="G63" s="22" t="n">
        <v>2.372</v>
      </c>
      <c r="H63" s="22" t="n"/>
      <c r="I63" s="22" t="n">
        <v>5.51</v>
      </c>
      <c r="J63" s="22" t="n">
        <v>4.67</v>
      </c>
      <c r="K63" s="22" t="n">
        <v>5.17</v>
      </c>
      <c r="L63" s="17">
        <f>$J63-$B63</f>
        <v/>
      </c>
      <c r="M63" s="17">
        <f>$I63-$L63</f>
        <v/>
      </c>
      <c r="N63" s="23">
        <f>($G63-$M63)*100</f>
        <v/>
      </c>
      <c r="O63" s="15">
        <f>($E63-$C63)*100</f>
        <v/>
      </c>
      <c r="P63" s="15">
        <f>($G63-$E63)*100</f>
        <v/>
      </c>
      <c r="Q63" s="15">
        <f>($G63-$C63)*100</f>
        <v/>
      </c>
      <c r="R63" s="15">
        <f>IF($H63="","",($H63-$F63)*100)</f>
        <v/>
      </c>
      <c r="S63" s="15">
        <f>IF($H63="","",($H63-$G63)*100)</f>
        <v/>
      </c>
    </row>
    <row r="64">
      <c r="A64" s="11" t="n">
        <v>36931</v>
      </c>
      <c r="B64" s="22" t="n">
        <v>0.323</v>
      </c>
      <c r="C64" s="22" t="n">
        <v>0.339</v>
      </c>
      <c r="D64" s="22" t="n">
        <v>0.757</v>
      </c>
      <c r="E64" s="22" t="n">
        <v>1.408</v>
      </c>
      <c r="F64" s="22" t="n">
        <v>1.965</v>
      </c>
      <c r="G64" s="22" t="n">
        <v>2.305</v>
      </c>
      <c r="H64" s="22" t="n"/>
      <c r="I64" s="22" t="n">
        <v>5.38</v>
      </c>
      <c r="J64" s="22" t="n">
        <v>4.68</v>
      </c>
      <c r="K64" s="22" t="n">
        <v>5.03</v>
      </c>
      <c r="L64" s="17">
        <f>$J64-$B64</f>
        <v/>
      </c>
      <c r="M64" s="17">
        <f>$I64-$L64</f>
        <v/>
      </c>
      <c r="N64" s="23">
        <f>($G64-$M64)*100</f>
        <v/>
      </c>
      <c r="O64" s="15">
        <f>($E64-$C64)*100</f>
        <v/>
      </c>
      <c r="P64" s="15">
        <f>($G64-$E64)*100</f>
        <v/>
      </c>
      <c r="Q64" s="15">
        <f>($G64-$C64)*100</f>
        <v/>
      </c>
      <c r="R64" s="15">
        <f>IF($H64="","",($H64-$F64)*100)</f>
        <v/>
      </c>
      <c r="S64" s="15">
        <f>IF($H64="","",($H64-$G64)*100)</f>
        <v/>
      </c>
    </row>
    <row r="65">
      <c r="A65" s="11" t="n">
        <v>36938</v>
      </c>
      <c r="B65" s="22" t="n">
        <v>0.298</v>
      </c>
      <c r="C65" s="22" t="n">
        <v>0.324</v>
      </c>
      <c r="D65" s="22" t="n">
        <v>0.74</v>
      </c>
      <c r="E65" s="22" t="n">
        <v>1.377</v>
      </c>
      <c r="F65" s="22" t="n">
        <v>1.912</v>
      </c>
      <c r="G65" s="22" t="n">
        <v>2.243</v>
      </c>
      <c r="H65" s="22" t="n"/>
      <c r="I65" s="22" t="n">
        <v>5.46</v>
      </c>
      <c r="J65" s="22" t="n">
        <v>4.78</v>
      </c>
      <c r="K65" s="22" t="n">
        <v>5.11</v>
      </c>
      <c r="L65" s="17">
        <f>$J65-$B65</f>
        <v/>
      </c>
      <c r="M65" s="17">
        <f>$I65-$L65</f>
        <v/>
      </c>
      <c r="N65" s="23">
        <f>($G65-$M65)*100</f>
        <v/>
      </c>
      <c r="O65" s="15">
        <f>($E65-$C65)*100</f>
        <v/>
      </c>
      <c r="P65" s="15">
        <f>($G65-$E65)*100</f>
        <v/>
      </c>
      <c r="Q65" s="15">
        <f>($G65-$C65)*100</f>
        <v/>
      </c>
      <c r="R65" s="15">
        <f>IF($H65="","",($H65-$F65)*100)</f>
        <v/>
      </c>
      <c r="S65" s="15">
        <f>IF($H65="","",($H65-$G65)*100)</f>
        <v/>
      </c>
    </row>
    <row r="66">
      <c r="A66" s="11" t="n">
        <v>36945</v>
      </c>
      <c r="B66" s="22" t="n">
        <v>0.249</v>
      </c>
      <c r="C66" s="22" t="n">
        <v>0.278</v>
      </c>
      <c r="D66" s="22" t="n">
        <v>0.731</v>
      </c>
      <c r="E66" s="22" t="n">
        <v>1.407</v>
      </c>
      <c r="F66" s="22" t="n">
        <v>1.897</v>
      </c>
      <c r="G66" s="22" t="n">
        <v>2.218</v>
      </c>
      <c r="H66" s="22" t="n"/>
      <c r="I66" s="22" t="n">
        <v>5.49</v>
      </c>
      <c r="J66" s="22" t="n">
        <v>4.58</v>
      </c>
      <c r="K66" s="22" t="n">
        <v>5.1</v>
      </c>
      <c r="L66" s="17">
        <f>$J66-$B66</f>
        <v/>
      </c>
      <c r="M66" s="17">
        <f>$I66-$L66</f>
        <v/>
      </c>
      <c r="N66" s="23">
        <f>($G66-$M66)*100</f>
        <v/>
      </c>
      <c r="O66" s="15">
        <f>($E66-$C66)*100</f>
        <v/>
      </c>
      <c r="P66" s="15">
        <f>($G66-$E66)*100</f>
        <v/>
      </c>
      <c r="Q66" s="15">
        <f>($G66-$C66)*100</f>
        <v/>
      </c>
      <c r="R66" s="15">
        <f>IF($H66="","",($H66-$F66)*100)</f>
        <v/>
      </c>
      <c r="S66" s="15">
        <f>IF($H66="","",($H66-$G66)*100)</f>
        <v/>
      </c>
    </row>
    <row r="67">
      <c r="A67" s="11" t="n">
        <v>36952</v>
      </c>
      <c r="B67" s="22" t="n">
        <v>0.177</v>
      </c>
      <c r="C67" s="22" t="n">
        <v>0.179</v>
      </c>
      <c r="D67" s="22" t="n">
        <v>0.591</v>
      </c>
      <c r="E67" s="22" t="n">
        <v>1.217</v>
      </c>
      <c r="F67" s="22" t="n">
        <v>1.662</v>
      </c>
      <c r="G67" s="22" t="n">
        <v>1.96</v>
      </c>
      <c r="H67" s="22" t="n"/>
      <c r="I67" s="22" t="n">
        <v>5.38</v>
      </c>
      <c r="J67" s="22" t="n">
        <v>4.48</v>
      </c>
      <c r="K67" s="22" t="n">
        <v>4.95</v>
      </c>
      <c r="L67" s="17">
        <f>$J67-$B67</f>
        <v/>
      </c>
      <c r="M67" s="17">
        <f>$I67-$L67</f>
        <v/>
      </c>
      <c r="N67" s="23">
        <f>($G67-$M67)*100</f>
        <v/>
      </c>
      <c r="O67" s="15">
        <f>($E67-$C67)*100</f>
        <v/>
      </c>
      <c r="P67" s="15">
        <f>($G67-$E67)*100</f>
        <v/>
      </c>
      <c r="Q67" s="15">
        <f>($G67-$C67)*100</f>
        <v/>
      </c>
      <c r="R67" s="15">
        <f>IF($H67="","",($H67-$F67)*100)</f>
        <v/>
      </c>
      <c r="S67" s="15">
        <f>IF($H67="","",($H67-$G67)*100)</f>
        <v/>
      </c>
    </row>
    <row r="68">
      <c r="A68" s="11" t="n">
        <v>36959</v>
      </c>
      <c r="B68" s="22" t="n">
        <v>0.164</v>
      </c>
      <c r="C68" s="22" t="n">
        <v>0.18</v>
      </c>
      <c r="D68" s="22" t="n">
        <v>0.601</v>
      </c>
      <c r="E68" s="22" t="n">
        <v>1.21</v>
      </c>
      <c r="F68" s="22" t="n">
        <v>1.655</v>
      </c>
      <c r="G68" s="22" t="n">
        <v>1.961</v>
      </c>
      <c r="H68" s="22" t="n"/>
      <c r="I68" s="22" t="n">
        <v>5.32</v>
      </c>
      <c r="J68" s="22" t="n">
        <v>4.46</v>
      </c>
      <c r="K68" s="22" t="n">
        <v>4.95</v>
      </c>
      <c r="L68" s="17">
        <f>$J68-$B68</f>
        <v/>
      </c>
      <c r="M68" s="17">
        <f>$I68-$L68</f>
        <v/>
      </c>
      <c r="N68" s="23">
        <f>($G68-$M68)*100</f>
        <v/>
      </c>
      <c r="O68" s="15">
        <f>($E68-$C68)*100</f>
        <v/>
      </c>
      <c r="P68" s="15">
        <f>($G68-$E68)*100</f>
        <v/>
      </c>
      <c r="Q68" s="15">
        <f>($G68-$C68)*100</f>
        <v/>
      </c>
      <c r="R68" s="15">
        <f>IF($H68="","",($H68-$F68)*100)</f>
        <v/>
      </c>
      <c r="S68" s="15">
        <f>IF($H68="","",($H68-$G68)*100)</f>
        <v/>
      </c>
    </row>
    <row r="69">
      <c r="A69" s="11" t="n">
        <v>36966</v>
      </c>
      <c r="B69" s="22" t="n">
        <v>0.08599999999999999</v>
      </c>
      <c r="C69" s="22" t="n">
        <v>0.106</v>
      </c>
      <c r="D69" s="22" t="n">
        <v>0.482</v>
      </c>
      <c r="E69" s="22" t="n">
        <v>1.14</v>
      </c>
      <c r="F69" s="22" t="n">
        <v>1.642</v>
      </c>
      <c r="G69" s="22" t="n">
        <v>1.94</v>
      </c>
      <c r="H69" s="22" t="n"/>
      <c r="I69" s="22" t="n">
        <v>5.28</v>
      </c>
      <c r="J69" s="22" t="n">
        <v>4.19</v>
      </c>
      <c r="K69" s="22" t="n">
        <v>4.78</v>
      </c>
      <c r="L69" s="17">
        <f>$J69-$B69</f>
        <v/>
      </c>
      <c r="M69" s="17">
        <f>$I69-$L69</f>
        <v/>
      </c>
      <c r="N69" s="23">
        <f>($G69-$M69)*100</f>
        <v/>
      </c>
      <c r="O69" s="15">
        <f>($E69-$C69)*100</f>
        <v/>
      </c>
      <c r="P69" s="15">
        <f>($G69-$E69)*100</f>
        <v/>
      </c>
      <c r="Q69" s="15">
        <f>($G69-$C69)*100</f>
        <v/>
      </c>
      <c r="R69" s="15">
        <f>IF($H69="","",($H69-$F69)*100)</f>
        <v/>
      </c>
      <c r="S69" s="15">
        <f>IF($H69="","",($H69-$G69)*100)</f>
        <v/>
      </c>
    </row>
    <row r="70">
      <c r="A70" s="11" t="n">
        <v>36973</v>
      </c>
      <c r="B70" s="22" t="n">
        <v>0.078</v>
      </c>
      <c r="C70" s="22" t="n">
        <v>0.105</v>
      </c>
      <c r="D70" s="22" t="n">
        <v>0.528</v>
      </c>
      <c r="E70" s="22" t="n">
        <v>1.149</v>
      </c>
      <c r="F70" s="22" t="n">
        <v>1.601</v>
      </c>
      <c r="G70" s="22" t="n">
        <v>1.895</v>
      </c>
      <c r="H70" s="22" t="n"/>
      <c r="I70" s="22" t="n">
        <v>5.3</v>
      </c>
      <c r="J70" s="22" t="n">
        <v>4.17</v>
      </c>
      <c r="K70" s="22" t="n">
        <v>4.8</v>
      </c>
      <c r="L70" s="17">
        <f>$J70-$B70</f>
        <v/>
      </c>
      <c r="M70" s="17">
        <f>$I70-$L70</f>
        <v/>
      </c>
      <c r="N70" s="23">
        <f>($G70-$M70)*100</f>
        <v/>
      </c>
      <c r="O70" s="15">
        <f>($E70-$C70)*100</f>
        <v/>
      </c>
      <c r="P70" s="15">
        <f>($G70-$E70)*100</f>
        <v/>
      </c>
      <c r="Q70" s="15">
        <f>($G70-$C70)*100</f>
        <v/>
      </c>
      <c r="R70" s="15">
        <f>IF($H70="","",($H70-$F70)*100)</f>
        <v/>
      </c>
      <c r="S70" s="15">
        <f>IF($H70="","",($H70-$G70)*100)</f>
        <v/>
      </c>
    </row>
    <row r="71">
      <c r="A71" s="11" t="n">
        <v>36980</v>
      </c>
      <c r="B71" s="22" t="n">
        <v>0.075</v>
      </c>
      <c r="C71" s="22" t="n">
        <v>0.133</v>
      </c>
      <c r="D71" s="22" t="n">
        <v>0.589</v>
      </c>
      <c r="E71" s="22" t="n">
        <v>1.24</v>
      </c>
      <c r="F71" s="22" t="n">
        <v>1.775</v>
      </c>
      <c r="G71" s="22" t="n">
        <v>2.092</v>
      </c>
      <c r="H71" s="22" t="n"/>
      <c r="I71" s="22" t="n">
        <v>5.46</v>
      </c>
      <c r="J71" s="22" t="n">
        <v>4.09</v>
      </c>
      <c r="K71" s="22" t="n">
        <v>4.93</v>
      </c>
      <c r="L71" s="17">
        <f>$J71-$B71</f>
        <v/>
      </c>
      <c r="M71" s="17">
        <f>$I71-$L71</f>
        <v/>
      </c>
      <c r="N71" s="23">
        <f>($G71-$M71)*100</f>
        <v/>
      </c>
      <c r="O71" s="15">
        <f>($E71-$C71)*100</f>
        <v/>
      </c>
      <c r="P71" s="15">
        <f>($G71-$E71)*100</f>
        <v/>
      </c>
      <c r="Q71" s="15">
        <f>($G71-$C71)*100</f>
        <v/>
      </c>
      <c r="R71" s="15">
        <f>IF($H71="","",($H71-$F71)*100)</f>
        <v/>
      </c>
      <c r="S71" s="15">
        <f>IF($H71="","",($H71-$G71)*100)</f>
        <v/>
      </c>
    </row>
    <row r="72">
      <c r="A72" s="11" t="n">
        <v>36987</v>
      </c>
      <c r="B72" s="22" t="n">
        <v>0.067</v>
      </c>
      <c r="C72" s="22" t="n">
        <v>0.117</v>
      </c>
      <c r="D72" s="22" t="n">
        <v>0.5600000000000001</v>
      </c>
      <c r="E72" s="22" t="n">
        <v>1.241</v>
      </c>
      <c r="F72" s="22" t="n">
        <v>1.78</v>
      </c>
      <c r="G72" s="22" t="n">
        <v>2.116</v>
      </c>
      <c r="H72" s="22" t="n"/>
      <c r="I72" s="22" t="n">
        <v>5.46</v>
      </c>
      <c r="J72" s="22" t="n">
        <v>3.9</v>
      </c>
      <c r="K72" s="22" t="n">
        <v>4.89</v>
      </c>
      <c r="L72" s="17">
        <f>$J72-$B72</f>
        <v/>
      </c>
      <c r="M72" s="17">
        <f>$I72-$L72</f>
        <v/>
      </c>
      <c r="N72" s="23">
        <f>($G72-$M72)*100</f>
        <v/>
      </c>
      <c r="O72" s="15">
        <f>($E72-$C72)*100</f>
        <v/>
      </c>
      <c r="P72" s="15">
        <f>($G72-$E72)*100</f>
        <v/>
      </c>
      <c r="Q72" s="15">
        <f>($G72-$C72)*100</f>
        <v/>
      </c>
      <c r="R72" s="15">
        <f>IF($H72="","",($H72-$F72)*100)</f>
        <v/>
      </c>
      <c r="S72" s="15">
        <f>IF($H72="","",($H72-$G72)*100)</f>
        <v/>
      </c>
    </row>
    <row r="73">
      <c r="A73" s="11" t="n">
        <v>36994</v>
      </c>
      <c r="B73" s="22" t="n">
        <v>0.067</v>
      </c>
      <c r="C73" s="22" t="n">
        <v>0.116</v>
      </c>
      <c r="D73" s="22" t="n">
        <v>0.635</v>
      </c>
      <c r="E73" s="22" t="n">
        <v>1.399</v>
      </c>
      <c r="F73" s="22" t="n">
        <v>1.948</v>
      </c>
      <c r="G73" s="22" t="n">
        <v>2.31</v>
      </c>
      <c r="H73" s="22" t="n"/>
      <c r="I73" s="22" t="n">
        <v>5.61</v>
      </c>
      <c r="J73" s="22" t="n">
        <v>4.17</v>
      </c>
      <c r="K73" s="22" t="n">
        <v>5.17</v>
      </c>
      <c r="L73" s="17">
        <f>$J73-$B73</f>
        <v/>
      </c>
      <c r="M73" s="17">
        <f>$I73-$L73</f>
        <v/>
      </c>
      <c r="N73" s="23">
        <f>($G73-$M73)*100</f>
        <v/>
      </c>
      <c r="O73" s="15">
        <f>($E73-$C73)*100</f>
        <v/>
      </c>
      <c r="P73" s="15">
        <f>($G73-$E73)*100</f>
        <v/>
      </c>
      <c r="Q73" s="15">
        <f>($G73-$C73)*100</f>
        <v/>
      </c>
      <c r="R73" s="15">
        <f>IF($H73="","",($H73-$F73)*100)</f>
        <v/>
      </c>
      <c r="S73" s="15">
        <f>IF($H73="","",($H73-$G73)*100)</f>
        <v/>
      </c>
    </row>
    <row r="74">
      <c r="A74" s="11" t="n">
        <v>37001</v>
      </c>
      <c r="B74" s="22" t="n">
        <v>0.051</v>
      </c>
      <c r="C74" s="22" t="n">
        <v>0.099</v>
      </c>
      <c r="D74" s="22" t="n">
        <v>0.62</v>
      </c>
      <c r="E74" s="22" t="n">
        <v>1.44</v>
      </c>
      <c r="F74" s="22" t="n">
        <v>2.086</v>
      </c>
      <c r="G74" s="22" t="n">
        <v>2.497</v>
      </c>
      <c r="H74" s="22" t="n"/>
      <c r="I74" s="22" t="n">
        <v>5.79</v>
      </c>
      <c r="J74" s="22" t="n">
        <v>3.88</v>
      </c>
      <c r="K74" s="22" t="n">
        <v>5.29</v>
      </c>
      <c r="L74" s="17">
        <f>$J74-$B74</f>
        <v/>
      </c>
      <c r="M74" s="17">
        <f>$I74-$L74</f>
        <v/>
      </c>
      <c r="N74" s="23">
        <f>($G74-$M74)*100</f>
        <v/>
      </c>
      <c r="O74" s="15">
        <f>($E74-$C74)*100</f>
        <v/>
      </c>
      <c r="P74" s="15">
        <f>($G74-$E74)*100</f>
        <v/>
      </c>
      <c r="Q74" s="15">
        <f>($G74-$C74)*100</f>
        <v/>
      </c>
      <c r="R74" s="15">
        <f>IF($H74="","",($H74-$F74)*100)</f>
        <v/>
      </c>
      <c r="S74" s="15">
        <f>IF($H74="","",($H74-$G74)*100)</f>
        <v/>
      </c>
    </row>
    <row r="75">
      <c r="A75" s="11" t="n">
        <v>37008</v>
      </c>
      <c r="B75" s="22" t="n">
        <v>0.045</v>
      </c>
      <c r="C75" s="22" t="n">
        <v>0.097</v>
      </c>
      <c r="D75" s="22" t="n">
        <v>0.534</v>
      </c>
      <c r="E75" s="22" t="n">
        <v>1.325</v>
      </c>
      <c r="F75" s="22" t="n">
        <v>1.945</v>
      </c>
      <c r="G75" s="22" t="n">
        <v>2.362</v>
      </c>
      <c r="H75" s="22" t="n"/>
      <c r="I75" s="22" t="n">
        <v>5.81</v>
      </c>
      <c r="J75" s="22" t="n">
        <v>3.91</v>
      </c>
      <c r="K75" s="22" t="n">
        <v>5.34</v>
      </c>
      <c r="L75" s="17">
        <f>$J75-$B75</f>
        <v/>
      </c>
      <c r="M75" s="17">
        <f>$I75-$L75</f>
        <v/>
      </c>
      <c r="N75" s="23">
        <f>($G75-$M75)*100</f>
        <v/>
      </c>
      <c r="O75" s="15">
        <f>($E75-$C75)*100</f>
        <v/>
      </c>
      <c r="P75" s="15">
        <f>($G75-$E75)*100</f>
        <v/>
      </c>
      <c r="Q75" s="15">
        <f>($G75-$C75)*100</f>
        <v/>
      </c>
      <c r="R75" s="15">
        <f>IF($H75="","",($H75-$F75)*100)</f>
        <v/>
      </c>
      <c r="S75" s="15">
        <f>IF($H75="","",($H75-$G75)*100)</f>
        <v/>
      </c>
    </row>
    <row r="76">
      <c r="A76" s="11" t="n">
        <v>37015</v>
      </c>
      <c r="B76" s="22" t="n">
        <v>0.048</v>
      </c>
      <c r="C76" s="22" t="n">
        <v>0.099</v>
      </c>
      <c r="D76" s="22" t="n">
        <v>0.5590000000000001</v>
      </c>
      <c r="E76" s="22" t="n">
        <v>1.37</v>
      </c>
      <c r="F76" s="22" t="n">
        <v>2.002</v>
      </c>
      <c r="G76" s="22" t="n">
        <v>2.425</v>
      </c>
      <c r="H76" s="22" t="n"/>
      <c r="I76" s="22" t="n">
        <v>5.65</v>
      </c>
      <c r="J76" s="22" t="n">
        <v>3.79</v>
      </c>
      <c r="K76" s="22" t="n">
        <v>5.21</v>
      </c>
      <c r="L76" s="17">
        <f>$J76-$B76</f>
        <v/>
      </c>
      <c r="M76" s="17">
        <f>$I76-$L76</f>
        <v/>
      </c>
      <c r="N76" s="23">
        <f>($G76-$M76)*100</f>
        <v/>
      </c>
      <c r="O76" s="15">
        <f>($E76-$C76)*100</f>
        <v/>
      </c>
      <c r="P76" s="15">
        <f>($G76-$E76)*100</f>
        <v/>
      </c>
      <c r="Q76" s="15">
        <f>($G76-$C76)*100</f>
        <v/>
      </c>
      <c r="R76" s="15">
        <f>IF($H76="","",($H76-$F76)*100)</f>
        <v/>
      </c>
      <c r="S76" s="15">
        <f>IF($H76="","",($H76-$G76)*100)</f>
        <v/>
      </c>
    </row>
    <row r="77">
      <c r="A77" s="11" t="n">
        <v>37022</v>
      </c>
      <c r="B77" s="22" t="n">
        <v>0.023</v>
      </c>
      <c r="C77" s="22" t="n">
        <v>0.053</v>
      </c>
      <c r="D77" s="22" t="n">
        <v>0.458</v>
      </c>
      <c r="E77" s="22" t="n">
        <v>1.277</v>
      </c>
      <c r="F77" s="22" t="n">
        <v>1.932</v>
      </c>
      <c r="G77" s="22" t="n">
        <v>2.362</v>
      </c>
      <c r="H77" s="22" t="n"/>
      <c r="I77" s="22" t="n">
        <v>5.88</v>
      </c>
      <c r="J77" s="22" t="n">
        <v>3.89</v>
      </c>
      <c r="K77" s="22" t="n">
        <v>5.51</v>
      </c>
      <c r="L77" s="17">
        <f>$J77-$B77</f>
        <v/>
      </c>
      <c r="M77" s="17">
        <f>$I77-$L77</f>
        <v/>
      </c>
      <c r="N77" s="23">
        <f>($G77-$M77)*100</f>
        <v/>
      </c>
      <c r="O77" s="15">
        <f>($E77-$C77)*100</f>
        <v/>
      </c>
      <c r="P77" s="15">
        <f>($G77-$E77)*100</f>
        <v/>
      </c>
      <c r="Q77" s="15">
        <f>($G77-$C77)*100</f>
        <v/>
      </c>
      <c r="R77" s="15">
        <f>IF($H77="","",($H77-$F77)*100)</f>
        <v/>
      </c>
      <c r="S77" s="15">
        <f>IF($H77="","",($H77-$G77)*100)</f>
        <v/>
      </c>
    </row>
    <row r="78">
      <c r="A78" s="11" t="n">
        <v>37029</v>
      </c>
      <c r="B78" s="22" t="n">
        <v>0.023</v>
      </c>
      <c r="C78" s="22" t="n">
        <v>0.045</v>
      </c>
      <c r="D78" s="22" t="n">
        <v>0.434</v>
      </c>
      <c r="E78" s="22" t="n">
        <v>1.273</v>
      </c>
      <c r="F78" s="22" t="n">
        <v>1.909</v>
      </c>
      <c r="G78" s="22" t="n">
        <v>2.281</v>
      </c>
      <c r="H78" s="22" t="n"/>
      <c r="I78" s="22" t="n">
        <v>5.76</v>
      </c>
      <c r="J78" s="22" t="n">
        <v>3.79</v>
      </c>
      <c r="K78" s="22" t="n">
        <v>5.41</v>
      </c>
      <c r="L78" s="17">
        <f>$J78-$B78</f>
        <v/>
      </c>
      <c r="M78" s="17">
        <f>$I78-$L78</f>
        <v/>
      </c>
      <c r="N78" s="23">
        <f>($G78-$M78)*100</f>
        <v/>
      </c>
      <c r="O78" s="15">
        <f>($E78-$C78)*100</f>
        <v/>
      </c>
      <c r="P78" s="15">
        <f>($G78-$E78)*100</f>
        <v/>
      </c>
      <c r="Q78" s="15">
        <f>($G78-$C78)*100</f>
        <v/>
      </c>
      <c r="R78" s="15">
        <f>IF($H78="","",($H78-$F78)*100)</f>
        <v/>
      </c>
      <c r="S78" s="15">
        <f>IF($H78="","",($H78-$G78)*100)</f>
        <v/>
      </c>
    </row>
    <row r="79">
      <c r="A79" s="11" t="n">
        <v>37036</v>
      </c>
      <c r="B79" s="22" t="n">
        <v>0.016</v>
      </c>
      <c r="C79" s="22" t="n">
        <v>0.056</v>
      </c>
      <c r="D79" s="22" t="n">
        <v>0.469</v>
      </c>
      <c r="E79" s="22" t="n">
        <v>1.251</v>
      </c>
      <c r="F79" s="22" t="n">
        <v>1.93</v>
      </c>
      <c r="G79" s="22" t="n">
        <v>2.274</v>
      </c>
      <c r="H79" s="22" t="n"/>
      <c r="I79" s="22" t="n">
        <v>5.86</v>
      </c>
      <c r="J79" s="22" t="n">
        <v>3.76</v>
      </c>
      <c r="K79" s="22" t="n">
        <v>5.52</v>
      </c>
      <c r="L79" s="17">
        <f>$J79-$B79</f>
        <v/>
      </c>
      <c r="M79" s="17">
        <f>$I79-$L79</f>
        <v/>
      </c>
      <c r="N79" s="23">
        <f>($G79-$M79)*100</f>
        <v/>
      </c>
      <c r="O79" s="15">
        <f>($E79-$C79)*100</f>
        <v/>
      </c>
      <c r="P79" s="15">
        <f>($G79-$E79)*100</f>
        <v/>
      </c>
      <c r="Q79" s="15">
        <f>($G79-$C79)*100</f>
        <v/>
      </c>
      <c r="R79" s="15">
        <f>IF($H79="","",($H79-$F79)*100)</f>
        <v/>
      </c>
      <c r="S79" s="15">
        <f>IF($H79="","",($H79-$G79)*100)</f>
        <v/>
      </c>
    </row>
    <row r="80">
      <c r="A80" s="11" t="n">
        <v>37043</v>
      </c>
      <c r="B80" s="22" t="n">
        <v>0.019</v>
      </c>
      <c r="C80" s="22" t="n">
        <v>0.052</v>
      </c>
      <c r="D80" s="22" t="n">
        <v>0.423</v>
      </c>
      <c r="E80" s="22" t="n">
        <v>1.22</v>
      </c>
      <c r="F80" s="22" t="n">
        <v>1.901</v>
      </c>
      <c r="G80" s="22" t="n">
        <v>2.234</v>
      </c>
      <c r="H80" s="22" t="n"/>
      <c r="I80" s="22" t="n">
        <v>5.71</v>
      </c>
      <c r="J80" s="22" t="n">
        <v>3.67</v>
      </c>
      <c r="K80" s="22" t="n">
        <v>5.39</v>
      </c>
      <c r="L80" s="17">
        <f>$J80-$B80</f>
        <v/>
      </c>
      <c r="M80" s="17">
        <f>$I80-$L80</f>
        <v/>
      </c>
      <c r="N80" s="23">
        <f>($G80-$M80)*100</f>
        <v/>
      </c>
      <c r="O80" s="15">
        <f>($E80-$C80)*100</f>
        <v/>
      </c>
      <c r="P80" s="15">
        <f>($G80-$E80)*100</f>
        <v/>
      </c>
      <c r="Q80" s="15">
        <f>($G80-$C80)*100</f>
        <v/>
      </c>
      <c r="R80" s="15">
        <f>IF($H80="","",($H80-$F80)*100)</f>
        <v/>
      </c>
      <c r="S80" s="15">
        <f>IF($H80="","",($H80-$G80)*100)</f>
        <v/>
      </c>
    </row>
    <row r="81">
      <c r="A81" s="11" t="n">
        <v>37050</v>
      </c>
      <c r="B81" s="22" t="n">
        <v>0.022</v>
      </c>
      <c r="C81" s="22" t="n">
        <v>0.055</v>
      </c>
      <c r="D81" s="22" t="n">
        <v>0.438</v>
      </c>
      <c r="E81" s="22" t="n">
        <v>1.219</v>
      </c>
      <c r="F81" s="22" t="n">
        <v>1.928</v>
      </c>
      <c r="G81" s="22" t="n">
        <v>2.258</v>
      </c>
      <c r="H81" s="22" t="n"/>
      <c r="I81" s="22" t="n">
        <v>5.73</v>
      </c>
      <c r="J81" s="22" t="n">
        <v>3.64</v>
      </c>
      <c r="K81" s="22" t="n">
        <v>5.38</v>
      </c>
      <c r="L81" s="17">
        <f>$J81-$B81</f>
        <v/>
      </c>
      <c r="M81" s="17">
        <f>$I81-$L81</f>
        <v/>
      </c>
      <c r="N81" s="23">
        <f>($G81-$M81)*100</f>
        <v/>
      </c>
      <c r="O81" s="15">
        <f>($E81-$C81)*100</f>
        <v/>
      </c>
      <c r="P81" s="15">
        <f>($G81-$E81)*100</f>
        <v/>
      </c>
      <c r="Q81" s="15">
        <f>($G81-$C81)*100</f>
        <v/>
      </c>
      <c r="R81" s="15">
        <f>IF($H81="","",($H81-$F81)*100)</f>
        <v/>
      </c>
      <c r="S81" s="15">
        <f>IF($H81="","",($H81-$G81)*100)</f>
        <v/>
      </c>
    </row>
    <row r="82">
      <c r="A82" s="11" t="n">
        <v>37057</v>
      </c>
      <c r="B82" s="22" t="n">
        <v>0.015</v>
      </c>
      <c r="C82" s="22" t="n">
        <v>0.054</v>
      </c>
      <c r="D82" s="22" t="n">
        <v>0.4</v>
      </c>
      <c r="E82" s="22" t="n">
        <v>1.172</v>
      </c>
      <c r="F82" s="22" t="n">
        <v>1.87</v>
      </c>
      <c r="G82" s="22" t="n">
        <v>2.204</v>
      </c>
      <c r="H82" s="22" t="n"/>
      <c r="I82" s="22" t="n">
        <v>5.68</v>
      </c>
      <c r="J82" s="22" t="n">
        <v>3.53</v>
      </c>
      <c r="K82" s="22" t="n">
        <v>5.27</v>
      </c>
      <c r="L82" s="17">
        <f>$J82-$B82</f>
        <v/>
      </c>
      <c r="M82" s="17">
        <f>$I82-$L82</f>
        <v/>
      </c>
      <c r="N82" s="23">
        <f>($G82-$M82)*100</f>
        <v/>
      </c>
      <c r="O82" s="15">
        <f>($E82-$C82)*100</f>
        <v/>
      </c>
      <c r="P82" s="15">
        <f>($G82-$E82)*100</f>
        <v/>
      </c>
      <c r="Q82" s="15">
        <f>($G82-$C82)*100</f>
        <v/>
      </c>
      <c r="R82" s="15">
        <f>IF($H82="","",($H82-$F82)*100)</f>
        <v/>
      </c>
      <c r="S82" s="15">
        <f>IF($H82="","",($H82-$G82)*100)</f>
        <v/>
      </c>
    </row>
    <row r="83">
      <c r="A83" s="11" t="n">
        <v>37064</v>
      </c>
      <c r="B83" s="22" t="n">
        <v>0.018</v>
      </c>
      <c r="C83" s="22" t="n">
        <v>0.055</v>
      </c>
      <c r="D83" s="22" t="n">
        <v>0.397</v>
      </c>
      <c r="E83" s="22" t="n">
        <v>1.171</v>
      </c>
      <c r="F83" s="22" t="n">
        <v>1.862</v>
      </c>
      <c r="G83" s="22" t="n">
        <v>2.195</v>
      </c>
      <c r="H83" s="22" t="n"/>
      <c r="I83" s="22" t="n">
        <v>5.58</v>
      </c>
      <c r="J83" s="22" t="n">
        <v>3.41</v>
      </c>
      <c r="K83" s="22" t="n">
        <v>5.14</v>
      </c>
      <c r="L83" s="17">
        <f>$J83-$B83</f>
        <v/>
      </c>
      <c r="M83" s="17">
        <f>$I83-$L83</f>
        <v/>
      </c>
      <c r="N83" s="23">
        <f>($G83-$M83)*100</f>
        <v/>
      </c>
      <c r="O83" s="15">
        <f>($E83-$C83)*100</f>
        <v/>
      </c>
      <c r="P83" s="15">
        <f>($G83-$E83)*100</f>
        <v/>
      </c>
      <c r="Q83" s="15">
        <f>($G83-$C83)*100</f>
        <v/>
      </c>
      <c r="R83" s="15">
        <f>IF($H83="","",($H83-$F83)*100)</f>
        <v/>
      </c>
      <c r="S83" s="15">
        <f>IF($H83="","",($H83-$G83)*100)</f>
        <v/>
      </c>
    </row>
    <row r="84">
      <c r="A84" s="11" t="n">
        <v>37071</v>
      </c>
      <c r="B84" s="22" t="n">
        <v>0.031</v>
      </c>
      <c r="C84" s="22" t="n">
        <v>0.073</v>
      </c>
      <c r="D84" s="22" t="n">
        <v>0.403</v>
      </c>
      <c r="E84" s="22" t="n">
        <v>1.183</v>
      </c>
      <c r="F84" s="22" t="n">
        <v>1.849</v>
      </c>
      <c r="G84" s="22" t="n">
        <v>2.189</v>
      </c>
      <c r="H84" s="22" t="n"/>
      <c r="I84" s="22" t="n">
        <v>5.75</v>
      </c>
      <c r="J84" s="22" t="n">
        <v>3.72</v>
      </c>
      <c r="K84" s="22" t="n">
        <v>5.42</v>
      </c>
      <c r="L84" s="17">
        <f>$J84-$B84</f>
        <v/>
      </c>
      <c r="M84" s="17">
        <f>$I84-$L84</f>
        <v/>
      </c>
      <c r="N84" s="23">
        <f>($G84-$M84)*100</f>
        <v/>
      </c>
      <c r="O84" s="15">
        <f>($E84-$C84)*100</f>
        <v/>
      </c>
      <c r="P84" s="15">
        <f>($G84-$E84)*100</f>
        <v/>
      </c>
      <c r="Q84" s="15">
        <f>($G84-$C84)*100</f>
        <v/>
      </c>
      <c r="R84" s="15">
        <f>IF($H84="","",($H84-$F84)*100)</f>
        <v/>
      </c>
      <c r="S84" s="15">
        <f>IF($H84="","",($H84-$G84)*100)</f>
        <v/>
      </c>
    </row>
    <row r="85">
      <c r="A85" s="11" t="n">
        <v>37078</v>
      </c>
      <c r="B85" s="22" t="n">
        <v>0.038</v>
      </c>
      <c r="C85" s="22" t="n">
        <v>0.077</v>
      </c>
      <c r="D85" s="22" t="n">
        <v>0.405</v>
      </c>
      <c r="E85" s="22" t="n">
        <v>1.233</v>
      </c>
      <c r="F85" s="22" t="n">
        <v>1.959</v>
      </c>
      <c r="G85" s="22" t="n">
        <v>2.295</v>
      </c>
      <c r="H85" s="22" t="n"/>
      <c r="I85" s="22" t="n">
        <v>5.75</v>
      </c>
      <c r="J85" s="22" t="n">
        <v>3.63</v>
      </c>
      <c r="K85" s="22" t="n">
        <v>5.41</v>
      </c>
      <c r="L85" s="17">
        <f>$J85-$B85</f>
        <v/>
      </c>
      <c r="M85" s="17">
        <f>$I85-$L85</f>
        <v/>
      </c>
      <c r="N85" s="23">
        <f>($G85-$M85)*100</f>
        <v/>
      </c>
      <c r="O85" s="15">
        <f>($E85-$C85)*100</f>
        <v/>
      </c>
      <c r="P85" s="15">
        <f>($G85-$E85)*100</f>
        <v/>
      </c>
      <c r="Q85" s="15">
        <f>($G85-$C85)*100</f>
        <v/>
      </c>
      <c r="R85" s="15">
        <f>IF($H85="","",($H85-$F85)*100)</f>
        <v/>
      </c>
      <c r="S85" s="15">
        <f>IF($H85="","",($H85-$G85)*100)</f>
        <v/>
      </c>
    </row>
    <row r="86">
      <c r="A86" s="11" t="n">
        <v>37085</v>
      </c>
      <c r="B86" s="22" t="n">
        <v>0.041</v>
      </c>
      <c r="C86" s="22" t="n">
        <v>0.078</v>
      </c>
      <c r="D86" s="22" t="n">
        <v>0.441</v>
      </c>
      <c r="E86" s="22" t="n">
        <v>1.291</v>
      </c>
      <c r="F86" s="22" t="n">
        <v>1.996</v>
      </c>
      <c r="G86" s="22" t="n">
        <v>2.364</v>
      </c>
      <c r="H86" s="22" t="n"/>
      <c r="I86" s="22" t="n">
        <v>5.64</v>
      </c>
      <c r="J86" s="22" t="n">
        <v>3.64</v>
      </c>
      <c r="K86" s="22" t="n">
        <v>5.27</v>
      </c>
      <c r="L86" s="17">
        <f>$J86-$B86</f>
        <v/>
      </c>
      <c r="M86" s="17">
        <f>$I86-$L86</f>
        <v/>
      </c>
      <c r="N86" s="23">
        <f>($G86-$M86)*100</f>
        <v/>
      </c>
      <c r="O86" s="15">
        <f>($E86-$C86)*100</f>
        <v/>
      </c>
      <c r="P86" s="15">
        <f>($G86-$E86)*100</f>
        <v/>
      </c>
      <c r="Q86" s="15">
        <f>($G86-$C86)*100</f>
        <v/>
      </c>
      <c r="R86" s="15">
        <f>IF($H86="","",($H86-$F86)*100)</f>
        <v/>
      </c>
      <c r="S86" s="15">
        <f>IF($H86="","",($H86-$G86)*100)</f>
        <v/>
      </c>
    </row>
    <row r="87">
      <c r="A87" s="11" t="n">
        <v>37092</v>
      </c>
      <c r="B87" s="22" t="n">
        <v>0.045</v>
      </c>
      <c r="C87" s="22" t="n">
        <v>0.08400000000000001</v>
      </c>
      <c r="D87" s="22" t="n">
        <v>0.478</v>
      </c>
      <c r="E87" s="22" t="n">
        <v>1.36</v>
      </c>
      <c r="F87" s="22" t="n">
        <v>2.104</v>
      </c>
      <c r="G87" s="22" t="n">
        <v>2.467</v>
      </c>
      <c r="H87" s="22" t="n"/>
      <c r="I87" s="22" t="n">
        <v>5.54</v>
      </c>
      <c r="J87" s="22" t="n">
        <v>3.59</v>
      </c>
      <c r="K87" s="22" t="n">
        <v>5.15</v>
      </c>
      <c r="L87" s="17">
        <f>$J87-$B87</f>
        <v/>
      </c>
      <c r="M87" s="17">
        <f>$I87-$L87</f>
        <v/>
      </c>
      <c r="N87" s="23">
        <f>($G87-$M87)*100</f>
        <v/>
      </c>
      <c r="O87" s="15">
        <f>($E87-$C87)*100</f>
        <v/>
      </c>
      <c r="P87" s="15">
        <f>($G87-$E87)*100</f>
        <v/>
      </c>
      <c r="Q87" s="15">
        <f>($G87-$C87)*100</f>
        <v/>
      </c>
      <c r="R87" s="15">
        <f>IF($H87="","",($H87-$F87)*100)</f>
        <v/>
      </c>
      <c r="S87" s="15">
        <f>IF($H87="","",($H87-$G87)*100)</f>
        <v/>
      </c>
    </row>
    <row r="88">
      <c r="A88" s="11" t="n">
        <v>37099</v>
      </c>
      <c r="B88" s="22" t="n">
        <v>0.045</v>
      </c>
      <c r="C88" s="22" t="n">
        <v>0.09</v>
      </c>
      <c r="D88" s="22" t="n">
        <v>0.457</v>
      </c>
      <c r="E88" s="22" t="n">
        <v>1.316</v>
      </c>
      <c r="F88" s="22" t="n">
        <v>2.007</v>
      </c>
      <c r="G88" s="22" t="n">
        <v>2.383</v>
      </c>
      <c r="H88" s="22" t="n"/>
      <c r="I88" s="22" t="n">
        <v>5.55</v>
      </c>
      <c r="J88" s="22" t="n">
        <v>3.57</v>
      </c>
      <c r="K88" s="22" t="n">
        <v>5.13</v>
      </c>
      <c r="L88" s="17">
        <f>$J88-$B88</f>
        <v/>
      </c>
      <c r="M88" s="17">
        <f>$I88-$L88</f>
        <v/>
      </c>
      <c r="N88" s="23">
        <f>($G88-$M88)*100</f>
        <v/>
      </c>
      <c r="O88" s="15">
        <f>($E88-$C88)*100</f>
        <v/>
      </c>
      <c r="P88" s="15">
        <f>($G88-$E88)*100</f>
        <v/>
      </c>
      <c r="Q88" s="15">
        <f>($G88-$C88)*100</f>
        <v/>
      </c>
      <c r="R88" s="15">
        <f>IF($H88="","",($H88-$F88)*100)</f>
        <v/>
      </c>
      <c r="S88" s="15">
        <f>IF($H88="","",($H88-$G88)*100)</f>
        <v/>
      </c>
    </row>
    <row r="89">
      <c r="A89" s="11" t="n">
        <v>37106</v>
      </c>
      <c r="B89" s="22" t="n">
        <v>0.052</v>
      </c>
      <c r="C89" s="22" t="n">
        <v>0.104</v>
      </c>
      <c r="D89" s="22" t="n">
        <v>0.492</v>
      </c>
      <c r="E89" s="22" t="n">
        <v>1.366</v>
      </c>
      <c r="F89" s="22" t="n">
        <v>2.073</v>
      </c>
      <c r="G89" s="22" t="n">
        <v>2.441</v>
      </c>
      <c r="H89" s="22" t="n"/>
      <c r="I89" s="22" t="n">
        <v>5.59</v>
      </c>
      <c r="J89" s="22" t="n">
        <v>3.57</v>
      </c>
      <c r="K89" s="22" t="n">
        <v>5.2</v>
      </c>
      <c r="L89" s="17">
        <f>$J89-$B89</f>
        <v/>
      </c>
      <c r="M89" s="17">
        <f>$I89-$L89</f>
        <v/>
      </c>
      <c r="N89" s="23">
        <f>($G89-$M89)*100</f>
        <v/>
      </c>
      <c r="O89" s="15">
        <f>($E89-$C89)*100</f>
        <v/>
      </c>
      <c r="P89" s="15">
        <f>($G89-$E89)*100</f>
        <v/>
      </c>
      <c r="Q89" s="15">
        <f>($G89-$C89)*100</f>
        <v/>
      </c>
      <c r="R89" s="15">
        <f>IF($H89="","",($H89-$F89)*100)</f>
        <v/>
      </c>
      <c r="S89" s="15">
        <f>IF($H89="","",($H89-$G89)*100)</f>
        <v/>
      </c>
    </row>
    <row r="90">
      <c r="A90" s="11" t="n">
        <v>37113</v>
      </c>
      <c r="B90" s="22" t="n">
        <v>0.061</v>
      </c>
      <c r="C90" s="22" t="n">
        <v>0.102</v>
      </c>
      <c r="D90" s="22" t="n">
        <v>0.457</v>
      </c>
      <c r="E90" s="22" t="n">
        <v>1.314</v>
      </c>
      <c r="F90" s="22" t="n">
        <v>2.005</v>
      </c>
      <c r="G90" s="22" t="n">
        <v>2.375</v>
      </c>
      <c r="H90" s="22" t="n"/>
      <c r="I90" s="22" t="n">
        <v>5.52</v>
      </c>
      <c r="J90" s="22" t="n">
        <v>3.45</v>
      </c>
      <c r="K90" s="22" t="n">
        <v>4.99</v>
      </c>
      <c r="L90" s="17">
        <f>$J90-$B90</f>
        <v/>
      </c>
      <c r="M90" s="17">
        <f>$I90-$L90</f>
        <v/>
      </c>
      <c r="N90" s="23">
        <f>($G90-$M90)*100</f>
        <v/>
      </c>
      <c r="O90" s="15">
        <f>($E90-$C90)*100</f>
        <v/>
      </c>
      <c r="P90" s="15">
        <f>($G90-$E90)*100</f>
        <v/>
      </c>
      <c r="Q90" s="15">
        <f>($G90-$C90)*100</f>
        <v/>
      </c>
      <c r="R90" s="15">
        <f>IF($H90="","",($H90-$F90)*100)</f>
        <v/>
      </c>
      <c r="S90" s="15">
        <f>IF($H90="","",($H90-$G90)*100)</f>
        <v/>
      </c>
    </row>
    <row r="91">
      <c r="A91" s="11" t="n">
        <v>37120</v>
      </c>
      <c r="B91" s="22" t="n">
        <v>0.046</v>
      </c>
      <c r="C91" s="22" t="n">
        <v>0.08</v>
      </c>
      <c r="D91" s="22" t="n">
        <v>0.438</v>
      </c>
      <c r="E91" s="22" t="n">
        <v>1.329</v>
      </c>
      <c r="F91" s="22" t="n">
        <v>2.044</v>
      </c>
      <c r="G91" s="22" t="n">
        <v>2.41</v>
      </c>
      <c r="H91" s="22" t="n"/>
      <c r="I91" s="22" t="n">
        <v>5.43</v>
      </c>
      <c r="J91" s="22" t="n">
        <v>3.39</v>
      </c>
      <c r="K91" s="22" t="n">
        <v>4.84</v>
      </c>
      <c r="L91" s="17">
        <f>$J91-$B91</f>
        <v/>
      </c>
      <c r="M91" s="17">
        <f>$I91-$L91</f>
        <v/>
      </c>
      <c r="N91" s="23">
        <f>($G91-$M91)*100</f>
        <v/>
      </c>
      <c r="O91" s="15">
        <f>($E91-$C91)*100</f>
        <v/>
      </c>
      <c r="P91" s="15">
        <f>($G91-$E91)*100</f>
        <v/>
      </c>
      <c r="Q91" s="15">
        <f>($G91-$C91)*100</f>
        <v/>
      </c>
      <c r="R91" s="15">
        <f>IF($H91="","",($H91-$F91)*100)</f>
        <v/>
      </c>
      <c r="S91" s="15">
        <f>IF($H91="","",($H91-$G91)*100)</f>
        <v/>
      </c>
    </row>
    <row r="92">
      <c r="A92" s="11" t="n">
        <v>37127</v>
      </c>
      <c r="B92" s="22" t="n">
        <v>0.045</v>
      </c>
      <c r="C92" s="22" t="n">
        <v>0.09</v>
      </c>
      <c r="D92" s="22" t="n">
        <v>0.476</v>
      </c>
      <c r="E92" s="22" t="n">
        <v>1.339</v>
      </c>
      <c r="F92" s="22" t="n">
        <v>2.029</v>
      </c>
      <c r="G92" s="22" t="n">
        <v>2.4</v>
      </c>
      <c r="H92" s="22" t="n"/>
      <c r="I92" s="22" t="n">
        <v>5.45</v>
      </c>
      <c r="J92" s="22" t="n">
        <v>3.48</v>
      </c>
      <c r="K92" s="22" t="n">
        <v>4.93</v>
      </c>
      <c r="L92" s="17">
        <f>$J92-$B92</f>
        <v/>
      </c>
      <c r="M92" s="17">
        <f>$I92-$L92</f>
        <v/>
      </c>
      <c r="N92" s="23">
        <f>($G92-$M92)*100</f>
        <v/>
      </c>
      <c r="O92" s="15">
        <f>($E92-$C92)*100</f>
        <v/>
      </c>
      <c r="P92" s="15">
        <f>($G92-$E92)*100</f>
        <v/>
      </c>
      <c r="Q92" s="15">
        <f>($G92-$C92)*100</f>
        <v/>
      </c>
      <c r="R92" s="15">
        <f>IF($H92="","",($H92-$F92)*100)</f>
        <v/>
      </c>
      <c r="S92" s="15">
        <f>IF($H92="","",($H92-$G92)*100)</f>
        <v/>
      </c>
    </row>
    <row r="93">
      <c r="A93" s="11" t="n">
        <v>37134</v>
      </c>
      <c r="B93" s="22" t="n">
        <v>0.038</v>
      </c>
      <c r="C93" s="22" t="n">
        <v>0.08599999999999999</v>
      </c>
      <c r="D93" s="22" t="n">
        <v>0.497</v>
      </c>
      <c r="E93" s="22" t="n">
        <v>1.328</v>
      </c>
      <c r="F93" s="22" t="n">
        <v>2.011</v>
      </c>
      <c r="G93" s="22" t="n">
        <v>2.366</v>
      </c>
      <c r="H93" s="22" t="n"/>
      <c r="I93" s="22" t="n">
        <v>5.39</v>
      </c>
      <c r="J93" s="22" t="n">
        <v>3.41</v>
      </c>
      <c r="K93" s="22" t="n">
        <v>4.85</v>
      </c>
      <c r="L93" s="17">
        <f>$J93-$B93</f>
        <v/>
      </c>
      <c r="M93" s="17">
        <f>$I93-$L93</f>
        <v/>
      </c>
      <c r="N93" s="23">
        <f>($G93-$M93)*100</f>
        <v/>
      </c>
      <c r="O93" s="15">
        <f>($E93-$C93)*100</f>
        <v/>
      </c>
      <c r="P93" s="15">
        <f>($G93-$E93)*100</f>
        <v/>
      </c>
      <c r="Q93" s="15">
        <f>($G93-$C93)*100</f>
        <v/>
      </c>
      <c r="R93" s="15">
        <f>IF($H93="","",($H93-$F93)*100)</f>
        <v/>
      </c>
      <c r="S93" s="15">
        <f>IF($H93="","",($H93-$G93)*100)</f>
        <v/>
      </c>
    </row>
    <row r="94">
      <c r="A94" s="11" t="n">
        <v>37141</v>
      </c>
      <c r="B94" s="22" t="n">
        <v>0.029</v>
      </c>
      <c r="C94" s="22" t="n">
        <v>0.065</v>
      </c>
      <c r="D94" s="22" t="n">
        <v>0.502</v>
      </c>
      <c r="E94" s="22" t="n">
        <v>1.364</v>
      </c>
      <c r="F94" s="22" t="n">
        <v>2.043</v>
      </c>
      <c r="G94" s="22" t="n">
        <v>2.4</v>
      </c>
      <c r="H94" s="22" t="n"/>
      <c r="I94" s="22" t="n">
        <v>5.39</v>
      </c>
      <c r="J94" s="22" t="n">
        <v>3.29</v>
      </c>
      <c r="K94" s="22" t="n">
        <v>4.8</v>
      </c>
      <c r="L94" s="17">
        <f>$J94-$B94</f>
        <v/>
      </c>
      <c r="M94" s="17">
        <f>$I94-$L94</f>
        <v/>
      </c>
      <c r="N94" s="23">
        <f>($G94-$M94)*100</f>
        <v/>
      </c>
      <c r="O94" s="15">
        <f>($E94-$C94)*100</f>
        <v/>
      </c>
      <c r="P94" s="15">
        <f>($G94-$E94)*100</f>
        <v/>
      </c>
      <c r="Q94" s="15">
        <f>($G94-$C94)*100</f>
        <v/>
      </c>
      <c r="R94" s="15">
        <f>IF($H94="","",($H94-$F94)*100)</f>
        <v/>
      </c>
      <c r="S94" s="15">
        <f>IF($H94="","",($H94-$G94)*100)</f>
        <v/>
      </c>
    </row>
    <row r="95">
      <c r="A95" s="11" t="n">
        <v>37148</v>
      </c>
      <c r="B95" s="22" t="n">
        <v>0.028</v>
      </c>
      <c r="C95" s="22" t="n">
        <v>0.065</v>
      </c>
      <c r="D95" s="22" t="n">
        <v>0.461</v>
      </c>
      <c r="E95" s="22" t="n">
        <v>1.373</v>
      </c>
      <c r="F95" s="22" t="n">
        <v>2.052</v>
      </c>
      <c r="G95" s="22" t="n">
        <v>2.41</v>
      </c>
      <c r="H95" s="22" t="n"/>
      <c r="I95" s="22" t="n">
        <v>5.35</v>
      </c>
      <c r="J95" s="22" t="n">
        <v>2.73</v>
      </c>
      <c r="K95" s="22" t="n">
        <v>4.57</v>
      </c>
      <c r="L95" s="17">
        <f>$J95-$B95</f>
        <v/>
      </c>
      <c r="M95" s="17">
        <f>$I95-$L95</f>
        <v/>
      </c>
      <c r="N95" s="23">
        <f>($G95-$M95)*100</f>
        <v/>
      </c>
      <c r="O95" s="15">
        <f>($E95-$C95)*100</f>
        <v/>
      </c>
      <c r="P95" s="15">
        <f>($G95-$E95)*100</f>
        <v/>
      </c>
      <c r="Q95" s="15">
        <f>($G95-$C95)*100</f>
        <v/>
      </c>
      <c r="R95" s="15">
        <f>IF($H95="","",($H95-$F95)*100)</f>
        <v/>
      </c>
      <c r="S95" s="15">
        <f>IF($H95="","",($H95-$G95)*100)</f>
        <v/>
      </c>
    </row>
    <row r="96">
      <c r="A96" s="11" t="n">
        <v>37155</v>
      </c>
      <c r="B96" s="22" t="n">
        <v>0.028</v>
      </c>
      <c r="C96" s="22" t="n">
        <v>0.08</v>
      </c>
      <c r="D96" s="22" t="n">
        <v>0.492</v>
      </c>
      <c r="E96" s="22" t="n">
        <v>1.393</v>
      </c>
      <c r="F96" s="22" t="n">
        <v>2.023</v>
      </c>
      <c r="G96" s="22" t="n">
        <v>2.388</v>
      </c>
      <c r="H96" s="22" t="n"/>
      <c r="I96" s="22" t="n">
        <v>5.59</v>
      </c>
      <c r="J96" s="22" t="n">
        <v>2.53</v>
      </c>
      <c r="K96" s="22" t="n">
        <v>4.7</v>
      </c>
      <c r="L96" s="17">
        <f>$J96-$B96</f>
        <v/>
      </c>
      <c r="M96" s="17">
        <f>$I96-$L96</f>
        <v/>
      </c>
      <c r="N96" s="23">
        <f>($G96-$M96)*100</f>
        <v/>
      </c>
      <c r="O96" s="15">
        <f>($E96-$C96)*100</f>
        <v/>
      </c>
      <c r="P96" s="15">
        <f>($G96-$E96)*100</f>
        <v/>
      </c>
      <c r="Q96" s="15">
        <f>($G96-$C96)*100</f>
        <v/>
      </c>
      <c r="R96" s="15">
        <f>IF($H96="","",($H96-$F96)*100)</f>
        <v/>
      </c>
      <c r="S96" s="15">
        <f>IF($H96="","",($H96-$G96)*100)</f>
        <v/>
      </c>
    </row>
    <row r="97">
      <c r="A97" s="11" t="n">
        <v>37162</v>
      </c>
      <c r="B97" s="22" t="n">
        <v>0.029</v>
      </c>
      <c r="C97" s="22" t="n">
        <v>0.08500000000000001</v>
      </c>
      <c r="D97" s="22" t="n">
        <v>0.489</v>
      </c>
      <c r="E97" s="22" t="n">
        <v>1.409</v>
      </c>
      <c r="F97" s="22" t="n">
        <v>2.051</v>
      </c>
      <c r="G97" s="22" t="n">
        <v>2.395</v>
      </c>
      <c r="H97" s="22" t="n"/>
      <c r="I97" s="22" t="n">
        <v>5.42</v>
      </c>
      <c r="J97" s="22" t="n">
        <v>2.49</v>
      </c>
      <c r="K97" s="22" t="n">
        <v>4.6</v>
      </c>
      <c r="L97" s="17">
        <f>$J97-$B97</f>
        <v/>
      </c>
      <c r="M97" s="17">
        <f>$I97-$L97</f>
        <v/>
      </c>
      <c r="N97" s="23">
        <f>($G97-$M97)*100</f>
        <v/>
      </c>
      <c r="O97" s="15">
        <f>($E97-$C97)*100</f>
        <v/>
      </c>
      <c r="P97" s="15">
        <f>($G97-$E97)*100</f>
        <v/>
      </c>
      <c r="Q97" s="15">
        <f>($G97-$C97)*100</f>
        <v/>
      </c>
      <c r="R97" s="15">
        <f>IF($H97="","",($H97-$F97)*100)</f>
        <v/>
      </c>
      <c r="S97" s="15">
        <f>IF($H97="","",($H97-$G97)*100)</f>
        <v/>
      </c>
    </row>
    <row r="98">
      <c r="A98" s="11" t="n">
        <v>37169</v>
      </c>
      <c r="B98" s="22" t="n">
        <v>0.035</v>
      </c>
      <c r="C98" s="22" t="n">
        <v>0.08400000000000001</v>
      </c>
      <c r="D98" s="22" t="n">
        <v>0.473</v>
      </c>
      <c r="E98" s="22" t="n">
        <v>1.388</v>
      </c>
      <c r="F98" s="22" t="n">
        <v>2.054</v>
      </c>
      <c r="G98" s="22" t="n">
        <v>2.427</v>
      </c>
      <c r="H98" s="22" t="n"/>
      <c r="I98" s="22" t="n">
        <v>5.31</v>
      </c>
      <c r="J98" s="22" t="n">
        <v>2.33</v>
      </c>
      <c r="K98" s="22" t="n">
        <v>4.52</v>
      </c>
      <c r="L98" s="17">
        <f>$J98-$B98</f>
        <v/>
      </c>
      <c r="M98" s="17">
        <f>$I98-$L98</f>
        <v/>
      </c>
      <c r="N98" s="23">
        <f>($G98-$M98)*100</f>
        <v/>
      </c>
      <c r="O98" s="15">
        <f>($E98-$C98)*100</f>
        <v/>
      </c>
      <c r="P98" s="15">
        <f>($G98-$E98)*100</f>
        <v/>
      </c>
      <c r="Q98" s="15">
        <f>($G98-$C98)*100</f>
        <v/>
      </c>
      <c r="R98" s="15">
        <f>IF($H98="","",($H98-$F98)*100)</f>
        <v/>
      </c>
      <c r="S98" s="15">
        <f>IF($H98="","",($H98-$G98)*100)</f>
        <v/>
      </c>
    </row>
    <row r="99">
      <c r="A99" s="11" t="n">
        <v>37176</v>
      </c>
      <c r="B99" s="22" t="n">
        <v>0.034</v>
      </c>
      <c r="C99" s="22" t="n">
        <v>0.083</v>
      </c>
      <c r="D99" s="22" t="n">
        <v>0.476</v>
      </c>
      <c r="E99" s="22" t="n">
        <v>1.387</v>
      </c>
      <c r="F99" s="22" t="n">
        <v>2.059</v>
      </c>
      <c r="G99" s="22" t="n">
        <v>2.488</v>
      </c>
      <c r="H99" s="22" t="n"/>
      <c r="I99" s="22" t="n">
        <v>5.42</v>
      </c>
      <c r="J99" s="22" t="n">
        <v>2.4</v>
      </c>
      <c r="K99" s="22" t="n">
        <v>4.68</v>
      </c>
      <c r="L99" s="17">
        <f>$J99-$B99</f>
        <v/>
      </c>
      <c r="M99" s="17">
        <f>$I99-$L99</f>
        <v/>
      </c>
      <c r="N99" s="23">
        <f>($G99-$M99)*100</f>
        <v/>
      </c>
      <c r="O99" s="15">
        <f>($E99-$C99)*100</f>
        <v/>
      </c>
      <c r="P99" s="15">
        <f>($G99-$E99)*100</f>
        <v/>
      </c>
      <c r="Q99" s="15">
        <f>($G99-$C99)*100</f>
        <v/>
      </c>
      <c r="R99" s="15">
        <f>IF($H99="","",($H99-$F99)*100)</f>
        <v/>
      </c>
      <c r="S99" s="15">
        <f>IF($H99="","",($H99-$G99)*100)</f>
        <v/>
      </c>
    </row>
    <row r="100">
      <c r="A100" s="11" t="n">
        <v>37183</v>
      </c>
      <c r="B100" s="22" t="n">
        <v>0.032</v>
      </c>
      <c r="C100" s="22" t="n">
        <v>0.08500000000000001</v>
      </c>
      <c r="D100" s="22" t="n">
        <v>0.475</v>
      </c>
      <c r="E100" s="22" t="n">
        <v>1.369</v>
      </c>
      <c r="F100" s="22" t="n">
        <v>2.042</v>
      </c>
      <c r="G100" s="22" t="n">
        <v>2.507</v>
      </c>
      <c r="H100" s="22" t="n"/>
      <c r="I100" s="22" t="n">
        <v>5.36</v>
      </c>
      <c r="J100" s="22" t="n">
        <v>2.34</v>
      </c>
      <c r="K100" s="22" t="n">
        <v>4.63</v>
      </c>
      <c r="L100" s="17">
        <f>$J100-$B100</f>
        <v/>
      </c>
      <c r="M100" s="17">
        <f>$I100-$L100</f>
        <v/>
      </c>
      <c r="N100" s="23">
        <f>($G100-$M100)*100</f>
        <v/>
      </c>
      <c r="O100" s="15">
        <f>($E100-$C100)*100</f>
        <v/>
      </c>
      <c r="P100" s="15">
        <f>($G100-$E100)*100</f>
        <v/>
      </c>
      <c r="Q100" s="15">
        <f>($G100-$C100)*100</f>
        <v/>
      </c>
      <c r="R100" s="15">
        <f>IF($H100="","",($H100-$F100)*100)</f>
        <v/>
      </c>
      <c r="S100" s="15">
        <f>IF($H100="","",($H100-$G100)*100)</f>
        <v/>
      </c>
    </row>
    <row r="101">
      <c r="A101" s="11" t="n">
        <v>37190</v>
      </c>
      <c r="B101" s="22" t="n">
        <v>0.032</v>
      </c>
      <c r="C101" s="22" t="n">
        <v>0.08500000000000001</v>
      </c>
      <c r="D101" s="22" t="n">
        <v>0.463</v>
      </c>
      <c r="E101" s="22" t="n">
        <v>1.338</v>
      </c>
      <c r="F101" s="22" t="n">
        <v>2.015</v>
      </c>
      <c r="G101" s="22" t="n">
        <v>2.49</v>
      </c>
      <c r="H101" s="22" t="n"/>
      <c r="I101" s="22" t="n">
        <v>5.27</v>
      </c>
      <c r="J101" s="22" t="n">
        <v>2.26</v>
      </c>
      <c r="K101" s="22" t="n">
        <v>4.53</v>
      </c>
      <c r="L101" s="17">
        <f>$J101-$B101</f>
        <v/>
      </c>
      <c r="M101" s="17">
        <f>$I101-$L101</f>
        <v/>
      </c>
      <c r="N101" s="23">
        <f>($G101-$M101)*100</f>
        <v/>
      </c>
      <c r="O101" s="15">
        <f>($E101-$C101)*100</f>
        <v/>
      </c>
      <c r="P101" s="15">
        <f>($G101-$E101)*100</f>
        <v/>
      </c>
      <c r="Q101" s="15">
        <f>($G101-$C101)*100</f>
        <v/>
      </c>
      <c r="R101" s="15">
        <f>IF($H101="","",($H101-$F101)*100)</f>
        <v/>
      </c>
      <c r="S101" s="15">
        <f>IF($H101="","",($H101-$G101)*100)</f>
        <v/>
      </c>
    </row>
    <row r="102">
      <c r="A102" s="11" t="n">
        <v>37197</v>
      </c>
      <c r="B102" s="22" t="n">
        <v>0.037</v>
      </c>
      <c r="C102" s="22" t="n">
        <v>0.08699999999999999</v>
      </c>
      <c r="D102" s="22" t="n">
        <v>0.469</v>
      </c>
      <c r="E102" s="22" t="n">
        <v>1.32</v>
      </c>
      <c r="F102" s="22" t="n">
        <v>1.973</v>
      </c>
      <c r="G102" s="22" t="n">
        <v>2.428</v>
      </c>
      <c r="H102" s="22" t="n"/>
      <c r="I102" s="22" t="n">
        <v>4.96</v>
      </c>
      <c r="J102" s="22" t="n">
        <v>2.07</v>
      </c>
      <c r="K102" s="22" t="n">
        <v>4.37</v>
      </c>
      <c r="L102" s="17">
        <f>$J102-$B102</f>
        <v/>
      </c>
      <c r="M102" s="17">
        <f>$I102-$L102</f>
        <v/>
      </c>
      <c r="N102" s="23">
        <f>($G102-$M102)*100</f>
        <v/>
      </c>
      <c r="O102" s="15">
        <f>($E102-$C102)*100</f>
        <v/>
      </c>
      <c r="P102" s="15">
        <f>($G102-$E102)*100</f>
        <v/>
      </c>
      <c r="Q102" s="15">
        <f>($G102-$C102)*100</f>
        <v/>
      </c>
      <c r="R102" s="15">
        <f>IF($H102="","",($H102-$F102)*100)</f>
        <v/>
      </c>
      <c r="S102" s="15">
        <f>IF($H102="","",($H102-$G102)*100)</f>
        <v/>
      </c>
    </row>
    <row r="103">
      <c r="A103" s="11" t="n">
        <v>37204</v>
      </c>
      <c r="B103" s="22" t="n">
        <v>0.035</v>
      </c>
      <c r="C103" s="22" t="n">
        <v>0.083</v>
      </c>
      <c r="D103" s="22" t="n">
        <v>0.478</v>
      </c>
      <c r="E103" s="22" t="n">
        <v>1.336</v>
      </c>
      <c r="F103" s="22" t="n">
        <v>2.013</v>
      </c>
      <c r="G103" s="22" t="n">
        <v>2.416</v>
      </c>
      <c r="H103" s="22" t="n"/>
      <c r="I103" s="22" t="n">
        <v>4.88</v>
      </c>
      <c r="J103" s="22" t="n">
        <v>2.02</v>
      </c>
      <c r="K103" s="22" t="n">
        <v>4.34</v>
      </c>
      <c r="L103" s="17">
        <f>$J103-$B103</f>
        <v/>
      </c>
      <c r="M103" s="17">
        <f>$I103-$L103</f>
        <v/>
      </c>
      <c r="N103" s="23">
        <f>($G103-$M103)*100</f>
        <v/>
      </c>
      <c r="O103" s="15">
        <f>($E103-$C103)*100</f>
        <v/>
      </c>
      <c r="P103" s="15">
        <f>($G103-$E103)*100</f>
        <v/>
      </c>
      <c r="Q103" s="15">
        <f>($G103-$C103)*100</f>
        <v/>
      </c>
      <c r="R103" s="15">
        <f>IF($H103="","",($H103-$F103)*100)</f>
        <v/>
      </c>
      <c r="S103" s="15">
        <f>IF($H103="","",($H103-$G103)*100)</f>
        <v/>
      </c>
    </row>
    <row r="104">
      <c r="A104" s="11" t="n">
        <v>37211</v>
      </c>
      <c r="B104" s="22" t="n">
        <v>0.033</v>
      </c>
      <c r="C104" s="22" t="n">
        <v>0.089</v>
      </c>
      <c r="D104" s="22" t="n">
        <v>0.504</v>
      </c>
      <c r="E104" s="22" t="n">
        <v>1.372</v>
      </c>
      <c r="F104" s="22" t="n">
        <v>2.023</v>
      </c>
      <c r="G104" s="22" t="n">
        <v>2.411</v>
      </c>
      <c r="H104" s="22" t="n"/>
      <c r="I104" s="22" t="n">
        <v>5.3</v>
      </c>
      <c r="J104" s="22" t="n">
        <v>2.41</v>
      </c>
      <c r="K104" s="22" t="n">
        <v>4.91</v>
      </c>
      <c r="L104" s="17">
        <f>$J104-$B104</f>
        <v/>
      </c>
      <c r="M104" s="17">
        <f>$I104-$L104</f>
        <v/>
      </c>
      <c r="N104" s="23">
        <f>($G104-$M104)*100</f>
        <v/>
      </c>
      <c r="O104" s="15">
        <f>($E104-$C104)*100</f>
        <v/>
      </c>
      <c r="P104" s="15">
        <f>($G104-$E104)*100</f>
        <v/>
      </c>
      <c r="Q104" s="15">
        <f>($G104-$C104)*100</f>
        <v/>
      </c>
      <c r="R104" s="15">
        <f>IF($H104="","",($H104-$F104)*100)</f>
        <v/>
      </c>
      <c r="S104" s="15">
        <f>IF($H104="","",($H104-$G104)*100)</f>
        <v/>
      </c>
    </row>
    <row r="105">
      <c r="A105" s="11" t="n">
        <v>37218</v>
      </c>
      <c r="B105" s="22" t="n">
        <v>0.037</v>
      </c>
      <c r="C105" s="22" t="n">
        <v>0.09</v>
      </c>
      <c r="D105" s="22" t="n">
        <v>0.505</v>
      </c>
      <c r="E105" s="22" t="n">
        <v>1.335</v>
      </c>
      <c r="F105" s="22" t="n">
        <v>2.011</v>
      </c>
      <c r="G105" s="22" t="n">
        <v>2.39</v>
      </c>
      <c r="H105" s="22" t="n"/>
      <c r="I105" s="22" t="n">
        <v>5.39</v>
      </c>
      <c r="J105" s="22" t="n">
        <v>2.41</v>
      </c>
      <c r="K105" s="22" t="n">
        <v>5.04</v>
      </c>
      <c r="L105" s="17">
        <f>$J105-$B105</f>
        <v/>
      </c>
      <c r="M105" s="17">
        <f>$I105-$L105</f>
        <v/>
      </c>
      <c r="N105" s="23">
        <f>($G105-$M105)*100</f>
        <v/>
      </c>
      <c r="O105" s="15">
        <f>($E105-$C105)*100</f>
        <v/>
      </c>
      <c r="P105" s="15">
        <f>($G105-$E105)*100</f>
        <v/>
      </c>
      <c r="Q105" s="15">
        <f>($G105-$C105)*100</f>
        <v/>
      </c>
      <c r="R105" s="15">
        <f>IF($H105="","",($H105-$F105)*100)</f>
        <v/>
      </c>
      <c r="S105" s="15">
        <f>IF($H105="","",($H105-$G105)*100)</f>
        <v/>
      </c>
    </row>
    <row r="106">
      <c r="A106" s="11" t="n">
        <v>37225</v>
      </c>
      <c r="B106" s="22" t="n">
        <v>0.046</v>
      </c>
      <c r="C106" s="22" t="n">
        <v>0.105</v>
      </c>
      <c r="D106" s="22" t="n">
        <v>0.524</v>
      </c>
      <c r="E106" s="22" t="n">
        <v>1.355</v>
      </c>
      <c r="F106" s="22" t="n">
        <v>2.031</v>
      </c>
      <c r="G106" s="22" t="n">
        <v>2.41</v>
      </c>
      <c r="H106" s="22" t="n"/>
      <c r="I106" s="22" t="n">
        <v>5.27</v>
      </c>
      <c r="J106" s="22" t="n">
        <v>2.06</v>
      </c>
      <c r="K106" s="22" t="n">
        <v>4.78</v>
      </c>
      <c r="L106" s="17">
        <f>$J106-$B106</f>
        <v/>
      </c>
      <c r="M106" s="17">
        <f>$I106-$L106</f>
        <v/>
      </c>
      <c r="N106" s="23">
        <f>($G106-$M106)*100</f>
        <v/>
      </c>
      <c r="O106" s="15">
        <f>($E106-$C106)*100</f>
        <v/>
      </c>
      <c r="P106" s="15">
        <f>($G106-$E106)*100</f>
        <v/>
      </c>
      <c r="Q106" s="15">
        <f>($G106-$C106)*100</f>
        <v/>
      </c>
      <c r="R106" s="15">
        <f>IF($H106="","",($H106-$F106)*100)</f>
        <v/>
      </c>
      <c r="S106" s="15">
        <f>IF($H106="","",($H106-$G106)*100)</f>
        <v/>
      </c>
    </row>
    <row r="107">
      <c r="A107" s="11" t="n">
        <v>37232</v>
      </c>
      <c r="B107" s="22" t="n">
        <v>0.047</v>
      </c>
      <c r="C107" s="22" t="n">
        <v>0.09</v>
      </c>
      <c r="D107" s="22" t="n">
        <v>0.51</v>
      </c>
      <c r="E107" s="22" t="n">
        <v>1.364</v>
      </c>
      <c r="F107" s="22" t="n">
        <v>2.051</v>
      </c>
      <c r="G107" s="22" t="n">
        <v>2.49</v>
      </c>
      <c r="H107" s="22" t="n"/>
      <c r="I107" s="22" t="n">
        <v>5.6</v>
      </c>
      <c r="J107" s="22" t="n">
        <v>2.26</v>
      </c>
      <c r="K107" s="22" t="n">
        <v>5.2</v>
      </c>
      <c r="L107" s="17">
        <f>$J107-$B107</f>
        <v/>
      </c>
      <c r="M107" s="17">
        <f>$I107-$L107</f>
        <v/>
      </c>
      <c r="N107" s="23">
        <f>($G107-$M107)*100</f>
        <v/>
      </c>
      <c r="O107" s="15">
        <f>($E107-$C107)*100</f>
        <v/>
      </c>
      <c r="P107" s="15">
        <f>($G107-$E107)*100</f>
        <v/>
      </c>
      <c r="Q107" s="15">
        <f>($G107-$C107)*100</f>
        <v/>
      </c>
      <c r="R107" s="15">
        <f>IF($H107="","",($H107-$F107)*100)</f>
        <v/>
      </c>
      <c r="S107" s="15">
        <f>IF($H107="","",($H107-$G107)*100)</f>
        <v/>
      </c>
    </row>
    <row r="108">
      <c r="A108" s="11" t="n">
        <v>37239</v>
      </c>
      <c r="B108" s="22" t="n">
        <v>0.047</v>
      </c>
      <c r="C108" s="22" t="n">
        <v>0.08500000000000001</v>
      </c>
      <c r="D108" s="22" t="n">
        <v>0.496</v>
      </c>
      <c r="E108" s="22" t="n">
        <v>1.34</v>
      </c>
      <c r="F108" s="22" t="n">
        <v>2.036</v>
      </c>
      <c r="G108" s="22" t="n">
        <v>2.484</v>
      </c>
      <c r="H108" s="22" t="n"/>
      <c r="I108" s="22" t="n">
        <v>5.59</v>
      </c>
      <c r="J108" s="22" t="n">
        <v>2.22</v>
      </c>
      <c r="K108" s="22" t="n">
        <v>5.24</v>
      </c>
      <c r="L108" s="17">
        <f>$J108-$B108</f>
        <v/>
      </c>
      <c r="M108" s="17">
        <f>$I108-$L108</f>
        <v/>
      </c>
      <c r="N108" s="23">
        <f>($G108-$M108)*100</f>
        <v/>
      </c>
      <c r="O108" s="15">
        <f>($E108-$C108)*100</f>
        <v/>
      </c>
      <c r="P108" s="15">
        <f>($G108-$E108)*100</f>
        <v/>
      </c>
      <c r="Q108" s="15">
        <f>($G108-$C108)*100</f>
        <v/>
      </c>
      <c r="R108" s="15">
        <f>IF($H108="","",($H108-$F108)*100)</f>
        <v/>
      </c>
      <c r="S108" s="15">
        <f>IF($H108="","",($H108-$G108)*100)</f>
        <v/>
      </c>
    </row>
    <row r="109">
      <c r="A109" s="11" t="n">
        <v>37246</v>
      </c>
      <c r="B109" s="22" t="n">
        <v>0.048</v>
      </c>
      <c r="C109" s="22" t="n">
        <v>0.075</v>
      </c>
      <c r="D109" s="22" t="n">
        <v>0.481</v>
      </c>
      <c r="E109" s="22" t="n">
        <v>1.32</v>
      </c>
      <c r="F109" s="22" t="n">
        <v>1.999</v>
      </c>
      <c r="G109" s="22" t="n">
        <v>2.453</v>
      </c>
      <c r="H109" s="22" t="n"/>
      <c r="I109" s="22" t="n">
        <v>5.45</v>
      </c>
      <c r="J109" s="22" t="n">
        <v>2.23</v>
      </c>
      <c r="K109" s="22" t="n">
        <v>5.12</v>
      </c>
      <c r="L109" s="17">
        <f>$J109-$B109</f>
        <v/>
      </c>
      <c r="M109" s="17">
        <f>$I109-$L109</f>
        <v/>
      </c>
      <c r="N109" s="23">
        <f>($G109-$M109)*100</f>
        <v/>
      </c>
      <c r="O109" s="15">
        <f>($E109-$C109)*100</f>
        <v/>
      </c>
      <c r="P109" s="15">
        <f>($G109-$E109)*100</f>
        <v/>
      </c>
      <c r="Q109" s="15">
        <f>($G109-$C109)*100</f>
        <v/>
      </c>
      <c r="R109" s="15">
        <f>IF($H109="","",($H109-$F109)*100)</f>
        <v/>
      </c>
      <c r="S109" s="15">
        <f>IF($H109="","",($H109-$G109)*100)</f>
        <v/>
      </c>
    </row>
    <row r="110">
      <c r="A110" s="11" t="n">
        <v>37253</v>
      </c>
      <c r="B110" s="22" t="n">
        <v>0.047</v>
      </c>
      <c r="C110" s="22" t="n">
        <v>0.076</v>
      </c>
      <c r="D110" s="22" t="n">
        <v>0.51</v>
      </c>
      <c r="E110" s="22" t="n">
        <v>1.369</v>
      </c>
      <c r="F110" s="22" t="n">
        <v>2.03</v>
      </c>
      <c r="G110" s="22" t="n">
        <v>2.484</v>
      </c>
      <c r="H110" s="22" t="n"/>
      <c r="I110" s="22" t="n">
        <v>5.54</v>
      </c>
      <c r="J110" s="22" t="n">
        <v>2.26</v>
      </c>
      <c r="K110" s="22" t="n">
        <v>5.15</v>
      </c>
      <c r="L110" s="17">
        <f>$J110-$B110</f>
        <v/>
      </c>
      <c r="M110" s="17">
        <f>$I110-$L110</f>
        <v/>
      </c>
      <c r="N110" s="23">
        <f>($G110-$M110)*100</f>
        <v/>
      </c>
      <c r="O110" s="15">
        <f>($E110-$C110)*100</f>
        <v/>
      </c>
      <c r="P110" s="15">
        <f>($G110-$E110)*100</f>
        <v/>
      </c>
      <c r="Q110" s="15">
        <f>($G110-$C110)*100</f>
        <v/>
      </c>
      <c r="R110" s="15">
        <f>IF($H110="","",($H110-$F110)*100)</f>
        <v/>
      </c>
      <c r="S110" s="15">
        <f>IF($H110="","",($H110-$G110)*100)</f>
        <v/>
      </c>
    </row>
    <row r="111">
      <c r="A111" s="11" t="n">
        <v>37260</v>
      </c>
      <c r="B111" s="22" t="n">
        <v>0.049</v>
      </c>
      <c r="C111" s="22" t="n">
        <v>0.079</v>
      </c>
      <c r="D111" s="22" t="n">
        <v>0.548</v>
      </c>
      <c r="E111" s="22" t="n">
        <v>1.401</v>
      </c>
      <c r="F111" s="22" t="n">
        <v>2.056</v>
      </c>
      <c r="G111" s="22" t="n">
        <v>2.509</v>
      </c>
      <c r="H111" s="22" t="n"/>
      <c r="I111" s="22" t="n">
        <v>5.57</v>
      </c>
      <c r="J111" s="22" t="n">
        <v>2.25</v>
      </c>
      <c r="K111" s="22" t="n">
        <v>5.18</v>
      </c>
      <c r="L111" s="17">
        <f>$J111-$B111</f>
        <v/>
      </c>
      <c r="M111" s="17">
        <f>$I111-$L111</f>
        <v/>
      </c>
      <c r="N111" s="23">
        <f>($G111-$M111)*100</f>
        <v/>
      </c>
      <c r="O111" s="15">
        <f>($E111-$C111)*100</f>
        <v/>
      </c>
      <c r="P111" s="15">
        <f>($G111-$E111)*100</f>
        <v/>
      </c>
      <c r="Q111" s="15">
        <f>($G111-$C111)*100</f>
        <v/>
      </c>
      <c r="R111" s="15">
        <f>IF($H111="","",($H111-$F111)*100)</f>
        <v/>
      </c>
      <c r="S111" s="15">
        <f>IF($H111="","",($H111-$G111)*100)</f>
        <v/>
      </c>
    </row>
    <row r="112">
      <c r="A112" s="11" t="n">
        <v>37267</v>
      </c>
      <c r="B112" s="22" t="n">
        <v>0.05</v>
      </c>
      <c r="C112" s="22" t="n">
        <v>0.076</v>
      </c>
      <c r="D112" s="22" t="n">
        <v>0.541</v>
      </c>
      <c r="E112" s="22" t="n">
        <v>1.4</v>
      </c>
      <c r="F112" s="22" t="n">
        <v>2.058</v>
      </c>
      <c r="G112" s="22" t="n">
        <v>2.516</v>
      </c>
      <c r="H112" s="22" t="n"/>
      <c r="I112" s="22" t="n">
        <v>5.37</v>
      </c>
      <c r="J112" s="22" t="n">
        <v>1.98</v>
      </c>
      <c r="K112" s="22" t="n">
        <v>4.92</v>
      </c>
      <c r="L112" s="17">
        <f>$J112-$B112</f>
        <v/>
      </c>
      <c r="M112" s="17">
        <f>$I112-$L112</f>
        <v/>
      </c>
      <c r="N112" s="23">
        <f>($G112-$M112)*100</f>
        <v/>
      </c>
      <c r="O112" s="15">
        <f>($E112-$C112)*100</f>
        <v/>
      </c>
      <c r="P112" s="15">
        <f>($G112-$E112)*100</f>
        <v/>
      </c>
      <c r="Q112" s="15">
        <f>($G112-$C112)*100</f>
        <v/>
      </c>
      <c r="R112" s="15">
        <f>IF($H112="","",($H112-$F112)*100)</f>
        <v/>
      </c>
      <c r="S112" s="15">
        <f>IF($H112="","",($H112-$G112)*100)</f>
        <v/>
      </c>
    </row>
    <row r="113">
      <c r="A113" s="11" t="n">
        <v>37274</v>
      </c>
      <c r="B113" s="22" t="n">
        <v>0.041</v>
      </c>
      <c r="C113" s="22" t="n">
        <v>0.074</v>
      </c>
      <c r="D113" s="22" t="n">
        <v>0.59</v>
      </c>
      <c r="E113" s="22" t="n">
        <v>1.425</v>
      </c>
      <c r="F113" s="22" t="n">
        <v>2.078</v>
      </c>
      <c r="G113" s="22" t="n">
        <v>2.531</v>
      </c>
      <c r="H113" s="22" t="n"/>
      <c r="I113" s="22" t="n">
        <v>5.36</v>
      </c>
      <c r="J113" s="22" t="n">
        <v>2.08</v>
      </c>
      <c r="K113" s="22" t="n">
        <v>4.94</v>
      </c>
      <c r="L113" s="17">
        <f>$J113-$B113</f>
        <v/>
      </c>
      <c r="M113" s="17">
        <f>$I113-$L113</f>
        <v/>
      </c>
      <c r="N113" s="23">
        <f>($G113-$M113)*100</f>
        <v/>
      </c>
      <c r="O113" s="15">
        <f>($E113-$C113)*100</f>
        <v/>
      </c>
      <c r="P113" s="15">
        <f>($G113-$E113)*100</f>
        <v/>
      </c>
      <c r="Q113" s="15">
        <f>($G113-$C113)*100</f>
        <v/>
      </c>
      <c r="R113" s="15">
        <f>IF($H113="","",($H113-$F113)*100)</f>
        <v/>
      </c>
      <c r="S113" s="15">
        <f>IF($H113="","",($H113-$G113)*100)</f>
        <v/>
      </c>
    </row>
    <row r="114">
      <c r="A114" s="11" t="n">
        <v>37281</v>
      </c>
      <c r="B114" s="22" t="n">
        <v>0.033</v>
      </c>
      <c r="C114" s="22" t="n">
        <v>0.07099999999999999</v>
      </c>
      <c r="D114" s="22" t="n">
        <v>0.647</v>
      </c>
      <c r="E114" s="22" t="n">
        <v>1.472</v>
      </c>
      <c r="F114" s="22" t="n">
        <v>2.118</v>
      </c>
      <c r="G114" s="22" t="n">
        <v>2.567</v>
      </c>
      <c r="H114" s="22" t="n"/>
      <c r="I114" s="22" t="n">
        <v>5.47</v>
      </c>
      <c r="J114" s="22" t="n">
        <v>2.25</v>
      </c>
      <c r="K114" s="22" t="n">
        <v>5.1</v>
      </c>
      <c r="L114" s="17">
        <f>$J114-$B114</f>
        <v/>
      </c>
      <c r="M114" s="17">
        <f>$I114-$L114</f>
        <v/>
      </c>
      <c r="N114" s="23">
        <f>($G114-$M114)*100</f>
        <v/>
      </c>
      <c r="O114" s="15">
        <f>($E114-$C114)*100</f>
        <v/>
      </c>
      <c r="P114" s="15">
        <f>($G114-$E114)*100</f>
        <v/>
      </c>
      <c r="Q114" s="15">
        <f>($G114-$C114)*100</f>
        <v/>
      </c>
      <c r="R114" s="15">
        <f>IF($H114="","",($H114-$F114)*100)</f>
        <v/>
      </c>
      <c r="S114" s="15">
        <f>IF($H114="","",($H114-$G114)*100)</f>
        <v/>
      </c>
    </row>
    <row r="115">
      <c r="A115" s="11" t="n">
        <v>37288</v>
      </c>
      <c r="B115" s="22" t="n">
        <v>0.033</v>
      </c>
      <c r="C115" s="22" t="n">
        <v>0.063</v>
      </c>
      <c r="D115" s="22" t="n">
        <v>0.696</v>
      </c>
      <c r="E115" s="22" t="n">
        <v>1.508</v>
      </c>
      <c r="F115" s="22" t="n">
        <v>2.2</v>
      </c>
      <c r="G115" s="22" t="n">
        <v>2.64</v>
      </c>
      <c r="H115" s="22" t="n"/>
      <c r="I115" s="22" t="n">
        <v>5.4</v>
      </c>
      <c r="J115" s="22" t="n">
        <v>2.22</v>
      </c>
      <c r="K115" s="22" t="n">
        <v>5.02</v>
      </c>
      <c r="L115" s="17">
        <f>$J115-$B115</f>
        <v/>
      </c>
      <c r="M115" s="17">
        <f>$I115-$L115</f>
        <v/>
      </c>
      <c r="N115" s="23">
        <f>($G115-$M115)*100</f>
        <v/>
      </c>
      <c r="O115" s="15">
        <f>($E115-$C115)*100</f>
        <v/>
      </c>
      <c r="P115" s="15">
        <f>($G115-$E115)*100</f>
        <v/>
      </c>
      <c r="Q115" s="15">
        <f>($G115-$C115)*100</f>
        <v/>
      </c>
      <c r="R115" s="15">
        <f>IF($H115="","",($H115-$F115)*100)</f>
        <v/>
      </c>
      <c r="S115" s="15">
        <f>IF($H115="","",($H115-$G115)*100)</f>
        <v/>
      </c>
    </row>
    <row r="116">
      <c r="A116" s="11" t="n">
        <v>37295</v>
      </c>
      <c r="B116" s="22" t="n">
        <v>0.026</v>
      </c>
      <c r="C116" s="22" t="n">
        <v>0.057</v>
      </c>
      <c r="D116" s="22" t="n">
        <v>0.632</v>
      </c>
      <c r="E116" s="22" t="n">
        <v>1.516</v>
      </c>
      <c r="F116" s="22" t="n">
        <v>2.185</v>
      </c>
      <c r="G116" s="22" t="n">
        <v>2.643</v>
      </c>
      <c r="H116" s="22" t="n"/>
      <c r="I116" s="22" t="n">
        <v>5.39</v>
      </c>
      <c r="J116" s="22" t="n">
        <v>2.16</v>
      </c>
      <c r="K116" s="22" t="n">
        <v>4.9</v>
      </c>
      <c r="L116" s="17">
        <f>$J116-$B116</f>
        <v/>
      </c>
      <c r="M116" s="17">
        <f>$I116-$L116</f>
        <v/>
      </c>
      <c r="N116" s="23">
        <f>($G116-$M116)*100</f>
        <v/>
      </c>
      <c r="O116" s="15">
        <f>($E116-$C116)*100</f>
        <v/>
      </c>
      <c r="P116" s="15">
        <f>($G116-$E116)*100</f>
        <v/>
      </c>
      <c r="Q116" s="15">
        <f>($G116-$C116)*100</f>
        <v/>
      </c>
      <c r="R116" s="15">
        <f>IF($H116="","",($H116-$F116)*100)</f>
        <v/>
      </c>
      <c r="S116" s="15">
        <f>IF($H116="","",($H116-$G116)*100)</f>
        <v/>
      </c>
    </row>
    <row r="117">
      <c r="A117" s="11" t="n">
        <v>37302</v>
      </c>
      <c r="B117" s="22" t="n">
        <v>0.033</v>
      </c>
      <c r="C117" s="22" t="n">
        <v>0.055</v>
      </c>
      <c r="D117" s="22" t="n">
        <v>0.642</v>
      </c>
      <c r="E117" s="22" t="n">
        <v>1.503</v>
      </c>
      <c r="F117" s="22" t="n">
        <v>2.141</v>
      </c>
      <c r="G117" s="22" t="n">
        <v>2.573</v>
      </c>
      <c r="H117" s="22" t="n"/>
      <c r="I117" s="22" t="n">
        <v>5.37</v>
      </c>
      <c r="J117" s="22" t="n">
        <v>2.2</v>
      </c>
      <c r="K117" s="22" t="n">
        <v>4.86</v>
      </c>
      <c r="L117" s="17">
        <f>$J117-$B117</f>
        <v/>
      </c>
      <c r="M117" s="17">
        <f>$I117-$L117</f>
        <v/>
      </c>
      <c r="N117" s="23">
        <f>($G117-$M117)*100</f>
        <v/>
      </c>
      <c r="O117" s="15">
        <f>($E117-$C117)*100</f>
        <v/>
      </c>
      <c r="P117" s="15">
        <f>($G117-$E117)*100</f>
        <v/>
      </c>
      <c r="Q117" s="15">
        <f>($G117-$C117)*100</f>
        <v/>
      </c>
      <c r="R117" s="15">
        <f>IF($H117="","",($H117-$F117)*100)</f>
        <v/>
      </c>
      <c r="S117" s="15">
        <f>IF($H117="","",($H117-$G117)*100)</f>
        <v/>
      </c>
    </row>
    <row r="118">
      <c r="A118" s="11" t="n">
        <v>37309</v>
      </c>
      <c r="B118" s="22" t="n">
        <v>0.038</v>
      </c>
      <c r="C118" s="22" t="n">
        <v>0.08</v>
      </c>
      <c r="D118" s="22" t="n">
        <v>0.645</v>
      </c>
      <c r="E118" s="22" t="n">
        <v>1.514</v>
      </c>
      <c r="F118" s="22" t="n">
        <v>2.154</v>
      </c>
      <c r="G118" s="22" t="n">
        <v>2.587</v>
      </c>
      <c r="H118" s="22" t="n"/>
      <c r="I118" s="22" t="n">
        <v>5.48</v>
      </c>
      <c r="J118" s="22" t="n">
        <v>2.22</v>
      </c>
      <c r="K118" s="22" t="n">
        <v>4.84</v>
      </c>
      <c r="L118" s="17">
        <f>$J118-$B118</f>
        <v/>
      </c>
      <c r="M118" s="17">
        <f>$I118-$L118</f>
        <v/>
      </c>
      <c r="N118" s="23">
        <f>($G118-$M118)*100</f>
        <v/>
      </c>
      <c r="O118" s="15">
        <f>($E118-$C118)*100</f>
        <v/>
      </c>
      <c r="P118" s="15">
        <f>($G118-$E118)*100</f>
        <v/>
      </c>
      <c r="Q118" s="15">
        <f>($G118-$C118)*100</f>
        <v/>
      </c>
      <c r="R118" s="15">
        <f>IF($H118="","",($H118-$F118)*100)</f>
        <v/>
      </c>
      <c r="S118" s="15">
        <f>IF($H118="","",($H118-$G118)*100)</f>
        <v/>
      </c>
    </row>
    <row r="119">
      <c r="A119" s="11" t="n">
        <v>37316</v>
      </c>
      <c r="B119" s="22" t="n">
        <v>0.034</v>
      </c>
      <c r="C119" s="22" t="n">
        <v>0.081</v>
      </c>
      <c r="D119" s="22" t="n">
        <v>0.641</v>
      </c>
      <c r="E119" s="22" t="n">
        <v>1.502</v>
      </c>
      <c r="F119" s="22" t="n">
        <v>2.125</v>
      </c>
      <c r="G119" s="22" t="n">
        <v>2.554</v>
      </c>
      <c r="H119" s="22" t="n"/>
      <c r="I119" s="22" t="n">
        <v>5.6</v>
      </c>
      <c r="J119" s="22" t="n">
        <v>2.33</v>
      </c>
      <c r="K119" s="22" t="n">
        <v>4.98</v>
      </c>
      <c r="L119" s="17">
        <f>$J119-$B119</f>
        <v/>
      </c>
      <c r="M119" s="17">
        <f>$I119-$L119</f>
        <v/>
      </c>
      <c r="N119" s="23">
        <f>($G119-$M119)*100</f>
        <v/>
      </c>
      <c r="O119" s="15">
        <f>($E119-$C119)*100</f>
        <v/>
      </c>
      <c r="P119" s="15">
        <f>($G119-$E119)*100</f>
        <v/>
      </c>
      <c r="Q119" s="15">
        <f>($G119-$C119)*100</f>
        <v/>
      </c>
      <c r="R119" s="15">
        <f>IF($H119="","",($H119-$F119)*100)</f>
        <v/>
      </c>
      <c r="S119" s="15">
        <f>IF($H119="","",($H119-$G119)*100)</f>
        <v/>
      </c>
    </row>
    <row r="120">
      <c r="A120" s="11" t="n">
        <v>37323</v>
      </c>
      <c r="B120" s="22" t="n">
        <v>0.035</v>
      </c>
      <c r="C120" s="22" t="n">
        <v>0.065</v>
      </c>
      <c r="D120" s="22" t="n">
        <v>0.597</v>
      </c>
      <c r="E120" s="22" t="n">
        <v>1.449</v>
      </c>
      <c r="F120" s="22" t="n">
        <v>2.043</v>
      </c>
      <c r="G120" s="22" t="n">
        <v>2.482</v>
      </c>
      <c r="H120" s="22" t="n"/>
      <c r="I120" s="22" t="n">
        <v>5.83</v>
      </c>
      <c r="J120" s="22" t="n">
        <v>2.57</v>
      </c>
      <c r="K120" s="22" t="n">
        <v>5.33</v>
      </c>
      <c r="L120" s="17">
        <f>$J120-$B120</f>
        <v/>
      </c>
      <c r="M120" s="17">
        <f>$I120-$L120</f>
        <v/>
      </c>
      <c r="N120" s="23">
        <f>($G120-$M120)*100</f>
        <v/>
      </c>
      <c r="O120" s="15">
        <f>($E120-$C120)*100</f>
        <v/>
      </c>
      <c r="P120" s="15">
        <f>($G120-$E120)*100</f>
        <v/>
      </c>
      <c r="Q120" s="15">
        <f>($G120-$C120)*100</f>
        <v/>
      </c>
      <c r="R120" s="15">
        <f>IF($H120="","",($H120-$F120)*100)</f>
        <v/>
      </c>
      <c r="S120" s="15">
        <f>IF($H120="","",($H120-$G120)*100)</f>
        <v/>
      </c>
    </row>
    <row r="121">
      <c r="A121" s="11" t="n">
        <v>37330</v>
      </c>
      <c r="B121" s="22" t="n">
        <v>0.034</v>
      </c>
      <c r="C121" s="22" t="n">
        <v>0.059</v>
      </c>
      <c r="D121" s="22" t="n">
        <v>0.5679999999999999</v>
      </c>
      <c r="E121" s="22" t="n">
        <v>1.45</v>
      </c>
      <c r="F121" s="22" t="n">
        <v>2.046</v>
      </c>
      <c r="G121" s="22" t="n">
        <v>2.454</v>
      </c>
      <c r="H121" s="22" t="n"/>
      <c r="I121" s="22" t="n">
        <v>5.86</v>
      </c>
      <c r="J121" s="22" t="n">
        <v>2.61</v>
      </c>
      <c r="K121" s="22" t="n">
        <v>5.35</v>
      </c>
      <c r="L121" s="17">
        <f>$J121-$B121</f>
        <v/>
      </c>
      <c r="M121" s="17">
        <f>$I121-$L121</f>
        <v/>
      </c>
      <c r="N121" s="23">
        <f>($G121-$M121)*100</f>
        <v/>
      </c>
      <c r="O121" s="15">
        <f>($E121-$C121)*100</f>
        <v/>
      </c>
      <c r="P121" s="15">
        <f>($G121-$E121)*100</f>
        <v/>
      </c>
      <c r="Q121" s="15">
        <f>($G121-$C121)*100</f>
        <v/>
      </c>
      <c r="R121" s="15">
        <f>IF($H121="","",($H121-$F121)*100)</f>
        <v/>
      </c>
      <c r="S121" s="15">
        <f>IF($H121="","",($H121-$G121)*100)</f>
        <v/>
      </c>
    </row>
    <row r="122">
      <c r="A122" s="11" t="n">
        <v>37337</v>
      </c>
      <c r="B122" s="22" t="n">
        <v>0.029</v>
      </c>
      <c r="C122" s="22" t="n">
        <v>0.045</v>
      </c>
      <c r="D122" s="22" t="n">
        <v>0.551</v>
      </c>
      <c r="E122" s="22" t="n">
        <v>1.435</v>
      </c>
      <c r="F122" s="22" t="n">
        <v>2.078</v>
      </c>
      <c r="G122" s="22" t="n">
        <v>2.441</v>
      </c>
      <c r="H122" s="22" t="n"/>
      <c r="I122" s="22" t="n">
        <v>5.89</v>
      </c>
      <c r="J122" s="22" t="n">
        <v>2.7</v>
      </c>
      <c r="K122" s="22" t="n">
        <v>5.4</v>
      </c>
      <c r="L122" s="17">
        <f>$J122-$B122</f>
        <v/>
      </c>
      <c r="M122" s="17">
        <f>$I122-$L122</f>
        <v/>
      </c>
      <c r="N122" s="23">
        <f>($G122-$M122)*100</f>
        <v/>
      </c>
      <c r="O122" s="15">
        <f>($E122-$C122)*100</f>
        <v/>
      </c>
      <c r="P122" s="15">
        <f>($G122-$E122)*100</f>
        <v/>
      </c>
      <c r="Q122" s="15">
        <f>($G122-$C122)*100</f>
        <v/>
      </c>
      <c r="R122" s="15">
        <f>IF($H122="","",($H122-$F122)*100)</f>
        <v/>
      </c>
      <c r="S122" s="15">
        <f>IF($H122="","",($H122-$G122)*100)</f>
        <v/>
      </c>
    </row>
    <row r="123">
      <c r="A123" s="11" t="n">
        <v>37344</v>
      </c>
      <c r="B123" s="22" t="n">
        <v>0.025</v>
      </c>
      <c r="C123" s="22" t="n">
        <v>0.051</v>
      </c>
      <c r="D123" s="22" t="n">
        <v>0.523</v>
      </c>
      <c r="E123" s="22" t="n">
        <v>1.399</v>
      </c>
      <c r="F123" s="22" t="n">
        <v>2.052</v>
      </c>
      <c r="G123" s="22" t="n">
        <v>2.445</v>
      </c>
      <c r="H123" s="22" t="n"/>
      <c r="I123" s="22" t="n">
        <v>5.91</v>
      </c>
      <c r="J123" s="22" t="n">
        <v>2.7</v>
      </c>
      <c r="K123" s="22" t="n">
        <v>5.42</v>
      </c>
      <c r="L123" s="17">
        <f>$J123-$B123</f>
        <v/>
      </c>
      <c r="M123" s="17">
        <f>$I123-$L123</f>
        <v/>
      </c>
      <c r="N123" s="23">
        <f>($G123-$M123)*100</f>
        <v/>
      </c>
      <c r="O123" s="15">
        <f>($E123-$C123)*100</f>
        <v/>
      </c>
      <c r="P123" s="15">
        <f>($G123-$E123)*100</f>
        <v/>
      </c>
      <c r="Q123" s="15">
        <f>($G123-$C123)*100</f>
        <v/>
      </c>
      <c r="R123" s="15">
        <f>IF($H123="","",($H123-$F123)*100)</f>
        <v/>
      </c>
      <c r="S123" s="15">
        <f>IF($H123="","",($H123-$G123)*100)</f>
        <v/>
      </c>
    </row>
    <row r="124">
      <c r="A124" s="11" t="n">
        <v>37351</v>
      </c>
      <c r="B124" s="22" t="n">
        <v>0.027</v>
      </c>
      <c r="C124" s="22" t="n">
        <v>0.055</v>
      </c>
      <c r="D124" s="22" t="n">
        <v>0.513</v>
      </c>
      <c r="E124" s="22" t="n">
        <v>1.386</v>
      </c>
      <c r="F124" s="22" t="n">
        <v>2.039</v>
      </c>
      <c r="G124" s="22" t="n">
        <v>2.407</v>
      </c>
      <c r="H124" s="22" t="n"/>
      <c r="I124" s="22" t="n">
        <v>5.79</v>
      </c>
      <c r="J124" s="22" t="n">
        <v>2.54</v>
      </c>
      <c r="K124" s="22" t="n">
        <v>5.22</v>
      </c>
      <c r="L124" s="17">
        <f>$J124-$B124</f>
        <v/>
      </c>
      <c r="M124" s="17">
        <f>$I124-$L124</f>
        <v/>
      </c>
      <c r="N124" s="23">
        <f>($G124-$M124)*100</f>
        <v/>
      </c>
      <c r="O124" s="15">
        <f>($E124-$C124)*100</f>
        <v/>
      </c>
      <c r="P124" s="15">
        <f>($G124-$E124)*100</f>
        <v/>
      </c>
      <c r="Q124" s="15">
        <f>($G124-$C124)*100</f>
        <v/>
      </c>
      <c r="R124" s="15">
        <f>IF($H124="","",($H124-$F124)*100)</f>
        <v/>
      </c>
      <c r="S124" s="15">
        <f>IF($H124="","",($H124-$G124)*100)</f>
        <v/>
      </c>
    </row>
    <row r="125">
      <c r="A125" s="11" t="n">
        <v>37358</v>
      </c>
      <c r="B125" s="22" t="n">
        <v>0.031</v>
      </c>
      <c r="C125" s="22" t="n">
        <v>0.053</v>
      </c>
      <c r="D125" s="22" t="n">
        <v>0.518</v>
      </c>
      <c r="E125" s="22" t="n">
        <v>1.392</v>
      </c>
      <c r="F125" s="22" t="n">
        <v>2.025</v>
      </c>
      <c r="G125" s="22" t="n">
        <v>2.367</v>
      </c>
      <c r="H125" s="22" t="n"/>
      <c r="I125" s="22" t="n">
        <v>5.79</v>
      </c>
      <c r="J125" s="22" t="n">
        <v>2.44</v>
      </c>
      <c r="K125" s="22" t="n">
        <v>5.18</v>
      </c>
      <c r="L125" s="17">
        <f>$J125-$B125</f>
        <v/>
      </c>
      <c r="M125" s="17">
        <f>$I125-$L125</f>
        <v/>
      </c>
      <c r="N125" s="23">
        <f>($G125-$M125)*100</f>
        <v/>
      </c>
      <c r="O125" s="15">
        <f>($E125-$C125)*100</f>
        <v/>
      </c>
      <c r="P125" s="15">
        <f>($G125-$E125)*100</f>
        <v/>
      </c>
      <c r="Q125" s="15">
        <f>($G125-$C125)*100</f>
        <v/>
      </c>
      <c r="R125" s="15">
        <f>IF($H125="","",($H125-$F125)*100)</f>
        <v/>
      </c>
      <c r="S125" s="15">
        <f>IF($H125="","",($H125-$G125)*100)</f>
        <v/>
      </c>
    </row>
    <row r="126">
      <c r="A126" s="11" t="n">
        <v>37365</v>
      </c>
      <c r="B126" s="22" t="n">
        <v>0.03</v>
      </c>
      <c r="C126" s="22" t="n">
        <v>0.055</v>
      </c>
      <c r="D126" s="22" t="n">
        <v>0.521</v>
      </c>
      <c r="E126" s="22" t="n">
        <v>1.405</v>
      </c>
      <c r="F126" s="22" t="n">
        <v>2.038</v>
      </c>
      <c r="G126" s="22" t="n">
        <v>2.366</v>
      </c>
      <c r="H126" s="22" t="n"/>
      <c r="I126" s="22" t="n">
        <v>5.8</v>
      </c>
      <c r="J126" s="22" t="n">
        <v>2.39</v>
      </c>
      <c r="K126" s="22" t="n">
        <v>5.21</v>
      </c>
      <c r="L126" s="17">
        <f>$J126-$B126</f>
        <v/>
      </c>
      <c r="M126" s="17">
        <f>$I126-$L126</f>
        <v/>
      </c>
      <c r="N126" s="23">
        <f>($G126-$M126)*100</f>
        <v/>
      </c>
      <c r="O126" s="15">
        <f>($E126-$C126)*100</f>
        <v/>
      </c>
      <c r="P126" s="15">
        <f>($G126-$E126)*100</f>
        <v/>
      </c>
      <c r="Q126" s="15">
        <f>($G126-$C126)*100</f>
        <v/>
      </c>
      <c r="R126" s="15">
        <f>IF($H126="","",($H126-$F126)*100)</f>
        <v/>
      </c>
      <c r="S126" s="15">
        <f>IF($H126="","",($H126-$G126)*100)</f>
        <v/>
      </c>
    </row>
    <row r="127">
      <c r="A127" s="11" t="n">
        <v>37372</v>
      </c>
      <c r="B127" s="22" t="n">
        <v>0.03</v>
      </c>
      <c r="C127" s="22" t="n">
        <v>0.055</v>
      </c>
      <c r="D127" s="22" t="n">
        <v>0.536</v>
      </c>
      <c r="E127" s="22" t="n">
        <v>1.417</v>
      </c>
      <c r="F127" s="22" t="n">
        <v>2.069</v>
      </c>
      <c r="G127" s="22" t="n">
        <v>2.407</v>
      </c>
      <c r="H127" s="22" t="n"/>
      <c r="I127" s="22" t="n">
        <v>5.73</v>
      </c>
      <c r="J127" s="22" t="n">
        <v>2.31</v>
      </c>
      <c r="K127" s="22" t="n">
        <v>5.08</v>
      </c>
      <c r="L127" s="17">
        <f>$J127-$B127</f>
        <v/>
      </c>
      <c r="M127" s="17">
        <f>$I127-$L127</f>
        <v/>
      </c>
      <c r="N127" s="23">
        <f>($G127-$M127)*100</f>
        <v/>
      </c>
      <c r="O127" s="15">
        <f>($E127-$C127)*100</f>
        <v/>
      </c>
      <c r="P127" s="15">
        <f>($G127-$E127)*100</f>
        <v/>
      </c>
      <c r="Q127" s="15">
        <f>($G127-$C127)*100</f>
        <v/>
      </c>
      <c r="R127" s="15">
        <f>IF($H127="","",($H127-$F127)*100)</f>
        <v/>
      </c>
      <c r="S127" s="15">
        <f>IF($H127="","",($H127-$G127)*100)</f>
        <v/>
      </c>
    </row>
    <row r="128">
      <c r="A128" s="11" t="n">
        <v>37379</v>
      </c>
      <c r="B128" s="22" t="n">
        <v>0.026</v>
      </c>
      <c r="C128" s="22" t="n">
        <v>0.05</v>
      </c>
      <c r="D128" s="22" t="n">
        <v>0.5</v>
      </c>
      <c r="E128" s="22" t="n">
        <v>1.378</v>
      </c>
      <c r="F128" s="22" t="n">
        <v>2.039</v>
      </c>
      <c r="G128" s="22" t="n">
        <v>2.395</v>
      </c>
      <c r="H128" s="22" t="n"/>
      <c r="I128" s="22" t="n">
        <v>5.65</v>
      </c>
      <c r="J128" s="22" t="n">
        <v>2.28</v>
      </c>
      <c r="K128" s="22" t="n">
        <v>5.08</v>
      </c>
      <c r="L128" s="17">
        <f>$J128-$B128</f>
        <v/>
      </c>
      <c r="M128" s="17">
        <f>$I128-$L128</f>
        <v/>
      </c>
      <c r="N128" s="23">
        <f>($G128-$M128)*100</f>
        <v/>
      </c>
      <c r="O128" s="15">
        <f>($E128-$C128)*100</f>
        <v/>
      </c>
      <c r="P128" s="15">
        <f>($G128-$E128)*100</f>
        <v/>
      </c>
      <c r="Q128" s="15">
        <f>($G128-$C128)*100</f>
        <v/>
      </c>
      <c r="R128" s="15">
        <f>IF($H128="","",($H128-$F128)*100)</f>
        <v/>
      </c>
      <c r="S128" s="15">
        <f>IF($H128="","",($H128-$G128)*100)</f>
        <v/>
      </c>
    </row>
    <row r="129">
      <c r="A129" s="11" t="n">
        <v>37386</v>
      </c>
      <c r="B129" s="22" t="n">
        <v>0.03</v>
      </c>
      <c r="C129" s="22" t="n">
        <v>0.052</v>
      </c>
      <c r="D129" s="22" t="n">
        <v>0.502</v>
      </c>
      <c r="E129" s="22" t="n">
        <v>1.366</v>
      </c>
      <c r="F129" s="22" t="n">
        <v>2.013</v>
      </c>
      <c r="G129" s="22" t="n">
        <v>2.402</v>
      </c>
      <c r="H129" s="22" t="n"/>
      <c r="I129" s="22" t="n">
        <v>5.72</v>
      </c>
      <c r="J129" s="22" t="n">
        <v>2.27</v>
      </c>
      <c r="K129" s="22" t="n">
        <v>5.15</v>
      </c>
      <c r="L129" s="17">
        <f>$J129-$B129</f>
        <v/>
      </c>
      <c r="M129" s="17">
        <f>$I129-$L129</f>
        <v/>
      </c>
      <c r="N129" s="23">
        <f>($G129-$M129)*100</f>
        <v/>
      </c>
      <c r="O129" s="15">
        <f>($E129-$C129)*100</f>
        <v/>
      </c>
      <c r="P129" s="15">
        <f>($G129-$E129)*100</f>
        <v/>
      </c>
      <c r="Q129" s="15">
        <f>($G129-$C129)*100</f>
        <v/>
      </c>
      <c r="R129" s="15">
        <f>IF($H129="","",($H129-$F129)*100)</f>
        <v/>
      </c>
      <c r="S129" s="15">
        <f>IF($H129="","",($H129-$G129)*100)</f>
        <v/>
      </c>
    </row>
    <row r="130">
      <c r="A130" s="11" t="n">
        <v>37393</v>
      </c>
      <c r="B130" s="22" t="n">
        <v>0.03</v>
      </c>
      <c r="C130" s="22" t="n">
        <v>0.051</v>
      </c>
      <c r="D130" s="22" t="n">
        <v>0.486</v>
      </c>
      <c r="E130" s="22" t="n">
        <v>1.365</v>
      </c>
      <c r="F130" s="22" t="n">
        <v>2.002</v>
      </c>
      <c r="G130" s="22" t="n">
        <v>2.33</v>
      </c>
      <c r="H130" s="22" t="n"/>
      <c r="I130" s="22" t="n">
        <v>5.84</v>
      </c>
      <c r="J130" s="22" t="n">
        <v>2.45</v>
      </c>
      <c r="K130" s="22" t="n">
        <v>5.27</v>
      </c>
      <c r="L130" s="17">
        <f>$J130-$B130</f>
        <v/>
      </c>
      <c r="M130" s="17">
        <f>$I130-$L130</f>
        <v/>
      </c>
      <c r="N130" s="23">
        <f>($G130-$M130)*100</f>
        <v/>
      </c>
      <c r="O130" s="15">
        <f>($E130-$C130)*100</f>
        <v/>
      </c>
      <c r="P130" s="15">
        <f>($G130-$E130)*100</f>
        <v/>
      </c>
      <c r="Q130" s="15">
        <f>($G130-$C130)*100</f>
        <v/>
      </c>
      <c r="R130" s="15">
        <f>IF($H130="","",($H130-$F130)*100)</f>
        <v/>
      </c>
      <c r="S130" s="15">
        <f>IF($H130="","",($H130-$G130)*100)</f>
        <v/>
      </c>
    </row>
    <row r="131">
      <c r="A131" s="11" t="n">
        <v>37400</v>
      </c>
      <c r="B131" s="22" t="n">
        <v>0.029</v>
      </c>
      <c r="C131" s="22" t="n">
        <v>0.061</v>
      </c>
      <c r="D131" s="22" t="n">
        <v>0.529</v>
      </c>
      <c r="E131" s="22" t="n">
        <v>1.394</v>
      </c>
      <c r="F131" s="22" t="n">
        <v>2.031</v>
      </c>
      <c r="G131" s="22" t="n">
        <v>2.33</v>
      </c>
      <c r="H131" s="22" t="n"/>
      <c r="I131" s="22" t="n">
        <v>5.78</v>
      </c>
      <c r="J131" s="22" t="n">
        <v>2.37</v>
      </c>
      <c r="K131" s="22" t="n">
        <v>5.16</v>
      </c>
      <c r="L131" s="17">
        <f>$J131-$B131</f>
        <v/>
      </c>
      <c r="M131" s="17">
        <f>$I131-$L131</f>
        <v/>
      </c>
      <c r="N131" s="23">
        <f>($G131-$M131)*100</f>
        <v/>
      </c>
      <c r="O131" s="15">
        <f>($E131-$C131)*100</f>
        <v/>
      </c>
      <c r="P131" s="15">
        <f>($G131-$E131)*100</f>
        <v/>
      </c>
      <c r="Q131" s="15">
        <f>($G131-$C131)*100</f>
        <v/>
      </c>
      <c r="R131" s="15">
        <f>IF($H131="","",($H131-$F131)*100)</f>
        <v/>
      </c>
      <c r="S131" s="15">
        <f>IF($H131="","",($H131-$G131)*100)</f>
        <v/>
      </c>
    </row>
    <row r="132">
      <c r="A132" s="11" t="n">
        <v>37407</v>
      </c>
      <c r="B132" s="22" t="n">
        <v>0.026</v>
      </c>
      <c r="C132" s="22" t="n">
        <v>0.067</v>
      </c>
      <c r="D132" s="22" t="n">
        <v>0.5</v>
      </c>
      <c r="E132" s="22" t="n">
        <v>1.371</v>
      </c>
      <c r="F132" s="22" t="n">
        <v>2.012</v>
      </c>
      <c r="G132" s="22" t="n">
        <v>2.317</v>
      </c>
      <c r="H132" s="22" t="n"/>
      <c r="I132" s="22" t="n">
        <v>5.75</v>
      </c>
      <c r="J132" s="22" t="n">
        <v>2.34</v>
      </c>
      <c r="K132" s="22" t="n">
        <v>5.08</v>
      </c>
      <c r="L132" s="17">
        <f>$J132-$B132</f>
        <v/>
      </c>
      <c r="M132" s="17">
        <f>$I132-$L132</f>
        <v/>
      </c>
      <c r="N132" s="23">
        <f>($G132-$M132)*100</f>
        <v/>
      </c>
      <c r="O132" s="15">
        <f>($E132-$C132)*100</f>
        <v/>
      </c>
      <c r="P132" s="15">
        <f>($G132-$E132)*100</f>
        <v/>
      </c>
      <c r="Q132" s="15">
        <f>($G132-$C132)*100</f>
        <v/>
      </c>
      <c r="R132" s="15">
        <f>IF($H132="","",($H132-$F132)*100)</f>
        <v/>
      </c>
      <c r="S132" s="15">
        <f>IF($H132="","",($H132-$G132)*100)</f>
        <v/>
      </c>
    </row>
    <row r="133">
      <c r="A133" s="11" t="n">
        <v>37414</v>
      </c>
      <c r="B133" s="22" t="n">
        <v>0.03</v>
      </c>
      <c r="C133" s="22" t="n">
        <v>0.068</v>
      </c>
      <c r="D133" s="22" t="n">
        <v>0.476</v>
      </c>
      <c r="E133" s="22" t="n">
        <v>1.35</v>
      </c>
      <c r="F133" s="22" t="n">
        <v>2.005</v>
      </c>
      <c r="G133" s="22" t="n">
        <v>2.307</v>
      </c>
      <c r="H133" s="22" t="n"/>
      <c r="I133" s="22" t="n">
        <v>5.81</v>
      </c>
      <c r="J133" s="22" t="n">
        <v>2.31</v>
      </c>
      <c r="K133" s="22" t="n">
        <v>5.1</v>
      </c>
      <c r="L133" s="17">
        <f>$J133-$B133</f>
        <v/>
      </c>
      <c r="M133" s="17">
        <f>$I133-$L133</f>
        <v/>
      </c>
      <c r="N133" s="23">
        <f>($G133-$M133)*100</f>
        <v/>
      </c>
      <c r="O133" s="15">
        <f>($E133-$C133)*100</f>
        <v/>
      </c>
      <c r="P133" s="15">
        <f>($G133-$E133)*100</f>
        <v/>
      </c>
      <c r="Q133" s="15">
        <f>($G133-$C133)*100</f>
        <v/>
      </c>
      <c r="R133" s="15">
        <f>IF($H133="","",($H133-$F133)*100)</f>
        <v/>
      </c>
      <c r="S133" s="15">
        <f>IF($H133="","",($H133-$G133)*100)</f>
        <v/>
      </c>
    </row>
    <row r="134">
      <c r="A134" s="11" t="n">
        <v>37421</v>
      </c>
      <c r="B134" s="22" t="n">
        <v>0.03</v>
      </c>
      <c r="C134" s="22" t="n">
        <v>0.06900000000000001</v>
      </c>
      <c r="D134" s="22" t="n">
        <v>0.457</v>
      </c>
      <c r="E134" s="22" t="n">
        <v>1.353</v>
      </c>
      <c r="F134" s="22" t="n">
        <v>2.013</v>
      </c>
      <c r="G134" s="22" t="n">
        <v>2.304</v>
      </c>
      <c r="H134" s="22" t="n"/>
      <c r="I134" s="22" t="n">
        <v>5.59</v>
      </c>
      <c r="J134" s="22" t="n">
        <v>2.16</v>
      </c>
      <c r="K134" s="22" t="n">
        <v>4.83</v>
      </c>
      <c r="L134" s="17">
        <f>$J134-$B134</f>
        <v/>
      </c>
      <c r="M134" s="17">
        <f>$I134-$L134</f>
        <v/>
      </c>
      <c r="N134" s="23">
        <f>($G134-$M134)*100</f>
        <v/>
      </c>
      <c r="O134" s="15">
        <f>($E134-$C134)*100</f>
        <v/>
      </c>
      <c r="P134" s="15">
        <f>($G134-$E134)*100</f>
        <v/>
      </c>
      <c r="Q134" s="15">
        <f>($G134-$C134)*100</f>
        <v/>
      </c>
      <c r="R134" s="15">
        <f>IF($H134="","",($H134-$F134)*100)</f>
        <v/>
      </c>
      <c r="S134" s="15">
        <f>IF($H134="","",($H134-$G134)*100)</f>
        <v/>
      </c>
    </row>
    <row r="135">
      <c r="A135" s="11" t="n">
        <v>37428</v>
      </c>
      <c r="B135" s="22" t="n">
        <v>0.03</v>
      </c>
      <c r="C135" s="22" t="n">
        <v>0.065</v>
      </c>
      <c r="D135" s="22" t="n">
        <v>0.428</v>
      </c>
      <c r="E135" s="22" t="n">
        <v>1.324</v>
      </c>
      <c r="F135" s="22" t="n">
        <v>1.975</v>
      </c>
      <c r="G135" s="22" t="n">
        <v>2.246</v>
      </c>
      <c r="H135" s="22" t="n"/>
      <c r="I135" s="22" t="n">
        <v>5.56</v>
      </c>
      <c r="J135" s="22" t="n">
        <v>2.09</v>
      </c>
      <c r="K135" s="22" t="n">
        <v>4.79</v>
      </c>
      <c r="L135" s="17">
        <f>$J135-$B135</f>
        <v/>
      </c>
      <c r="M135" s="17">
        <f>$I135-$L135</f>
        <v/>
      </c>
      <c r="N135" s="23">
        <f>($G135-$M135)*100</f>
        <v/>
      </c>
      <c r="O135" s="15">
        <f>($E135-$C135)*100</f>
        <v/>
      </c>
      <c r="P135" s="15">
        <f>($G135-$E135)*100</f>
        <v/>
      </c>
      <c r="Q135" s="15">
        <f>($G135-$C135)*100</f>
        <v/>
      </c>
      <c r="R135" s="15">
        <f>IF($H135="","",($H135-$F135)*100)</f>
        <v/>
      </c>
      <c r="S135" s="15">
        <f>IF($H135="","",($H135-$G135)*100)</f>
        <v/>
      </c>
    </row>
    <row r="136">
      <c r="A136" s="11" t="n">
        <v>37435</v>
      </c>
      <c r="B136" s="22" t="n">
        <v>0.028</v>
      </c>
      <c r="C136" s="22" t="n">
        <v>0.06</v>
      </c>
      <c r="D136" s="22" t="n">
        <v>0.411</v>
      </c>
      <c r="E136" s="22" t="n">
        <v>1.305</v>
      </c>
      <c r="F136" s="22" t="n">
        <v>1.951</v>
      </c>
      <c r="G136" s="22" t="n">
        <v>2.205</v>
      </c>
      <c r="H136" s="22" t="n"/>
      <c r="I136" s="22" t="n">
        <v>5.7</v>
      </c>
      <c r="J136" s="22" t="n">
        <v>2.06</v>
      </c>
      <c r="K136" s="22" t="n">
        <v>4.86</v>
      </c>
      <c r="L136" s="17">
        <f>$J136-$B136</f>
        <v/>
      </c>
      <c r="M136" s="17">
        <f>$I136-$L136</f>
        <v/>
      </c>
      <c r="N136" s="23">
        <f>($G136-$M136)*100</f>
        <v/>
      </c>
      <c r="O136" s="15">
        <f>($E136-$C136)*100</f>
        <v/>
      </c>
      <c r="P136" s="15">
        <f>($G136-$E136)*100</f>
        <v/>
      </c>
      <c r="Q136" s="15">
        <f>($G136-$C136)*100</f>
        <v/>
      </c>
      <c r="R136" s="15">
        <f>IF($H136="","",($H136-$F136)*100)</f>
        <v/>
      </c>
      <c r="S136" s="15">
        <f>IF($H136="","",($H136-$G136)*100)</f>
        <v/>
      </c>
    </row>
    <row r="137">
      <c r="A137" s="11" t="n">
        <v>37442</v>
      </c>
      <c r="B137" s="22" t="n">
        <v>0.03</v>
      </c>
      <c r="C137" s="22" t="n">
        <v>0.06</v>
      </c>
      <c r="D137" s="22" t="n">
        <v>0.434</v>
      </c>
      <c r="E137" s="22" t="n">
        <v>1.311</v>
      </c>
      <c r="F137" s="22" t="n">
        <v>1.948</v>
      </c>
      <c r="G137" s="22" t="n">
        <v>2.194</v>
      </c>
      <c r="H137" s="22" t="n"/>
      <c r="I137" s="22" t="n">
        <v>5.7</v>
      </c>
      <c r="J137" s="22" t="n">
        <v>2.08</v>
      </c>
      <c r="K137" s="22" t="n">
        <v>4.9</v>
      </c>
      <c r="L137" s="17">
        <f>$J137-$B137</f>
        <v/>
      </c>
      <c r="M137" s="17">
        <f>$I137-$L137</f>
        <v/>
      </c>
      <c r="N137" s="23">
        <f>($G137-$M137)*100</f>
        <v/>
      </c>
      <c r="O137" s="15">
        <f>($E137-$C137)*100</f>
        <v/>
      </c>
      <c r="P137" s="15">
        <f>($G137-$E137)*100</f>
        <v/>
      </c>
      <c r="Q137" s="15">
        <f>($G137-$C137)*100</f>
        <v/>
      </c>
      <c r="R137" s="15">
        <f>IF($H137="","",($H137-$F137)*100)</f>
        <v/>
      </c>
      <c r="S137" s="15">
        <f>IF($H137="","",($H137-$G137)*100)</f>
        <v/>
      </c>
    </row>
    <row r="138">
      <c r="A138" s="11" t="n">
        <v>37449</v>
      </c>
      <c r="B138" s="22" t="n">
        <v>0.03</v>
      </c>
      <c r="C138" s="22" t="n">
        <v>0.055</v>
      </c>
      <c r="D138" s="22" t="n">
        <v>0.408</v>
      </c>
      <c r="E138" s="22" t="n">
        <v>1.285</v>
      </c>
      <c r="F138" s="22" t="n">
        <v>1.918</v>
      </c>
      <c r="G138" s="22" t="n">
        <v>2.148</v>
      </c>
      <c r="H138" s="22" t="n"/>
      <c r="I138" s="22" t="n">
        <v>5.55</v>
      </c>
      <c r="J138" s="22" t="n">
        <v>1.97</v>
      </c>
      <c r="K138" s="22" t="n">
        <v>4.63</v>
      </c>
      <c r="L138" s="17">
        <f>$J138-$B138</f>
        <v/>
      </c>
      <c r="M138" s="17">
        <f>$I138-$L138</f>
        <v/>
      </c>
      <c r="N138" s="23">
        <f>($G138-$M138)*100</f>
        <v/>
      </c>
      <c r="O138" s="15">
        <f>($E138-$C138)*100</f>
        <v/>
      </c>
      <c r="P138" s="15">
        <f>($G138-$E138)*100</f>
        <v/>
      </c>
      <c r="Q138" s="15">
        <f>($G138-$C138)*100</f>
        <v/>
      </c>
      <c r="R138" s="15">
        <f>IF($H138="","",($H138-$F138)*100)</f>
        <v/>
      </c>
      <c r="S138" s="15">
        <f>IF($H138="","",($H138-$G138)*100)</f>
        <v/>
      </c>
    </row>
    <row r="139">
      <c r="A139" s="11" t="n">
        <v>37456</v>
      </c>
      <c r="B139" s="22" t="n">
        <v>0.03</v>
      </c>
      <c r="C139" s="22" t="n">
        <v>0.05</v>
      </c>
      <c r="D139" s="22" t="n">
        <v>0.405</v>
      </c>
      <c r="E139" s="22" t="n">
        <v>1.261</v>
      </c>
      <c r="F139" s="22" t="n">
        <v>1.876</v>
      </c>
      <c r="G139" s="22" t="n">
        <v>2.062</v>
      </c>
      <c r="H139" s="22" t="n"/>
      <c r="I139" s="22" t="n">
        <v>5.55</v>
      </c>
      <c r="J139" s="22" t="n">
        <v>1.94</v>
      </c>
      <c r="K139" s="22" t="n">
        <v>4.61</v>
      </c>
      <c r="L139" s="17">
        <f>$J139-$B139</f>
        <v/>
      </c>
      <c r="M139" s="17">
        <f>$I139-$L139</f>
        <v/>
      </c>
      <c r="N139" s="23">
        <f>($G139-$M139)*100</f>
        <v/>
      </c>
      <c r="O139" s="15">
        <f>($E139-$C139)*100</f>
        <v/>
      </c>
      <c r="P139" s="15">
        <f>($G139-$E139)*100</f>
        <v/>
      </c>
      <c r="Q139" s="15">
        <f>($G139-$C139)*100</f>
        <v/>
      </c>
      <c r="R139" s="15">
        <f>IF($H139="","",($H139-$F139)*100)</f>
        <v/>
      </c>
      <c r="S139" s="15">
        <f>IF($H139="","",($H139-$G139)*100)</f>
        <v/>
      </c>
    </row>
    <row r="140">
      <c r="A140" s="11" t="n">
        <v>37463</v>
      </c>
      <c r="B140" s="22" t="n">
        <v>0.028</v>
      </c>
      <c r="C140" s="22" t="n">
        <v>0.045</v>
      </c>
      <c r="D140" s="22" t="n">
        <v>0.439</v>
      </c>
      <c r="E140" s="22" t="n">
        <v>1.333</v>
      </c>
      <c r="F140" s="22" t="n">
        <v>1.958</v>
      </c>
      <c r="G140" s="22" t="n">
        <v>2.142</v>
      </c>
      <c r="H140" s="22" t="n"/>
      <c r="I140" s="22" t="n">
        <v>5.52</v>
      </c>
      <c r="J140" s="22" t="n">
        <v>1.8</v>
      </c>
      <c r="K140" s="22" t="n">
        <v>4.43</v>
      </c>
      <c r="L140" s="17">
        <f>$J140-$B140</f>
        <v/>
      </c>
      <c r="M140" s="17">
        <f>$I140-$L140</f>
        <v/>
      </c>
      <c r="N140" s="23">
        <f>($G140-$M140)*100</f>
        <v/>
      </c>
      <c r="O140" s="15">
        <f>($E140-$C140)*100</f>
        <v/>
      </c>
      <c r="P140" s="15">
        <f>($G140-$E140)*100</f>
        <v/>
      </c>
      <c r="Q140" s="15">
        <f>($G140-$C140)*100</f>
        <v/>
      </c>
      <c r="R140" s="15">
        <f>IF($H140="","",($H140-$F140)*100)</f>
        <v/>
      </c>
      <c r="S140" s="15">
        <f>IF($H140="","",($H140-$G140)*100)</f>
        <v/>
      </c>
    </row>
    <row r="141">
      <c r="A141" s="11" t="n">
        <v>37470</v>
      </c>
      <c r="B141" s="22" t="n">
        <v>0.016</v>
      </c>
      <c r="C141" s="22" t="n">
        <v>0.033</v>
      </c>
      <c r="D141" s="22" t="n">
        <v>0.398</v>
      </c>
      <c r="E141" s="22" t="n">
        <v>1.296</v>
      </c>
      <c r="F141" s="22" t="n">
        <v>1.957</v>
      </c>
      <c r="G141" s="22" t="n">
        <v>2.175</v>
      </c>
      <c r="H141" s="22" t="n"/>
      <c r="I141" s="22" t="n">
        <v>5.44</v>
      </c>
      <c r="J141" s="22" t="n">
        <v>1.65</v>
      </c>
      <c r="K141" s="22" t="n">
        <v>4.33</v>
      </c>
      <c r="L141" s="17">
        <f>$J141-$B141</f>
        <v/>
      </c>
      <c r="M141" s="17">
        <f>$I141-$L141</f>
        <v/>
      </c>
      <c r="N141" s="23">
        <f>($G141-$M141)*100</f>
        <v/>
      </c>
      <c r="O141" s="15">
        <f>($E141-$C141)*100</f>
        <v/>
      </c>
      <c r="P141" s="15">
        <f>($G141-$E141)*100</f>
        <v/>
      </c>
      <c r="Q141" s="15">
        <f>($G141-$C141)*100</f>
        <v/>
      </c>
      <c r="R141" s="15">
        <f>IF($H141="","",($H141-$F141)*100)</f>
        <v/>
      </c>
      <c r="S141" s="15">
        <f>IF($H141="","",($H141-$G141)*100)</f>
        <v/>
      </c>
    </row>
    <row r="142">
      <c r="A142" s="11" t="n">
        <v>37477</v>
      </c>
      <c r="B142" s="22" t="n">
        <v>0.014</v>
      </c>
      <c r="C142" s="22" t="n">
        <v>0.032</v>
      </c>
      <c r="D142" s="22" t="n">
        <v>0.378</v>
      </c>
      <c r="E142" s="22" t="n">
        <v>1.261</v>
      </c>
      <c r="F142" s="22" t="n">
        <v>1.913</v>
      </c>
      <c r="G142" s="22" t="n">
        <v>2.139</v>
      </c>
      <c r="H142" s="22" t="n"/>
      <c r="I142" s="22" t="n">
        <v>5.35</v>
      </c>
      <c r="J142" s="22" t="n">
        <v>1.68</v>
      </c>
      <c r="K142" s="22" t="n">
        <v>4.27</v>
      </c>
      <c r="L142" s="17">
        <f>$J142-$B142</f>
        <v/>
      </c>
      <c r="M142" s="17">
        <f>$I142-$L142</f>
        <v/>
      </c>
      <c r="N142" s="23">
        <f>($G142-$M142)*100</f>
        <v/>
      </c>
      <c r="O142" s="15">
        <f>($E142-$C142)*100</f>
        <v/>
      </c>
      <c r="P142" s="15">
        <f>($G142-$E142)*100</f>
        <v/>
      </c>
      <c r="Q142" s="15">
        <f>($G142-$C142)*100</f>
        <v/>
      </c>
      <c r="R142" s="15">
        <f>IF($H142="","",($H142-$F142)*100)</f>
        <v/>
      </c>
      <c r="S142" s="15">
        <f>IF($H142="","",($H142-$G142)*100)</f>
        <v/>
      </c>
    </row>
    <row r="143">
      <c r="A143" s="11" t="n">
        <v>37484</v>
      </c>
      <c r="B143" s="22" t="n">
        <v>0.012</v>
      </c>
      <c r="C143" s="22" t="n">
        <v>0.031</v>
      </c>
      <c r="D143" s="22" t="n">
        <v>0.379</v>
      </c>
      <c r="E143" s="22" t="n">
        <v>1.286</v>
      </c>
      <c r="F143" s="22" t="n">
        <v>1.976</v>
      </c>
      <c r="G143" s="22" t="n">
        <v>2.211</v>
      </c>
      <c r="H143" s="22" t="n"/>
      <c r="I143" s="22" t="n">
        <v>5.24</v>
      </c>
      <c r="J143" s="22" t="n">
        <v>1.82</v>
      </c>
      <c r="K143" s="22" t="n">
        <v>4.32</v>
      </c>
      <c r="L143" s="17">
        <f>$J143-$B143</f>
        <v/>
      </c>
      <c r="M143" s="17">
        <f>$I143-$L143</f>
        <v/>
      </c>
      <c r="N143" s="23">
        <f>($G143-$M143)*100</f>
        <v/>
      </c>
      <c r="O143" s="15">
        <f>($E143-$C143)*100</f>
        <v/>
      </c>
      <c r="P143" s="15">
        <f>($G143-$E143)*100</f>
        <v/>
      </c>
      <c r="Q143" s="15">
        <f>($G143-$C143)*100</f>
        <v/>
      </c>
      <c r="R143" s="15">
        <f>IF($H143="","",($H143-$F143)*100)</f>
        <v/>
      </c>
      <c r="S143" s="15">
        <f>IF($H143="","",($H143-$G143)*100)</f>
        <v/>
      </c>
    </row>
    <row r="144">
      <c r="A144" s="11" t="n">
        <v>37491</v>
      </c>
      <c r="B144" s="22" t="n">
        <v>0.008999999999999999</v>
      </c>
      <c r="C144" s="22" t="n">
        <v>0.015</v>
      </c>
      <c r="D144" s="22" t="n">
        <v>0.337</v>
      </c>
      <c r="E144" s="22" t="n">
        <v>1.226</v>
      </c>
      <c r="F144" s="22" t="n">
        <v>1.921</v>
      </c>
      <c r="G144" s="22" t="n">
        <v>2.178</v>
      </c>
      <c r="H144" s="22" t="n"/>
      <c r="I144" s="22" t="n">
        <v>5.25</v>
      </c>
      <c r="J144" s="22" t="n">
        <v>1.8</v>
      </c>
      <c r="K144" s="22" t="n">
        <v>4.25</v>
      </c>
      <c r="L144" s="17">
        <f>$J144-$B144</f>
        <v/>
      </c>
      <c r="M144" s="17">
        <f>$I144-$L144</f>
        <v/>
      </c>
      <c r="N144" s="23">
        <f>($G144-$M144)*100</f>
        <v/>
      </c>
      <c r="O144" s="15">
        <f>($E144-$C144)*100</f>
        <v/>
      </c>
      <c r="P144" s="15">
        <f>($G144-$E144)*100</f>
        <v/>
      </c>
      <c r="Q144" s="15">
        <f>($G144-$C144)*100</f>
        <v/>
      </c>
      <c r="R144" s="15">
        <f>IF($H144="","",($H144-$F144)*100)</f>
        <v/>
      </c>
      <c r="S144" s="15">
        <f>IF($H144="","",($H144-$G144)*100)</f>
        <v/>
      </c>
    </row>
    <row r="145">
      <c r="A145" s="11" t="n">
        <v>37498</v>
      </c>
      <c r="B145" s="22" t="n">
        <v>0.007</v>
      </c>
      <c r="C145" s="22" t="n">
        <v>0.02</v>
      </c>
      <c r="D145" s="22" t="n">
        <v>0.309</v>
      </c>
      <c r="E145" s="22" t="n">
        <v>1.144</v>
      </c>
      <c r="F145" s="22" t="n">
        <v>1.831</v>
      </c>
      <c r="G145" s="22" t="n">
        <v>2.045</v>
      </c>
      <c r="H145" s="22" t="n"/>
      <c r="I145" s="22" t="n">
        <v>5.11</v>
      </c>
      <c r="J145" s="22" t="n">
        <v>1.74</v>
      </c>
      <c r="K145" s="22" t="n">
        <v>4.14</v>
      </c>
      <c r="L145" s="17">
        <f>$J145-$B145</f>
        <v/>
      </c>
      <c r="M145" s="17">
        <f>$I145-$L145</f>
        <v/>
      </c>
      <c r="N145" s="23">
        <f>($G145-$M145)*100</f>
        <v/>
      </c>
      <c r="O145" s="15">
        <f>($E145-$C145)*100</f>
        <v/>
      </c>
      <c r="P145" s="15">
        <f>($G145-$E145)*100</f>
        <v/>
      </c>
      <c r="Q145" s="15">
        <f>($G145-$C145)*100</f>
        <v/>
      </c>
      <c r="R145" s="15">
        <f>IF($H145="","",($H145-$F145)*100)</f>
        <v/>
      </c>
      <c r="S145" s="15">
        <f>IF($H145="","",($H145-$G145)*100)</f>
        <v/>
      </c>
    </row>
    <row r="146">
      <c r="A146" s="11" t="n">
        <v>37505</v>
      </c>
      <c r="B146" s="22" t="n">
        <v>0.008999999999999999</v>
      </c>
      <c r="C146" s="22" t="n">
        <v>0.02</v>
      </c>
      <c r="D146" s="22" t="n">
        <v>0.3</v>
      </c>
      <c r="E146" s="22" t="n">
        <v>1.103</v>
      </c>
      <c r="F146" s="22" t="n">
        <v>1.764</v>
      </c>
      <c r="G146" s="22" t="n">
        <v>1.958</v>
      </c>
      <c r="H146" s="22" t="n"/>
      <c r="I146" s="22" t="n">
        <v>5.07</v>
      </c>
      <c r="J146" s="22" t="n">
        <v>1.75</v>
      </c>
      <c r="K146" s="22" t="n">
        <v>4.05</v>
      </c>
      <c r="L146" s="17">
        <f>$J146-$B146</f>
        <v/>
      </c>
      <c r="M146" s="17">
        <f>$I146-$L146</f>
        <v/>
      </c>
      <c r="N146" s="23">
        <f>($G146-$M146)*100</f>
        <v/>
      </c>
      <c r="O146" s="15">
        <f>($E146-$C146)*100</f>
        <v/>
      </c>
      <c r="P146" s="15">
        <f>($G146-$E146)*100</f>
        <v/>
      </c>
      <c r="Q146" s="15">
        <f>($G146-$C146)*100</f>
        <v/>
      </c>
      <c r="R146" s="15">
        <f>IF($H146="","",($H146-$F146)*100)</f>
        <v/>
      </c>
      <c r="S146" s="15">
        <f>IF($H146="","",($H146-$G146)*100)</f>
        <v/>
      </c>
    </row>
    <row r="147">
      <c r="A147" s="11" t="n">
        <v>37512</v>
      </c>
      <c r="B147" s="22" t="n">
        <v>0.012</v>
      </c>
      <c r="C147" s="22" t="n">
        <v>0.025</v>
      </c>
      <c r="D147" s="22" t="n">
        <v>0.284</v>
      </c>
      <c r="E147" s="22" t="n">
        <v>1.017</v>
      </c>
      <c r="F147" s="22" t="n">
        <v>1.657</v>
      </c>
      <c r="G147" s="22" t="n">
        <v>1.839</v>
      </c>
      <c r="H147" s="22" t="n"/>
      <c r="I147" s="22" t="n">
        <v>4.97</v>
      </c>
      <c r="J147" s="22" t="n">
        <v>1.74</v>
      </c>
      <c r="K147" s="22" t="n">
        <v>3.92</v>
      </c>
      <c r="L147" s="17">
        <f>$J147-$B147</f>
        <v/>
      </c>
      <c r="M147" s="17">
        <f>$I147-$L147</f>
        <v/>
      </c>
      <c r="N147" s="23">
        <f>($G147-$M147)*100</f>
        <v/>
      </c>
      <c r="O147" s="15">
        <f>($E147-$C147)*100</f>
        <v/>
      </c>
      <c r="P147" s="15">
        <f>($G147-$E147)*100</f>
        <v/>
      </c>
      <c r="Q147" s="15">
        <f>($G147-$C147)*100</f>
        <v/>
      </c>
      <c r="R147" s="15">
        <f>IF($H147="","",($H147-$F147)*100)</f>
        <v/>
      </c>
      <c r="S147" s="15">
        <f>IF($H147="","",($H147-$G147)*100)</f>
        <v/>
      </c>
    </row>
    <row r="148">
      <c r="A148" s="11" t="n">
        <v>37519</v>
      </c>
      <c r="B148" s="22" t="n">
        <v>0.01</v>
      </c>
      <c r="C148" s="22" t="n">
        <v>0.045</v>
      </c>
      <c r="D148" s="22" t="n">
        <v>0.35</v>
      </c>
      <c r="E148" s="22" t="n">
        <v>1.288</v>
      </c>
      <c r="F148" s="22" t="n">
        <v>1.898</v>
      </c>
      <c r="G148" s="22" t="n">
        <v>2.095</v>
      </c>
      <c r="H148" s="22" t="n"/>
      <c r="I148" s="22" t="n">
        <v>4.95</v>
      </c>
      <c r="J148" s="22" t="n">
        <v>1.68</v>
      </c>
      <c r="K148" s="22" t="n">
        <v>3.79</v>
      </c>
      <c r="L148" s="17">
        <f>$J148-$B148</f>
        <v/>
      </c>
      <c r="M148" s="17">
        <f>$I148-$L148</f>
        <v/>
      </c>
      <c r="N148" s="23">
        <f>($G148-$M148)*100</f>
        <v/>
      </c>
      <c r="O148" s="15">
        <f>($E148-$C148)*100</f>
        <v/>
      </c>
      <c r="P148" s="15">
        <f>($G148-$E148)*100</f>
        <v/>
      </c>
      <c r="Q148" s="15">
        <f>($G148-$C148)*100</f>
        <v/>
      </c>
      <c r="R148" s="15">
        <f>IF($H148="","",($H148-$F148)*100)</f>
        <v/>
      </c>
      <c r="S148" s="15">
        <f>IF($H148="","",($H148-$G148)*100)</f>
        <v/>
      </c>
    </row>
    <row r="149">
      <c r="A149" s="11" t="n">
        <v>37526</v>
      </c>
      <c r="B149" s="22" t="n">
        <v>0.008999999999999999</v>
      </c>
      <c r="C149" s="22" t="n">
        <v>0.055</v>
      </c>
      <c r="D149" s="22" t="n">
        <v>0.357</v>
      </c>
      <c r="E149" s="22" t="n">
        <v>1.202</v>
      </c>
      <c r="F149" s="22" t="n">
        <v>1.882</v>
      </c>
      <c r="G149" s="22" t="n">
        <v>2.051</v>
      </c>
      <c r="H149" s="22" t="n"/>
      <c r="I149" s="22" t="n">
        <v>4.91</v>
      </c>
      <c r="J149" s="22" t="n">
        <v>1.62</v>
      </c>
      <c r="K149" s="22" t="n">
        <v>3.69</v>
      </c>
      <c r="L149" s="17">
        <f>$J149-$B149</f>
        <v/>
      </c>
      <c r="M149" s="17">
        <f>$I149-$L149</f>
        <v/>
      </c>
      <c r="N149" s="23">
        <f>($G149-$M149)*100</f>
        <v/>
      </c>
      <c r="O149" s="15">
        <f>($E149-$C149)*100</f>
        <v/>
      </c>
      <c r="P149" s="15">
        <f>($G149-$E149)*100</f>
        <v/>
      </c>
      <c r="Q149" s="15">
        <f>($G149-$C149)*100</f>
        <v/>
      </c>
      <c r="R149" s="15">
        <f>IF($H149="","",($H149-$F149)*100)</f>
        <v/>
      </c>
      <c r="S149" s="15">
        <f>IF($H149="","",($H149-$G149)*100)</f>
        <v/>
      </c>
    </row>
    <row r="150">
      <c r="A150" s="11" t="n">
        <v>37533</v>
      </c>
      <c r="B150" s="22" t="n">
        <v>0.008999999999999999</v>
      </c>
      <c r="C150" s="22" t="n">
        <v>0.043</v>
      </c>
      <c r="D150" s="22" t="n">
        <v>0.305</v>
      </c>
      <c r="E150" s="22" t="n">
        <v>1.146</v>
      </c>
      <c r="F150" s="22" t="n">
        <v>1.87</v>
      </c>
      <c r="G150" s="22" t="n">
        <v>2.05</v>
      </c>
      <c r="H150" s="22" t="n"/>
      <c r="I150" s="22" t="n">
        <v>5</v>
      </c>
      <c r="J150" s="22" t="n">
        <v>1.58</v>
      </c>
      <c r="K150" s="22" t="n">
        <v>3.69</v>
      </c>
      <c r="L150" s="17">
        <f>$J150-$B150</f>
        <v/>
      </c>
      <c r="M150" s="17">
        <f>$I150-$L150</f>
        <v/>
      </c>
      <c r="N150" s="23">
        <f>($G150-$M150)*100</f>
        <v/>
      </c>
      <c r="O150" s="15">
        <f>($E150-$C150)*100</f>
        <v/>
      </c>
      <c r="P150" s="15">
        <f>($G150-$E150)*100</f>
        <v/>
      </c>
      <c r="Q150" s="15">
        <f>($G150-$C150)*100</f>
        <v/>
      </c>
      <c r="R150" s="15">
        <f>IF($H150="","",($H150-$F150)*100)</f>
        <v/>
      </c>
      <c r="S150" s="15">
        <f>IF($H150="","",($H150-$G150)*100)</f>
        <v/>
      </c>
    </row>
    <row r="151">
      <c r="A151" s="11" t="n">
        <v>37540</v>
      </c>
      <c r="B151" s="22" t="n">
        <v>0.008999999999999999</v>
      </c>
      <c r="C151" s="22" t="n">
        <v>0.04</v>
      </c>
      <c r="D151" s="22" t="n">
        <v>0.285</v>
      </c>
      <c r="E151" s="22" t="n">
        <v>1.101</v>
      </c>
      <c r="F151" s="22" t="n">
        <v>1.829</v>
      </c>
      <c r="G151" s="22" t="n">
        <v>2.114</v>
      </c>
      <c r="H151" s="22" t="n"/>
      <c r="I151" s="22" t="n">
        <v>5.06</v>
      </c>
      <c r="J151" s="22" t="n">
        <v>1.63</v>
      </c>
      <c r="K151" s="22" t="n">
        <v>3.83</v>
      </c>
      <c r="L151" s="17">
        <f>$J151-$B151</f>
        <v/>
      </c>
      <c r="M151" s="17">
        <f>$I151-$L151</f>
        <v/>
      </c>
      <c r="N151" s="23">
        <f>($G151-$M151)*100</f>
        <v/>
      </c>
      <c r="O151" s="15">
        <f>($E151-$C151)*100</f>
        <v/>
      </c>
      <c r="P151" s="15">
        <f>($G151-$E151)*100</f>
        <v/>
      </c>
      <c r="Q151" s="15">
        <f>($G151-$C151)*100</f>
        <v/>
      </c>
      <c r="R151" s="15">
        <f>IF($H151="","",($H151-$F151)*100)</f>
        <v/>
      </c>
      <c r="S151" s="15">
        <f>IF($H151="","",($H151-$G151)*100)</f>
        <v/>
      </c>
    </row>
    <row r="152">
      <c r="A152" s="11" t="n">
        <v>37547</v>
      </c>
      <c r="B152" s="22" t="n">
        <v>0.011</v>
      </c>
      <c r="C152" s="22" t="n">
        <v>0.04</v>
      </c>
      <c r="D152" s="22" t="n">
        <v>0.299</v>
      </c>
      <c r="E152" s="22" t="n">
        <v>1.092</v>
      </c>
      <c r="F152" s="22" t="n">
        <v>1.789</v>
      </c>
      <c r="G152" s="22" t="n">
        <v>2.072</v>
      </c>
      <c r="H152" s="22" t="n"/>
      <c r="I152" s="22" t="n">
        <v>5.32</v>
      </c>
      <c r="J152" s="22" t="n">
        <v>1.77</v>
      </c>
      <c r="K152" s="22" t="n">
        <v>4.14</v>
      </c>
      <c r="L152" s="17">
        <f>$J152-$B152</f>
        <v/>
      </c>
      <c r="M152" s="17">
        <f>$I152-$L152</f>
        <v/>
      </c>
      <c r="N152" s="23">
        <f>($G152-$M152)*100</f>
        <v/>
      </c>
      <c r="O152" s="15">
        <f>($E152-$C152)*100</f>
        <v/>
      </c>
      <c r="P152" s="15">
        <f>($G152-$E152)*100</f>
        <v/>
      </c>
      <c r="Q152" s="15">
        <f>($G152-$C152)*100</f>
        <v/>
      </c>
      <c r="R152" s="15">
        <f>IF($H152="","",($H152-$F152)*100)</f>
        <v/>
      </c>
      <c r="S152" s="15">
        <f>IF($H152="","",($H152-$G152)*100)</f>
        <v/>
      </c>
    </row>
    <row r="153">
      <c r="A153" s="11" t="n">
        <v>37554</v>
      </c>
      <c r="B153" s="22" t="n">
        <v>0.019</v>
      </c>
      <c r="C153" s="22" t="n">
        <v>0.046</v>
      </c>
      <c r="D153" s="22" t="n">
        <v>0.301</v>
      </c>
      <c r="E153" s="22" t="n">
        <v>1.072</v>
      </c>
      <c r="F153" s="22" t="n">
        <v>1.743</v>
      </c>
      <c r="G153" s="22" t="n">
        <v>2.002</v>
      </c>
      <c r="H153" s="22" t="n"/>
      <c r="I153" s="22" t="n">
        <v>5.31</v>
      </c>
      <c r="J153" s="22" t="n">
        <v>1.69</v>
      </c>
      <c r="K153" s="22" t="n">
        <v>4.12</v>
      </c>
      <c r="L153" s="17">
        <f>$J153-$B153</f>
        <v/>
      </c>
      <c r="M153" s="17">
        <f>$I153-$L153</f>
        <v/>
      </c>
      <c r="N153" s="23">
        <f>($G153-$M153)*100</f>
        <v/>
      </c>
      <c r="O153" s="15">
        <f>($E153-$C153)*100</f>
        <v/>
      </c>
      <c r="P153" s="15">
        <f>($G153-$E153)*100</f>
        <v/>
      </c>
      <c r="Q153" s="15">
        <f>($G153-$C153)*100</f>
        <v/>
      </c>
      <c r="R153" s="15">
        <f>IF($H153="","",($H153-$F153)*100)</f>
        <v/>
      </c>
      <c r="S153" s="15">
        <f>IF($H153="","",($H153-$G153)*100)</f>
        <v/>
      </c>
    </row>
    <row r="154">
      <c r="A154" s="11" t="n">
        <v>37561</v>
      </c>
      <c r="B154" s="22" t="n">
        <v>0.016</v>
      </c>
      <c r="C154" s="22" t="n">
        <v>0.038</v>
      </c>
      <c r="D154" s="22" t="n">
        <v>0.275</v>
      </c>
      <c r="E154" s="22" t="n">
        <v>0.98</v>
      </c>
      <c r="F154" s="22" t="n">
        <v>1.638</v>
      </c>
      <c r="G154" s="22" t="n">
        <v>1.895</v>
      </c>
      <c r="H154" s="22" t="n"/>
      <c r="I154" s="22" t="n">
        <v>5.3</v>
      </c>
      <c r="J154" s="22" t="n">
        <v>1.46</v>
      </c>
      <c r="K154" s="22" t="n">
        <v>4.01</v>
      </c>
      <c r="L154" s="17">
        <f>$J154-$B154</f>
        <v/>
      </c>
      <c r="M154" s="17">
        <f>$I154-$L154</f>
        <v/>
      </c>
      <c r="N154" s="23">
        <f>($G154-$M154)*100</f>
        <v/>
      </c>
      <c r="O154" s="15">
        <f>($E154-$C154)*100</f>
        <v/>
      </c>
      <c r="P154" s="15">
        <f>($G154-$E154)*100</f>
        <v/>
      </c>
      <c r="Q154" s="15">
        <f>($G154-$C154)*100</f>
        <v/>
      </c>
      <c r="R154" s="15">
        <f>IF($H154="","",($H154-$F154)*100)</f>
        <v/>
      </c>
      <c r="S154" s="15">
        <f>IF($H154="","",($H154-$G154)*100)</f>
        <v/>
      </c>
    </row>
    <row r="155">
      <c r="A155" s="11" t="n">
        <v>37568</v>
      </c>
      <c r="B155" s="22" t="n">
        <v>0.014</v>
      </c>
      <c r="C155" s="22" t="n">
        <v>0.04</v>
      </c>
      <c r="D155" s="22" t="n">
        <v>0.297</v>
      </c>
      <c r="E155" s="22" t="n">
        <v>1.001</v>
      </c>
      <c r="F155" s="22" t="n">
        <v>1.631</v>
      </c>
      <c r="G155" s="22" t="n">
        <v>1.883</v>
      </c>
      <c r="H155" s="22" t="n"/>
      <c r="I155" s="22" t="n">
        <v>5.05</v>
      </c>
      <c r="J155" s="22" t="n">
        <v>1.43</v>
      </c>
      <c r="K155" s="22" t="n">
        <v>3.85</v>
      </c>
      <c r="L155" s="17">
        <f>$J155-$B155</f>
        <v/>
      </c>
      <c r="M155" s="17">
        <f>$I155-$L155</f>
        <v/>
      </c>
      <c r="N155" s="23">
        <f>($G155-$M155)*100</f>
        <v/>
      </c>
      <c r="O155" s="15">
        <f>($E155-$C155)*100</f>
        <v/>
      </c>
      <c r="P155" s="15">
        <f>($G155-$E155)*100</f>
        <v/>
      </c>
      <c r="Q155" s="15">
        <f>($G155-$C155)*100</f>
        <v/>
      </c>
      <c r="R155" s="15">
        <f>IF($H155="","",($H155-$F155)*100)</f>
        <v/>
      </c>
      <c r="S155" s="15">
        <f>IF($H155="","",($H155-$G155)*100)</f>
        <v/>
      </c>
    </row>
    <row r="156">
      <c r="A156" s="11" t="n">
        <v>37575</v>
      </c>
      <c r="B156" s="22" t="n">
        <v>0.011</v>
      </c>
      <c r="C156" s="22" t="n">
        <v>0.04</v>
      </c>
      <c r="D156" s="22" t="n">
        <v>0.309</v>
      </c>
      <c r="E156" s="22" t="n">
        <v>1.016</v>
      </c>
      <c r="F156" s="22" t="n">
        <v>1.635</v>
      </c>
      <c r="G156" s="22" t="n">
        <v>1.813</v>
      </c>
      <c r="H156" s="22" t="n"/>
      <c r="I156" s="22" t="n">
        <v>5.12</v>
      </c>
      <c r="J156" s="22" t="n">
        <v>1.49</v>
      </c>
      <c r="K156" s="22" t="n">
        <v>4.05</v>
      </c>
      <c r="L156" s="17">
        <f>$J156-$B156</f>
        <v/>
      </c>
      <c r="M156" s="17">
        <f>$I156-$L156</f>
        <v/>
      </c>
      <c r="N156" s="23">
        <f>($G156-$M156)*100</f>
        <v/>
      </c>
      <c r="O156" s="15">
        <f>($E156-$C156)*100</f>
        <v/>
      </c>
      <c r="P156" s="15">
        <f>($G156-$E156)*100</f>
        <v/>
      </c>
      <c r="Q156" s="15">
        <f>($G156-$C156)*100</f>
        <v/>
      </c>
      <c r="R156" s="15">
        <f>IF($H156="","",($H156-$F156)*100)</f>
        <v/>
      </c>
      <c r="S156" s="15">
        <f>IF($H156="","",($H156-$G156)*100)</f>
        <v/>
      </c>
    </row>
    <row r="157">
      <c r="A157" s="11" t="n">
        <v>37582</v>
      </c>
      <c r="B157" s="22" t="n">
        <v>0.01</v>
      </c>
      <c r="C157" s="22" t="n">
        <v>0.055</v>
      </c>
      <c r="D157" s="22" t="n">
        <v>0.323</v>
      </c>
      <c r="E157" s="22" t="n">
        <v>1</v>
      </c>
      <c r="F157" s="22" t="n">
        <v>1.637</v>
      </c>
      <c r="G157" s="22" t="n">
        <v>1.795</v>
      </c>
      <c r="H157" s="22" t="n"/>
      <c r="I157" s="22" t="n">
        <v>5.22</v>
      </c>
      <c r="J157" s="22" t="n">
        <v>1.54</v>
      </c>
      <c r="K157" s="22" t="n">
        <v>4.18</v>
      </c>
      <c r="L157" s="17">
        <f>$J157-$B157</f>
        <v/>
      </c>
      <c r="M157" s="17">
        <f>$I157-$L157</f>
        <v/>
      </c>
      <c r="N157" s="23">
        <f>($G157-$M157)*100</f>
        <v/>
      </c>
      <c r="O157" s="15">
        <f>($E157-$C157)*100</f>
        <v/>
      </c>
      <c r="P157" s="15">
        <f>($G157-$E157)*100</f>
        <v/>
      </c>
      <c r="Q157" s="15">
        <f>($G157-$C157)*100</f>
        <v/>
      </c>
      <c r="R157" s="15">
        <f>IF($H157="","",($H157-$F157)*100)</f>
        <v/>
      </c>
      <c r="S157" s="15">
        <f>IF($H157="","",($H157-$G157)*100)</f>
        <v/>
      </c>
    </row>
    <row r="158">
      <c r="A158" s="11" t="n">
        <v>37589</v>
      </c>
      <c r="B158" s="22" t="n">
        <v>0.017</v>
      </c>
      <c r="C158" s="22" t="n">
        <v>0.055</v>
      </c>
      <c r="D158" s="22" t="n">
        <v>0.304</v>
      </c>
      <c r="E158" s="22" t="n">
        <v>0.973</v>
      </c>
      <c r="F158" s="22" t="n">
        <v>1.645</v>
      </c>
      <c r="G158" s="22" t="n">
        <v>1.815</v>
      </c>
      <c r="H158" s="22" t="n"/>
      <c r="I158" s="22" t="n">
        <v>5.23</v>
      </c>
      <c r="J158" s="22" t="n">
        <v>1.56</v>
      </c>
      <c r="K158" s="22" t="n">
        <v>4.22</v>
      </c>
      <c r="L158" s="17">
        <f>$J158-$B158</f>
        <v/>
      </c>
      <c r="M158" s="17">
        <f>$I158-$L158</f>
        <v/>
      </c>
      <c r="N158" s="23">
        <f>($G158-$M158)*100</f>
        <v/>
      </c>
      <c r="O158" s="15">
        <f>($E158-$C158)*100</f>
        <v/>
      </c>
      <c r="P158" s="15">
        <f>($G158-$E158)*100</f>
        <v/>
      </c>
      <c r="Q158" s="15">
        <f>($G158-$C158)*100</f>
        <v/>
      </c>
      <c r="R158" s="15">
        <f>IF($H158="","",($H158-$F158)*100)</f>
        <v/>
      </c>
      <c r="S158" s="15">
        <f>IF($H158="","",($H158-$G158)*100)</f>
        <v/>
      </c>
    </row>
    <row r="159">
      <c r="A159" s="11" t="n">
        <v>37596</v>
      </c>
      <c r="B159" s="22" t="n">
        <v>0.015</v>
      </c>
      <c r="C159" s="22" t="n">
        <v>0.055</v>
      </c>
      <c r="D159" s="22" t="n">
        <v>0.328</v>
      </c>
      <c r="E159" s="22" t="n">
        <v>1.003</v>
      </c>
      <c r="F159" s="22" t="n">
        <v>1.681</v>
      </c>
      <c r="G159" s="22" t="n">
        <v>1.846</v>
      </c>
      <c r="H159" s="22" t="n"/>
      <c r="I159" s="22" t="n">
        <v>5.15</v>
      </c>
      <c r="J159" s="22" t="n">
        <v>1.47</v>
      </c>
      <c r="K159" s="22" t="n">
        <v>4.09</v>
      </c>
      <c r="L159" s="17">
        <f>$J159-$B159</f>
        <v/>
      </c>
      <c r="M159" s="17">
        <f>$I159-$L159</f>
        <v/>
      </c>
      <c r="N159" s="23">
        <f>($G159-$M159)*100</f>
        <v/>
      </c>
      <c r="O159" s="15">
        <f>($E159-$C159)*100</f>
        <v/>
      </c>
      <c r="P159" s="15">
        <f>($G159-$E159)*100</f>
        <v/>
      </c>
      <c r="Q159" s="15">
        <f>($G159-$C159)*100</f>
        <v/>
      </c>
      <c r="R159" s="15">
        <f>IF($H159="","",($H159-$F159)*100)</f>
        <v/>
      </c>
      <c r="S159" s="15">
        <f>IF($H159="","",($H159-$G159)*100)</f>
        <v/>
      </c>
    </row>
    <row r="160">
      <c r="A160" s="11" t="n">
        <v>37603</v>
      </c>
      <c r="B160" s="22" t="n">
        <v>0.012</v>
      </c>
      <c r="C160" s="22" t="n">
        <v>0.055</v>
      </c>
      <c r="D160" s="22" t="n">
        <v>0.309</v>
      </c>
      <c r="E160" s="22" t="n">
        <v>0.982</v>
      </c>
      <c r="F160" s="22" t="n">
        <v>1.632</v>
      </c>
      <c r="G160" s="22" t="n">
        <v>1.797</v>
      </c>
      <c r="H160" s="22" t="n"/>
      <c r="I160" s="22" t="n">
        <v>5.15</v>
      </c>
      <c r="J160" s="22" t="n">
        <v>1.47</v>
      </c>
      <c r="K160" s="22" t="n">
        <v>4.07</v>
      </c>
      <c r="L160" s="17">
        <f>$J160-$B160</f>
        <v/>
      </c>
      <c r="M160" s="17">
        <f>$I160-$L160</f>
        <v/>
      </c>
      <c r="N160" s="23">
        <f>($G160-$M160)*100</f>
        <v/>
      </c>
      <c r="O160" s="15">
        <f>($E160-$C160)*100</f>
        <v/>
      </c>
      <c r="P160" s="15">
        <f>($G160-$E160)*100</f>
        <v/>
      </c>
      <c r="Q160" s="15">
        <f>($G160-$C160)*100</f>
        <v/>
      </c>
      <c r="R160" s="15">
        <f>IF($H160="","",($H160-$F160)*100)</f>
        <v/>
      </c>
      <c r="S160" s="15">
        <f>IF($H160="","",($H160-$G160)*100)</f>
        <v/>
      </c>
    </row>
    <row r="161">
      <c r="A161" s="11" t="n">
        <v>37610</v>
      </c>
      <c r="B161" s="22" t="n">
        <v>0.01</v>
      </c>
      <c r="C161" s="22" t="n">
        <v>0.055</v>
      </c>
      <c r="D161" s="22" t="n">
        <v>0.296</v>
      </c>
      <c r="E161" s="22" t="n">
        <v>0.944</v>
      </c>
      <c r="F161" s="22" t="n">
        <v>1.585</v>
      </c>
      <c r="G161" s="22" t="n">
        <v>1.782</v>
      </c>
      <c r="H161" s="22" t="n"/>
      <c r="I161" s="22" t="n">
        <v>5.12</v>
      </c>
      <c r="J161" s="22" t="n">
        <v>1.39</v>
      </c>
      <c r="K161" s="22" t="n">
        <v>3.97</v>
      </c>
      <c r="L161" s="17">
        <f>$J161-$B161</f>
        <v/>
      </c>
      <c r="M161" s="17">
        <f>$I161-$L161</f>
        <v/>
      </c>
      <c r="N161" s="23">
        <f>($G161-$M161)*100</f>
        <v/>
      </c>
      <c r="O161" s="15">
        <f>($E161-$C161)*100</f>
        <v/>
      </c>
      <c r="P161" s="15">
        <f>($G161-$E161)*100</f>
        <v/>
      </c>
      <c r="Q161" s="15">
        <f>($G161-$C161)*100</f>
        <v/>
      </c>
      <c r="R161" s="15">
        <f>IF($H161="","",($H161-$F161)*100)</f>
        <v/>
      </c>
      <c r="S161" s="15">
        <f>IF($H161="","",($H161-$G161)*100)</f>
        <v/>
      </c>
    </row>
    <row r="162">
      <c r="A162" s="11" t="n">
        <v>37617</v>
      </c>
      <c r="B162" s="22" t="n">
        <v>0.018</v>
      </c>
      <c r="C162" s="22" t="n">
        <v>0.05</v>
      </c>
      <c r="D162" s="22" t="n">
        <v>0.297</v>
      </c>
      <c r="E162" s="22" t="n">
        <v>0.915</v>
      </c>
      <c r="F162" s="22" t="n">
        <v>1.543</v>
      </c>
      <c r="G162" s="22" t="n">
        <v>1.743</v>
      </c>
      <c r="H162" s="22" t="n"/>
      <c r="I162" s="22" t="n">
        <v>5.06</v>
      </c>
      <c r="J162" s="22" t="n">
        <v>1.36</v>
      </c>
      <c r="K162" s="22" t="n">
        <v>3.83</v>
      </c>
      <c r="L162" s="17">
        <f>$J162-$B162</f>
        <v/>
      </c>
      <c r="M162" s="17">
        <f>$I162-$L162</f>
        <v/>
      </c>
      <c r="N162" s="23">
        <f>($G162-$M162)*100</f>
        <v/>
      </c>
      <c r="O162" s="15">
        <f>($E162-$C162)*100</f>
        <v/>
      </c>
      <c r="P162" s="15">
        <f>($G162-$E162)*100</f>
        <v/>
      </c>
      <c r="Q162" s="15">
        <f>($G162-$C162)*100</f>
        <v/>
      </c>
      <c r="R162" s="15">
        <f>IF($H162="","",($H162-$F162)*100)</f>
        <v/>
      </c>
      <c r="S162" s="15">
        <f>IF($H162="","",($H162-$G162)*100)</f>
        <v/>
      </c>
    </row>
    <row r="163">
      <c r="A163" s="11" t="n">
        <v>37624</v>
      </c>
      <c r="B163" s="22" t="n">
        <v>0.017</v>
      </c>
      <c r="C163" s="22" t="n">
        <v>0.05</v>
      </c>
      <c r="D163" s="22" t="n">
        <v>0.297</v>
      </c>
      <c r="E163" s="22" t="n">
        <v>0.906</v>
      </c>
      <c r="F163" s="22" t="n">
        <v>1.536</v>
      </c>
      <c r="G163" s="22" t="n">
        <v>1.738</v>
      </c>
      <c r="H163" s="22" t="n"/>
      <c r="I163" s="22" t="n">
        <v>5.18</v>
      </c>
      <c r="J163" s="22" t="n">
        <v>1.41</v>
      </c>
      <c r="K163" s="22" t="n">
        <v>4.05</v>
      </c>
      <c r="L163" s="17">
        <f>$J163-$B163</f>
        <v/>
      </c>
      <c r="M163" s="17">
        <f>$I163-$L163</f>
        <v/>
      </c>
      <c r="N163" s="23">
        <f>($G163-$M163)*100</f>
        <v/>
      </c>
      <c r="O163" s="15">
        <f>($E163-$C163)*100</f>
        <v/>
      </c>
      <c r="P163" s="15">
        <f>($G163-$E163)*100</f>
        <v/>
      </c>
      <c r="Q163" s="15">
        <f>($G163-$C163)*100</f>
        <v/>
      </c>
      <c r="R163" s="15">
        <f>IF($H163="","",($H163-$F163)*100)</f>
        <v/>
      </c>
      <c r="S163" s="15">
        <f>IF($H163="","",($H163-$G163)*100)</f>
        <v/>
      </c>
    </row>
    <row r="164">
      <c r="A164" s="11" t="n">
        <v>37631</v>
      </c>
      <c r="B164" s="22" t="n">
        <v>0.013</v>
      </c>
      <c r="C164" s="22" t="n">
        <v>0.05</v>
      </c>
      <c r="D164" s="22" t="n">
        <v>0.31</v>
      </c>
      <c r="E164" s="22" t="n">
        <v>0.87</v>
      </c>
      <c r="F164" s="22" t="n">
        <v>1.428</v>
      </c>
      <c r="G164" s="22" t="n">
        <v>1.62</v>
      </c>
      <c r="H164" s="22" t="n"/>
      <c r="I164" s="22" t="n">
        <v>5.24</v>
      </c>
      <c r="J164" s="22" t="n">
        <v>1.39</v>
      </c>
      <c r="K164" s="22" t="n">
        <v>4.16</v>
      </c>
      <c r="L164" s="17">
        <f>$J164-$B164</f>
        <v/>
      </c>
      <c r="M164" s="17">
        <f>$I164-$L164</f>
        <v/>
      </c>
      <c r="N164" s="23">
        <f>($G164-$M164)*100</f>
        <v/>
      </c>
      <c r="O164" s="15">
        <f>($E164-$C164)*100</f>
        <v/>
      </c>
      <c r="P164" s="15">
        <f>($G164-$E164)*100</f>
        <v/>
      </c>
      <c r="Q164" s="15">
        <f>($G164-$C164)*100</f>
        <v/>
      </c>
      <c r="R164" s="15">
        <f>IF($H164="","",($H164-$F164)*100)</f>
        <v/>
      </c>
      <c r="S164" s="15">
        <f>IF($H164="","",($H164-$G164)*100)</f>
        <v/>
      </c>
    </row>
    <row r="165">
      <c r="A165" s="11" t="n">
        <v>37638</v>
      </c>
      <c r="B165" s="22" t="n">
        <v>0.011</v>
      </c>
      <c r="C165" s="22" t="n">
        <v>0.05</v>
      </c>
      <c r="D165" s="22" t="n">
        <v>0.278</v>
      </c>
      <c r="E165" s="22" t="n">
        <v>0.834</v>
      </c>
      <c r="F165" s="22" t="n">
        <v>1.331</v>
      </c>
      <c r="G165" s="22" t="n">
        <v>1.481</v>
      </c>
      <c r="H165" s="22" t="n"/>
      <c r="I165" s="22" t="n">
        <v>5.13</v>
      </c>
      <c r="J165" s="22" t="n">
        <v>1.34</v>
      </c>
      <c r="K165" s="22" t="n">
        <v>4.05</v>
      </c>
      <c r="L165" s="17">
        <f>$J165-$B165</f>
        <v/>
      </c>
      <c r="M165" s="17">
        <f>$I165-$L165</f>
        <v/>
      </c>
      <c r="N165" s="23">
        <f>($G165-$M165)*100</f>
        <v/>
      </c>
      <c r="O165" s="15">
        <f>($E165-$C165)*100</f>
        <v/>
      </c>
      <c r="P165" s="15">
        <f>($G165-$E165)*100</f>
        <v/>
      </c>
      <c r="Q165" s="15">
        <f>($G165-$C165)*100</f>
        <v/>
      </c>
      <c r="R165" s="15">
        <f>IF($H165="","",($H165-$F165)*100)</f>
        <v/>
      </c>
      <c r="S165" s="15">
        <f>IF($H165="","",($H165-$G165)*100)</f>
        <v/>
      </c>
    </row>
    <row r="166">
      <c r="A166" s="11" t="n">
        <v>37645</v>
      </c>
      <c r="B166" s="22" t="n">
        <v>0.019</v>
      </c>
      <c r="C166" s="22" t="n">
        <v>0.05</v>
      </c>
      <c r="D166" s="22" t="n">
        <v>0.256</v>
      </c>
      <c r="E166" s="22" t="n">
        <v>0.8120000000000001</v>
      </c>
      <c r="F166" s="22" t="n">
        <v>1.359</v>
      </c>
      <c r="G166" s="22" t="n">
        <v>1.485</v>
      </c>
      <c r="H166" s="22" t="n"/>
      <c r="I166" s="22" t="n">
        <v>5.05</v>
      </c>
      <c r="J166" s="22" t="n">
        <v>1.31</v>
      </c>
      <c r="K166" s="22" t="n">
        <v>3.94</v>
      </c>
      <c r="L166" s="17">
        <f>$J166-$B166</f>
        <v/>
      </c>
      <c r="M166" s="17">
        <f>$I166-$L166</f>
        <v/>
      </c>
      <c r="N166" s="23">
        <f>($G166-$M166)*100</f>
        <v/>
      </c>
      <c r="O166" s="15">
        <f>($E166-$C166)*100</f>
        <v/>
      </c>
      <c r="P166" s="15">
        <f>($G166-$E166)*100</f>
        <v/>
      </c>
      <c r="Q166" s="15">
        <f>($G166-$C166)*100</f>
        <v/>
      </c>
      <c r="R166" s="15">
        <f>IF($H166="","",($H166-$F166)*100)</f>
        <v/>
      </c>
      <c r="S166" s="15">
        <f>IF($H166="","",($H166-$G166)*100)</f>
        <v/>
      </c>
    </row>
    <row r="167">
      <c r="A167" s="11" t="n">
        <v>37652</v>
      </c>
      <c r="B167" s="22" t="n">
        <v>0.017</v>
      </c>
      <c r="C167" s="22" t="n">
        <v>0.043</v>
      </c>
      <c r="D167" s="22" t="n">
        <v>0.257</v>
      </c>
      <c r="E167" s="22" t="n">
        <v>0.8100000000000001</v>
      </c>
      <c r="F167" s="22" t="n">
        <v>1.324</v>
      </c>
      <c r="G167" s="22" t="n">
        <v>1.471</v>
      </c>
      <c r="H167" s="22" t="n"/>
      <c r="I167" s="22" t="n">
        <v>5.03</v>
      </c>
      <c r="J167" s="22" t="n">
        <v>1.31</v>
      </c>
      <c r="K167" s="22" t="n">
        <v>4</v>
      </c>
      <c r="L167" s="17">
        <f>$J167-$B167</f>
        <v/>
      </c>
      <c r="M167" s="17">
        <f>$I167-$L167</f>
        <v/>
      </c>
      <c r="N167" s="23">
        <f>($G167-$M167)*100</f>
        <v/>
      </c>
      <c r="O167" s="15">
        <f>($E167-$C167)*100</f>
        <v/>
      </c>
      <c r="P167" s="15">
        <f>($G167-$E167)*100</f>
        <v/>
      </c>
      <c r="Q167" s="15">
        <f>($G167-$C167)*100</f>
        <v/>
      </c>
      <c r="R167" s="15">
        <f>IF($H167="","",($H167-$F167)*100)</f>
        <v/>
      </c>
      <c r="S167" s="15">
        <f>IF($H167="","",($H167-$G167)*100)</f>
        <v/>
      </c>
    </row>
    <row r="168">
      <c r="A168" s="11" t="n">
        <v>37659</v>
      </c>
      <c r="B168" s="22" t="n">
        <v>0.02</v>
      </c>
      <c r="C168" s="22" t="n">
        <v>0.042</v>
      </c>
      <c r="D168" s="22" t="n">
        <v>0.283</v>
      </c>
      <c r="E168" s="22" t="n">
        <v>0.839</v>
      </c>
      <c r="F168" s="22" t="n">
        <v>1.415</v>
      </c>
      <c r="G168" s="22" t="n">
        <v>1.541</v>
      </c>
      <c r="H168" s="22" t="n"/>
      <c r="I168" s="22" t="n">
        <v>4.98</v>
      </c>
      <c r="J168" s="22" t="n">
        <v>1.28</v>
      </c>
      <c r="K168" s="22" t="n">
        <v>3.96</v>
      </c>
      <c r="L168" s="17">
        <f>$J168-$B168</f>
        <v/>
      </c>
      <c r="M168" s="17">
        <f>$I168-$L168</f>
        <v/>
      </c>
      <c r="N168" s="23">
        <f>($G168-$M168)*100</f>
        <v/>
      </c>
      <c r="O168" s="15">
        <f>($E168-$C168)*100</f>
        <v/>
      </c>
      <c r="P168" s="15">
        <f>($G168-$E168)*100</f>
        <v/>
      </c>
      <c r="Q168" s="15">
        <f>($G168-$C168)*100</f>
        <v/>
      </c>
      <c r="R168" s="15">
        <f>IF($H168="","",($H168-$F168)*100)</f>
        <v/>
      </c>
      <c r="S168" s="15">
        <f>IF($H168="","",($H168-$G168)*100)</f>
        <v/>
      </c>
    </row>
    <row r="169">
      <c r="A169" s="11" t="n">
        <v>37666</v>
      </c>
      <c r="B169" s="22" t="n">
        <v>0.019</v>
      </c>
      <c r="C169" s="22" t="n">
        <v>0.045</v>
      </c>
      <c r="D169" s="22" t="n">
        <v>0.29</v>
      </c>
      <c r="E169" s="22" t="n">
        <v>0.839</v>
      </c>
      <c r="F169" s="22" t="n">
        <v>1.408</v>
      </c>
      <c r="G169" s="22" t="n">
        <v>1.522</v>
      </c>
      <c r="H169" s="22" t="n"/>
      <c r="I169" s="22" t="n">
        <v>5.09</v>
      </c>
      <c r="J169" s="22" t="n">
        <v>1.3</v>
      </c>
      <c r="K169" s="22" t="n">
        <v>3.95</v>
      </c>
      <c r="L169" s="17">
        <f>$J169-$B169</f>
        <v/>
      </c>
      <c r="M169" s="17">
        <f>$I169-$L169</f>
        <v/>
      </c>
      <c r="N169" s="23">
        <f>($G169-$M169)*100</f>
        <v/>
      </c>
      <c r="O169" s="15">
        <f>($E169-$C169)*100</f>
        <v/>
      </c>
      <c r="P169" s="15">
        <f>($G169-$E169)*100</f>
        <v/>
      </c>
      <c r="Q169" s="15">
        <f>($G169-$C169)*100</f>
        <v/>
      </c>
      <c r="R169" s="15">
        <f>IF($H169="","",($H169-$F169)*100)</f>
        <v/>
      </c>
      <c r="S169" s="15">
        <f>IF($H169="","",($H169-$G169)*100)</f>
        <v/>
      </c>
    </row>
    <row r="170">
      <c r="A170" s="11" t="n">
        <v>37673</v>
      </c>
      <c r="B170" s="22" t="n">
        <v>0.02</v>
      </c>
      <c r="C170" s="22" t="n">
        <v>0.05</v>
      </c>
      <c r="D170" s="22" t="n">
        <v>0.285</v>
      </c>
      <c r="E170" s="22" t="n">
        <v>0.833</v>
      </c>
      <c r="F170" s="22" t="n">
        <v>1.41</v>
      </c>
      <c r="G170" s="22" t="n">
        <v>1.517</v>
      </c>
      <c r="H170" s="22" t="n"/>
      <c r="I170" s="22" t="n">
        <v>5.08</v>
      </c>
      <c r="J170" s="22" t="n">
        <v>1.31</v>
      </c>
      <c r="K170" s="22" t="n">
        <v>3.9</v>
      </c>
      <c r="L170" s="17">
        <f>$J170-$B170</f>
        <v/>
      </c>
      <c r="M170" s="17">
        <f>$I170-$L170</f>
        <v/>
      </c>
      <c r="N170" s="23">
        <f>($G170-$M170)*100</f>
        <v/>
      </c>
      <c r="O170" s="15">
        <f>($E170-$C170)*100</f>
        <v/>
      </c>
      <c r="P170" s="15">
        <f>($G170-$E170)*100</f>
        <v/>
      </c>
      <c r="Q170" s="15">
        <f>($G170-$C170)*100</f>
        <v/>
      </c>
      <c r="R170" s="15">
        <f>IF($H170="","",($H170-$F170)*100)</f>
        <v/>
      </c>
      <c r="S170" s="15">
        <f>IF($H170="","",($H170-$G170)*100)</f>
        <v/>
      </c>
    </row>
    <row r="171">
      <c r="A171" s="11" t="n">
        <v>37680</v>
      </c>
      <c r="B171" s="22" t="n">
        <v>0.02</v>
      </c>
      <c r="C171" s="22" t="n">
        <v>0.05</v>
      </c>
      <c r="D171" s="22" t="n">
        <v>0.266</v>
      </c>
      <c r="E171" s="22" t="n">
        <v>0.786</v>
      </c>
      <c r="F171" s="22" t="n">
        <v>1.308</v>
      </c>
      <c r="G171" s="22" t="n">
        <v>1.433</v>
      </c>
      <c r="H171" s="22" t="n"/>
      <c r="I171" s="22" t="n">
        <v>4.9</v>
      </c>
      <c r="J171" s="22" t="n">
        <v>1.24</v>
      </c>
      <c r="K171" s="22" t="n">
        <v>3.71</v>
      </c>
      <c r="L171" s="17">
        <f>$J171-$B171</f>
        <v/>
      </c>
      <c r="M171" s="17">
        <f>$I171-$L171</f>
        <v/>
      </c>
      <c r="N171" s="23">
        <f>($G171-$M171)*100</f>
        <v/>
      </c>
      <c r="O171" s="15">
        <f>($E171-$C171)*100</f>
        <v/>
      </c>
      <c r="P171" s="15">
        <f>($G171-$E171)*100</f>
        <v/>
      </c>
      <c r="Q171" s="15">
        <f>($G171-$C171)*100</f>
        <v/>
      </c>
      <c r="R171" s="15">
        <f>IF($H171="","",($H171-$F171)*100)</f>
        <v/>
      </c>
      <c r="S171" s="15">
        <f>IF($H171="","",($H171-$G171)*100)</f>
        <v/>
      </c>
    </row>
    <row r="172">
      <c r="A172" s="11" t="n">
        <v>37687</v>
      </c>
      <c r="B172" s="22" t="n">
        <v>0.02</v>
      </c>
      <c r="C172" s="22" t="n">
        <v>0.05</v>
      </c>
      <c r="D172" s="22" t="n">
        <v>0.253</v>
      </c>
      <c r="E172" s="22" t="n">
        <v>0.733</v>
      </c>
      <c r="F172" s="22" t="n">
        <v>1.224</v>
      </c>
      <c r="G172" s="22" t="n">
        <v>1.368</v>
      </c>
      <c r="H172" s="22" t="n"/>
      <c r="I172" s="22" t="n">
        <v>4.9</v>
      </c>
      <c r="J172" s="22" t="n">
        <v>1.15</v>
      </c>
      <c r="K172" s="22" t="n">
        <v>3.63</v>
      </c>
      <c r="L172" s="17">
        <f>$J172-$B172</f>
        <v/>
      </c>
      <c r="M172" s="17">
        <f>$I172-$L172</f>
        <v/>
      </c>
      <c r="N172" s="23">
        <f>($G172-$M172)*100</f>
        <v/>
      </c>
      <c r="O172" s="15">
        <f>($E172-$C172)*100</f>
        <v/>
      </c>
      <c r="P172" s="15">
        <f>($G172-$E172)*100</f>
        <v/>
      </c>
      <c r="Q172" s="15">
        <f>($G172-$C172)*100</f>
        <v/>
      </c>
      <c r="R172" s="15">
        <f>IF($H172="","",($H172-$F172)*100)</f>
        <v/>
      </c>
      <c r="S172" s="15">
        <f>IF($H172="","",($H172-$G172)*100)</f>
        <v/>
      </c>
    </row>
    <row r="173">
      <c r="A173" s="11" t="n">
        <v>37694</v>
      </c>
      <c r="B173" s="22" t="n">
        <v>0.02</v>
      </c>
      <c r="C173" s="22" t="n">
        <v>0.05</v>
      </c>
      <c r="D173" s="22" t="n">
        <v>0.241</v>
      </c>
      <c r="E173" s="22" t="n">
        <v>0.732</v>
      </c>
      <c r="F173" s="22" t="n">
        <v>1.238</v>
      </c>
      <c r="G173" s="22" t="n">
        <v>1.369</v>
      </c>
      <c r="H173" s="22" t="n"/>
      <c r="I173" s="22" t="n">
        <v>4.93</v>
      </c>
      <c r="J173" s="22" t="n">
        <v>1.22</v>
      </c>
      <c r="K173" s="22" t="n">
        <v>3.72</v>
      </c>
      <c r="L173" s="17">
        <f>$J173-$B173</f>
        <v/>
      </c>
      <c r="M173" s="17">
        <f>$I173-$L173</f>
        <v/>
      </c>
      <c r="N173" s="23">
        <f>($G173-$M173)*100</f>
        <v/>
      </c>
      <c r="O173" s="15">
        <f>($E173-$C173)*100</f>
        <v/>
      </c>
      <c r="P173" s="15">
        <f>($G173-$E173)*100</f>
        <v/>
      </c>
      <c r="Q173" s="15">
        <f>($G173-$C173)*100</f>
        <v/>
      </c>
      <c r="R173" s="15">
        <f>IF($H173="","",($H173-$F173)*100)</f>
        <v/>
      </c>
      <c r="S173" s="15">
        <f>IF($H173="","",($H173-$G173)*100)</f>
        <v/>
      </c>
    </row>
    <row r="174">
      <c r="A174" s="11" t="n">
        <v>37701</v>
      </c>
      <c r="B174" s="22" t="n">
        <v>0.02</v>
      </c>
      <c r="C174" s="22" t="n">
        <v>0.055</v>
      </c>
      <c r="D174" s="22" t="n">
        <v>0.262</v>
      </c>
      <c r="E174" s="22" t="n">
        <v>0.747</v>
      </c>
      <c r="F174" s="22" t="n">
        <v>1.215</v>
      </c>
      <c r="G174" s="22" t="n">
        <v>1.335</v>
      </c>
      <c r="H174" s="22" t="n"/>
      <c r="I174" s="22" t="n">
        <v>5.23</v>
      </c>
      <c r="J174" s="22" t="n">
        <v>1.36</v>
      </c>
      <c r="K174" s="22" t="n">
        <v>4.11</v>
      </c>
      <c r="L174" s="17">
        <f>$J174-$B174</f>
        <v/>
      </c>
      <c r="M174" s="17">
        <f>$I174-$L174</f>
        <v/>
      </c>
      <c r="N174" s="23">
        <f>($G174-$M174)*100</f>
        <v/>
      </c>
      <c r="O174" s="15">
        <f>($E174-$C174)*100</f>
        <v/>
      </c>
      <c r="P174" s="15">
        <f>($G174-$E174)*100</f>
        <v/>
      </c>
      <c r="Q174" s="15">
        <f>($G174-$C174)*100</f>
        <v/>
      </c>
      <c r="R174" s="15">
        <f>IF($H174="","",($H174-$F174)*100)</f>
        <v/>
      </c>
      <c r="S174" s="15">
        <f>IF($H174="","",($H174-$G174)*100)</f>
        <v/>
      </c>
    </row>
    <row r="175">
      <c r="A175" s="11" t="n">
        <v>37708</v>
      </c>
      <c r="B175" s="22" t="n">
        <v>0.028</v>
      </c>
      <c r="C175" s="22" t="n">
        <v>0.06</v>
      </c>
      <c r="D175" s="22" t="n">
        <v>0.267</v>
      </c>
      <c r="E175" s="22" t="n">
        <v>0.748</v>
      </c>
      <c r="F175" s="22" t="n">
        <v>1.21</v>
      </c>
      <c r="G175" s="22" t="n">
        <v>1.317</v>
      </c>
      <c r="H175" s="22" t="n"/>
      <c r="I175" s="22" t="n">
        <v>5.16</v>
      </c>
      <c r="J175" s="22" t="n">
        <v>1.22</v>
      </c>
      <c r="K175" s="22" t="n">
        <v>3.92</v>
      </c>
      <c r="L175" s="17">
        <f>$J175-$B175</f>
        <v/>
      </c>
      <c r="M175" s="17">
        <f>$I175-$L175</f>
        <v/>
      </c>
      <c r="N175" s="23">
        <f>($G175-$M175)*100</f>
        <v/>
      </c>
      <c r="O175" s="15">
        <f>($E175-$C175)*100</f>
        <v/>
      </c>
      <c r="P175" s="15">
        <f>($G175-$E175)*100</f>
        <v/>
      </c>
      <c r="Q175" s="15">
        <f>($G175-$C175)*100</f>
        <v/>
      </c>
      <c r="R175" s="15">
        <f>IF($H175="","",($H175-$F175)*100)</f>
        <v/>
      </c>
      <c r="S175" s="15">
        <f>IF($H175="","",($H175-$G175)*100)</f>
        <v/>
      </c>
    </row>
    <row r="176">
      <c r="A176" s="11" t="n">
        <v>37715</v>
      </c>
      <c r="B176" s="22" t="n">
        <v>0.029</v>
      </c>
      <c r="C176" s="22" t="n">
        <v>0.06</v>
      </c>
      <c r="D176" s="22" t="n">
        <v>0.254</v>
      </c>
      <c r="E176" s="22" t="n">
        <v>0.699</v>
      </c>
      <c r="F176" s="22" t="n">
        <v>1.117</v>
      </c>
      <c r="G176" s="22" t="n">
        <v>1.226</v>
      </c>
      <c r="H176" s="22" t="n"/>
      <c r="I176" s="22" t="n">
        <v>5.2</v>
      </c>
      <c r="J176" s="22" t="n">
        <v>1.18</v>
      </c>
      <c r="K176" s="22" t="n">
        <v>3.96</v>
      </c>
      <c r="L176" s="17">
        <f>$J176-$B176</f>
        <v/>
      </c>
      <c r="M176" s="17">
        <f>$I176-$L176</f>
        <v/>
      </c>
      <c r="N176" s="23">
        <f>($G176-$M176)*100</f>
        <v/>
      </c>
      <c r="O176" s="15">
        <f>($E176-$C176)*100</f>
        <v/>
      </c>
      <c r="P176" s="15">
        <f>($G176-$E176)*100</f>
        <v/>
      </c>
      <c r="Q176" s="15">
        <f>($G176-$C176)*100</f>
        <v/>
      </c>
      <c r="R176" s="15">
        <f>IF($H176="","",($H176-$F176)*100)</f>
        <v/>
      </c>
      <c r="S176" s="15">
        <f>IF($H176="","",($H176-$G176)*100)</f>
        <v/>
      </c>
    </row>
    <row r="177">
      <c r="A177" s="11" t="n">
        <v>37722</v>
      </c>
      <c r="B177" s="22" t="n">
        <v>0.029</v>
      </c>
      <c r="C177" s="22" t="n">
        <v>0.06</v>
      </c>
      <c r="D177" s="22" t="n">
        <v>0.246</v>
      </c>
      <c r="E177" s="22" t="n">
        <v>0.679</v>
      </c>
      <c r="F177" s="22" t="n">
        <v>1.087</v>
      </c>
      <c r="G177" s="22" t="n">
        <v>1.212</v>
      </c>
      <c r="H177" s="22" t="n"/>
      <c r="I177" s="22" t="n">
        <v>5.19</v>
      </c>
      <c r="J177" s="22" t="n">
        <v>1.3</v>
      </c>
      <c r="K177" s="22" t="n">
        <v>4</v>
      </c>
      <c r="L177" s="17">
        <f>$J177-$B177</f>
        <v/>
      </c>
      <c r="M177" s="17">
        <f>$I177-$L177</f>
        <v/>
      </c>
      <c r="N177" s="23">
        <f>($G177-$M177)*100</f>
        <v/>
      </c>
      <c r="O177" s="15">
        <f>($E177-$C177)*100</f>
        <v/>
      </c>
      <c r="P177" s="15">
        <f>($G177-$E177)*100</f>
        <v/>
      </c>
      <c r="Q177" s="15">
        <f>($G177-$C177)*100</f>
        <v/>
      </c>
      <c r="R177" s="15">
        <f>IF($H177="","",($H177-$F177)*100)</f>
        <v/>
      </c>
      <c r="S177" s="15">
        <f>IF($H177="","",($H177-$G177)*100)</f>
        <v/>
      </c>
    </row>
    <row r="178">
      <c r="A178" s="11" t="n">
        <v>37729</v>
      </c>
      <c r="B178" s="22" t="n">
        <v>0.03</v>
      </c>
      <c r="C178" s="22" t="n">
        <v>0.055</v>
      </c>
      <c r="D178" s="22" t="n">
        <v>0.235</v>
      </c>
      <c r="E178" s="22" t="n">
        <v>0.634</v>
      </c>
      <c r="F178" s="22" t="n">
        <v>0.983</v>
      </c>
      <c r="G178" s="22" t="n">
        <v>1.084</v>
      </c>
      <c r="H178" s="22" t="n"/>
      <c r="I178" s="22" t="n">
        <v>5.12</v>
      </c>
      <c r="J178" s="22" t="n">
        <v>1.34</v>
      </c>
      <c r="K178" s="22" t="n">
        <v>3.98</v>
      </c>
      <c r="L178" s="17">
        <f>$J178-$B178</f>
        <v/>
      </c>
      <c r="M178" s="17">
        <f>$I178-$L178</f>
        <v/>
      </c>
      <c r="N178" s="23">
        <f>($G178-$M178)*100</f>
        <v/>
      </c>
      <c r="O178" s="15">
        <f>($E178-$C178)*100</f>
        <v/>
      </c>
      <c r="P178" s="15">
        <f>($G178-$E178)*100</f>
        <v/>
      </c>
      <c r="Q178" s="15">
        <f>($G178-$C178)*100</f>
        <v/>
      </c>
      <c r="R178" s="15">
        <f>IF($H178="","",($H178-$F178)*100)</f>
        <v/>
      </c>
      <c r="S178" s="15">
        <f>IF($H178="","",($H178-$G178)*100)</f>
        <v/>
      </c>
    </row>
    <row r="179">
      <c r="A179" s="11" t="n">
        <v>37736</v>
      </c>
      <c r="B179" s="22" t="n">
        <v>0.029</v>
      </c>
      <c r="C179" s="22" t="n">
        <v>0.055</v>
      </c>
      <c r="D179" s="22" t="n">
        <v>0.231</v>
      </c>
      <c r="E179" s="22" t="n">
        <v>0.626</v>
      </c>
      <c r="F179" s="22" t="n">
        <v>0.96</v>
      </c>
      <c r="G179" s="22" t="n">
        <v>1.081</v>
      </c>
      <c r="H179" s="22" t="n"/>
      <c r="I179" s="22" t="n">
        <v>5.04</v>
      </c>
      <c r="J179" s="22" t="n">
        <v>1.26</v>
      </c>
      <c r="K179" s="22" t="n">
        <v>3.91</v>
      </c>
      <c r="L179" s="17">
        <f>$J179-$B179</f>
        <v/>
      </c>
      <c r="M179" s="17">
        <f>$I179-$L179</f>
        <v/>
      </c>
      <c r="N179" s="23">
        <f>($G179-$M179)*100</f>
        <v/>
      </c>
      <c r="O179" s="15">
        <f>($E179-$C179)*100</f>
        <v/>
      </c>
      <c r="P179" s="15">
        <f>($G179-$E179)*100</f>
        <v/>
      </c>
      <c r="Q179" s="15">
        <f>($G179-$C179)*100</f>
        <v/>
      </c>
      <c r="R179" s="15">
        <f>IF($H179="","",($H179-$F179)*100)</f>
        <v/>
      </c>
      <c r="S179" s="15">
        <f>IF($H179="","",($H179-$G179)*100)</f>
        <v/>
      </c>
    </row>
    <row r="180">
      <c r="A180" s="11" t="n">
        <v>37743</v>
      </c>
      <c r="B180" s="22" t="n">
        <v>0.016</v>
      </c>
      <c r="C180" s="22" t="n">
        <v>0.045</v>
      </c>
      <c r="D180" s="22" t="n">
        <v>0.21</v>
      </c>
      <c r="E180" s="22" t="n">
        <v>0.611</v>
      </c>
      <c r="F180" s="22" t="n">
        <v>0.9379999999999999</v>
      </c>
      <c r="G180" s="22" t="n">
        <v>1.08</v>
      </c>
      <c r="H180" s="22" t="n"/>
      <c r="I180" s="22" t="n">
        <v>5.05</v>
      </c>
      <c r="J180" s="22" t="n">
        <v>1.27</v>
      </c>
      <c r="K180" s="22" t="n">
        <v>3.94</v>
      </c>
      <c r="L180" s="17">
        <f>$J180-$B180</f>
        <v/>
      </c>
      <c r="M180" s="17">
        <f>$I180-$L180</f>
        <v/>
      </c>
      <c r="N180" s="23">
        <f>($G180-$M180)*100</f>
        <v/>
      </c>
      <c r="O180" s="15">
        <f>($E180-$C180)*100</f>
        <v/>
      </c>
      <c r="P180" s="15">
        <f>($G180-$E180)*100</f>
        <v/>
      </c>
      <c r="Q180" s="15">
        <f>($G180-$C180)*100</f>
        <v/>
      </c>
      <c r="R180" s="15">
        <f>IF($H180="","",($H180-$F180)*100)</f>
        <v/>
      </c>
      <c r="S180" s="15">
        <f>IF($H180="","",($H180-$G180)*100)</f>
        <v/>
      </c>
    </row>
    <row r="181">
      <c r="A181" s="11" t="n">
        <v>37750</v>
      </c>
      <c r="B181" s="22" t="n">
        <v>0.014</v>
      </c>
      <c r="C181" s="22" t="n">
        <v>0.045</v>
      </c>
      <c r="D181" s="22" t="n">
        <v>0.197</v>
      </c>
      <c r="E181" s="22" t="n">
        <v>0.583</v>
      </c>
      <c r="F181" s="22" t="n">
        <v>0.906</v>
      </c>
      <c r="G181" s="22" t="n">
        <v>1.061</v>
      </c>
      <c r="H181" s="22" t="n"/>
      <c r="I181" s="22" t="n">
        <v>4.95</v>
      </c>
      <c r="J181" s="22" t="n">
        <v>1.22</v>
      </c>
      <c r="K181" s="22" t="n">
        <v>3.69</v>
      </c>
      <c r="L181" s="17">
        <f>$J181-$B181</f>
        <v/>
      </c>
      <c r="M181" s="17">
        <f>$I181-$L181</f>
        <v/>
      </c>
      <c r="N181" s="23">
        <f>($G181-$M181)*100</f>
        <v/>
      </c>
      <c r="O181" s="15">
        <f>($E181-$C181)*100</f>
        <v/>
      </c>
      <c r="P181" s="15">
        <f>($G181-$E181)*100</f>
        <v/>
      </c>
      <c r="Q181" s="15">
        <f>($G181-$C181)*100</f>
        <v/>
      </c>
      <c r="R181" s="15">
        <f>IF($H181="","",($H181-$F181)*100)</f>
        <v/>
      </c>
      <c r="S181" s="15">
        <f>IF($H181="","",($H181-$G181)*100)</f>
        <v/>
      </c>
    </row>
    <row r="182">
      <c r="A182" s="11" t="n">
        <v>37757</v>
      </c>
      <c r="B182" s="22" t="n">
        <v>0.012</v>
      </c>
      <c r="C182" s="22" t="n">
        <v>0.044</v>
      </c>
      <c r="D182" s="22" t="n">
        <v>0.177</v>
      </c>
      <c r="E182" s="22" t="n">
        <v>0.579</v>
      </c>
      <c r="F182" s="22" t="n">
        <v>0.897</v>
      </c>
      <c r="G182" s="22" t="n">
        <v>1.037</v>
      </c>
      <c r="H182" s="22" t="n"/>
      <c r="I182" s="22" t="n">
        <v>4.67</v>
      </c>
      <c r="J182" s="22" t="n">
        <v>1.15</v>
      </c>
      <c r="K182" s="22" t="n">
        <v>3.46</v>
      </c>
      <c r="L182" s="17">
        <f>$J182-$B182</f>
        <v/>
      </c>
      <c r="M182" s="17">
        <f>$I182-$L182</f>
        <v/>
      </c>
      <c r="N182" s="23">
        <f>($G182-$M182)*100</f>
        <v/>
      </c>
      <c r="O182" s="15">
        <f>($E182-$C182)*100</f>
        <v/>
      </c>
      <c r="P182" s="15">
        <f>($G182-$E182)*100</f>
        <v/>
      </c>
      <c r="Q182" s="15">
        <f>($G182-$C182)*100</f>
        <v/>
      </c>
      <c r="R182" s="15">
        <f>IF($H182="","",($H182-$F182)*100)</f>
        <v/>
      </c>
      <c r="S182" s="15">
        <f>IF($H182="","",($H182-$G182)*100)</f>
        <v/>
      </c>
    </row>
    <row r="183">
      <c r="A183" s="11" t="n">
        <v>37764</v>
      </c>
      <c r="B183" s="22" t="n">
        <v>0.01</v>
      </c>
      <c r="C183" s="22" t="n">
        <v>0.04</v>
      </c>
      <c r="D183" s="22" t="n">
        <v>0.175</v>
      </c>
      <c r="E183" s="22" t="n">
        <v>0.582</v>
      </c>
      <c r="F183" s="22" t="n">
        <v>0.9429999999999999</v>
      </c>
      <c r="G183" s="22" t="n">
        <v>1.096</v>
      </c>
      <c r="H183" s="22" t="n"/>
      <c r="I183" s="22" t="n">
        <v>4.44</v>
      </c>
      <c r="J183" s="22" t="n">
        <v>1.14</v>
      </c>
      <c r="K183" s="22" t="n">
        <v>3.34</v>
      </c>
      <c r="L183" s="17">
        <f>$J183-$B183</f>
        <v/>
      </c>
      <c r="M183" s="17">
        <f>$I183-$L183</f>
        <v/>
      </c>
      <c r="N183" s="23">
        <f>($G183-$M183)*100</f>
        <v/>
      </c>
      <c r="O183" s="15">
        <f>($E183-$C183)*100</f>
        <v/>
      </c>
      <c r="P183" s="15">
        <f>($G183-$E183)*100</f>
        <v/>
      </c>
      <c r="Q183" s="15">
        <f>($G183-$C183)*100</f>
        <v/>
      </c>
      <c r="R183" s="15">
        <f>IF($H183="","",($H183-$F183)*100)</f>
        <v/>
      </c>
      <c r="S183" s="15">
        <f>IF($H183="","",($H183-$G183)*100)</f>
        <v/>
      </c>
    </row>
    <row r="184">
      <c r="A184" s="11" t="n">
        <v>37771</v>
      </c>
      <c r="B184" s="22" t="n">
        <v>0.017</v>
      </c>
      <c r="C184" s="22" t="n">
        <v>0.04</v>
      </c>
      <c r="D184" s="22" t="n">
        <v>0.162</v>
      </c>
      <c r="E184" s="22" t="n">
        <v>0.538</v>
      </c>
      <c r="F184" s="22" t="n">
        <v>0.913</v>
      </c>
      <c r="G184" s="22" t="n">
        <v>1.097</v>
      </c>
      <c r="H184" s="22" t="n"/>
      <c r="I184" s="22" t="n">
        <v>4.59</v>
      </c>
      <c r="J184" s="22" t="n">
        <v>1.13</v>
      </c>
      <c r="K184" s="22" t="n">
        <v>3.37</v>
      </c>
      <c r="L184" s="17">
        <f>$J184-$B184</f>
        <v/>
      </c>
      <c r="M184" s="17">
        <f>$I184-$L184</f>
        <v/>
      </c>
      <c r="N184" s="23">
        <f>($G184-$M184)*100</f>
        <v/>
      </c>
      <c r="O184" s="15">
        <f>($E184-$C184)*100</f>
        <v/>
      </c>
      <c r="P184" s="15">
        <f>($G184-$E184)*100</f>
        <v/>
      </c>
      <c r="Q184" s="15">
        <f>($G184-$C184)*100</f>
        <v/>
      </c>
      <c r="R184" s="15">
        <f>IF($H184="","",($H184-$F184)*100)</f>
        <v/>
      </c>
      <c r="S184" s="15">
        <f>IF($H184="","",($H184-$G184)*100)</f>
        <v/>
      </c>
    </row>
    <row r="185">
      <c r="A185" s="11" t="n">
        <v>37778</v>
      </c>
      <c r="B185" s="22" t="n">
        <v>0.01</v>
      </c>
      <c r="C185" s="22" t="n">
        <v>0.035</v>
      </c>
      <c r="D185" s="22" t="n">
        <v>0.154</v>
      </c>
      <c r="E185" s="22" t="n">
        <v>0.502</v>
      </c>
      <c r="F185" s="22" t="n">
        <v>0.886</v>
      </c>
      <c r="G185" s="22" t="n">
        <v>1.096</v>
      </c>
      <c r="H185" s="22" t="n"/>
      <c r="I185" s="22" t="n">
        <v>4.66</v>
      </c>
      <c r="J185" s="22" t="n">
        <v>1.08</v>
      </c>
      <c r="K185" s="22" t="n">
        <v>3.37</v>
      </c>
      <c r="L185" s="17">
        <f>$J185-$B185</f>
        <v/>
      </c>
      <c r="M185" s="17">
        <f>$I185-$L185</f>
        <v/>
      </c>
      <c r="N185" s="23">
        <f>($G185-$M185)*100</f>
        <v/>
      </c>
      <c r="O185" s="15">
        <f>($E185-$C185)*100</f>
        <v/>
      </c>
      <c r="P185" s="15">
        <f>($G185-$E185)*100</f>
        <v/>
      </c>
      <c r="Q185" s="15">
        <f>($G185-$C185)*100</f>
        <v/>
      </c>
      <c r="R185" s="15">
        <f>IF($H185="","",($H185-$F185)*100)</f>
        <v/>
      </c>
      <c r="S185" s="15">
        <f>IF($H185="","",($H185-$G185)*100)</f>
        <v/>
      </c>
    </row>
    <row r="186">
      <c r="A186" s="11" t="n">
        <v>37785</v>
      </c>
      <c r="B186" s="22" t="n">
        <v>0.012</v>
      </c>
      <c r="C186" s="22" t="n">
        <v>0.035</v>
      </c>
      <c r="D186" s="22" t="n">
        <v>0.165</v>
      </c>
      <c r="E186" s="22" t="n">
        <v>0.443</v>
      </c>
      <c r="F186" s="22" t="n">
        <v>0.801</v>
      </c>
      <c r="G186" s="22" t="n">
        <v>1.013</v>
      </c>
      <c r="H186" s="22" t="n"/>
      <c r="I186" s="22" t="n">
        <v>4.42</v>
      </c>
      <c r="J186" s="22" t="n">
        <v>0.9</v>
      </c>
      <c r="K186" s="22" t="n">
        <v>3.13</v>
      </c>
      <c r="L186" s="17">
        <f>$J186-$B186</f>
        <v/>
      </c>
      <c r="M186" s="17">
        <f>$I186-$L186</f>
        <v/>
      </c>
      <c r="N186" s="23">
        <f>($G186-$M186)*100</f>
        <v/>
      </c>
      <c r="O186" s="15">
        <f>($E186-$C186)*100</f>
        <v/>
      </c>
      <c r="P186" s="15">
        <f>($G186-$E186)*100</f>
        <v/>
      </c>
      <c r="Q186" s="15">
        <f>($G186-$C186)*100</f>
        <v/>
      </c>
      <c r="R186" s="15">
        <f>IF($H186="","",($H186-$F186)*100)</f>
        <v/>
      </c>
      <c r="S186" s="15">
        <f>IF($H186="","",($H186-$G186)*100)</f>
        <v/>
      </c>
    </row>
    <row r="187">
      <c r="A187" s="11" t="n">
        <v>37792</v>
      </c>
      <c r="B187" s="22" t="n">
        <v>0.01</v>
      </c>
      <c r="C187" s="22" t="n">
        <v>0.04</v>
      </c>
      <c r="D187" s="22" t="n">
        <v>0.22</v>
      </c>
      <c r="E187" s="22" t="n">
        <v>0.588</v>
      </c>
      <c r="F187" s="22" t="n">
        <v>0.951</v>
      </c>
      <c r="G187" s="22" t="n">
        <v>1.182</v>
      </c>
      <c r="H187" s="22" t="n"/>
      <c r="I187" s="22" t="n">
        <v>4.7</v>
      </c>
      <c r="J187" s="22" t="n">
        <v>0.9399999999999999</v>
      </c>
      <c r="K187" s="22" t="n">
        <v>3.4</v>
      </c>
      <c r="L187" s="17">
        <f>$J187-$B187</f>
        <v/>
      </c>
      <c r="M187" s="17">
        <f>$I187-$L187</f>
        <v/>
      </c>
      <c r="N187" s="23">
        <f>($G187-$M187)*100</f>
        <v/>
      </c>
      <c r="O187" s="15">
        <f>($E187-$C187)*100</f>
        <v/>
      </c>
      <c r="P187" s="15">
        <f>($G187-$E187)*100</f>
        <v/>
      </c>
      <c r="Q187" s="15">
        <f>($G187-$C187)*100</f>
        <v/>
      </c>
      <c r="R187" s="15">
        <f>IF($H187="","",($H187-$F187)*100)</f>
        <v/>
      </c>
      <c r="S187" s="15">
        <f>IF($H187="","",($H187-$G187)*100)</f>
        <v/>
      </c>
    </row>
    <row r="188">
      <c r="A188" s="11" t="n">
        <v>37799</v>
      </c>
      <c r="B188" s="22" t="n">
        <v>0.008</v>
      </c>
      <c r="C188" s="22" t="n">
        <v>0.06</v>
      </c>
      <c r="D188" s="22" t="n">
        <v>0.293</v>
      </c>
      <c r="E188" s="22" t="n">
        <v>0.719</v>
      </c>
      <c r="F188" s="22" t="n">
        <v>1.097</v>
      </c>
      <c r="G188" s="22" t="n">
        <v>1.297</v>
      </c>
      <c r="H188" s="22" t="n"/>
      <c r="I188" s="22" t="n">
        <v>4.83</v>
      </c>
      <c r="J188" s="22" t="n">
        <v>1.09</v>
      </c>
      <c r="K188" s="22" t="n">
        <v>3.58</v>
      </c>
      <c r="L188" s="17">
        <f>$J188-$B188</f>
        <v/>
      </c>
      <c r="M188" s="17">
        <f>$I188-$L188</f>
        <v/>
      </c>
      <c r="N188" s="23">
        <f>($G188-$M188)*100</f>
        <v/>
      </c>
      <c r="O188" s="15">
        <f>($E188-$C188)*100</f>
        <v/>
      </c>
      <c r="P188" s="15">
        <f>($G188-$E188)*100</f>
        <v/>
      </c>
      <c r="Q188" s="15">
        <f>($G188-$C188)*100</f>
        <v/>
      </c>
      <c r="R188" s="15">
        <f>IF($H188="","",($H188-$F188)*100)</f>
        <v/>
      </c>
      <c r="S188" s="15">
        <f>IF($H188="","",($H188-$G188)*100)</f>
        <v/>
      </c>
    </row>
    <row r="189">
      <c r="A189" s="11" t="n">
        <v>37806</v>
      </c>
      <c r="B189" s="22" t="n">
        <v>0.01</v>
      </c>
      <c r="C189" s="22" t="n">
        <v>0.105</v>
      </c>
      <c r="D189" s="22" t="n">
        <v>0.461</v>
      </c>
      <c r="E189" s="22" t="n">
        <v>1.04</v>
      </c>
      <c r="F189" s="22" t="n">
        <v>1.464</v>
      </c>
      <c r="G189" s="22" t="n">
        <v>1.597</v>
      </c>
      <c r="H189" s="22" t="n"/>
      <c r="I189" s="22" t="n">
        <v>4.93</v>
      </c>
      <c r="J189" s="22" t="n">
        <v>1.07</v>
      </c>
      <c r="K189" s="22" t="n">
        <v>3.67</v>
      </c>
      <c r="L189" s="17">
        <f>$J189-$B189</f>
        <v/>
      </c>
      <c r="M189" s="17">
        <f>$I189-$L189</f>
        <v/>
      </c>
      <c r="N189" s="23">
        <f>($G189-$M189)*100</f>
        <v/>
      </c>
      <c r="O189" s="15">
        <f>($E189-$C189)*100</f>
        <v/>
      </c>
      <c r="P189" s="15">
        <f>($G189-$E189)*100</f>
        <v/>
      </c>
      <c r="Q189" s="15">
        <f>($G189-$C189)*100</f>
        <v/>
      </c>
      <c r="R189" s="15">
        <f>IF($H189="","",($H189-$F189)*100)</f>
        <v/>
      </c>
      <c r="S189" s="15">
        <f>IF($H189="","",($H189-$G189)*100)</f>
        <v/>
      </c>
    </row>
    <row r="190">
      <c r="A190" s="11" t="n">
        <v>37813</v>
      </c>
      <c r="B190" s="22" t="n">
        <v>0.01</v>
      </c>
      <c r="C190" s="22" t="n">
        <v>0.08400000000000001</v>
      </c>
      <c r="D190" s="22" t="n">
        <v>0.384</v>
      </c>
      <c r="E190" s="22" t="n">
        <v>0.981</v>
      </c>
      <c r="F190" s="22" t="n">
        <v>1.398</v>
      </c>
      <c r="G190" s="22" t="n">
        <v>1.606</v>
      </c>
      <c r="H190" s="22" t="n"/>
      <c r="I190" s="22" t="n">
        <v>4.94</v>
      </c>
      <c r="J190" s="22" t="n">
        <v>1.06</v>
      </c>
      <c r="K190" s="22" t="n">
        <v>3.66</v>
      </c>
      <c r="L190" s="17">
        <f>$J190-$B190</f>
        <v/>
      </c>
      <c r="M190" s="17">
        <f>$I190-$L190</f>
        <v/>
      </c>
      <c r="N190" s="23">
        <f>($G190-$M190)*100</f>
        <v/>
      </c>
      <c r="O190" s="15">
        <f>($E190-$C190)*100</f>
        <v/>
      </c>
      <c r="P190" s="15">
        <f>($G190-$E190)*100</f>
        <v/>
      </c>
      <c r="Q190" s="15">
        <f>($G190-$C190)*100</f>
        <v/>
      </c>
      <c r="R190" s="15">
        <f>IF($H190="","",($H190-$F190)*100)</f>
        <v/>
      </c>
      <c r="S190" s="15">
        <f>IF($H190="","",($H190-$G190)*100)</f>
        <v/>
      </c>
    </row>
    <row r="191">
      <c r="A191" s="11" t="n">
        <v>37820</v>
      </c>
      <c r="B191" s="22" t="n">
        <v>0.011</v>
      </c>
      <c r="C191" s="22" t="n">
        <v>0.095</v>
      </c>
      <c r="D191" s="22" t="n">
        <v>0.385</v>
      </c>
      <c r="E191" s="22" t="n">
        <v>0.958</v>
      </c>
      <c r="F191" s="22" t="n">
        <v>1.345</v>
      </c>
      <c r="G191" s="22" t="n">
        <v>1.571</v>
      </c>
      <c r="H191" s="22" t="n"/>
      <c r="I191" s="22" t="n">
        <v>5.09</v>
      </c>
      <c r="J191" s="22" t="n">
        <v>1.12</v>
      </c>
      <c r="K191" s="22" t="n">
        <v>4</v>
      </c>
      <c r="L191" s="17">
        <f>$J191-$B191</f>
        <v/>
      </c>
      <c r="M191" s="17">
        <f>$I191-$L191</f>
        <v/>
      </c>
      <c r="N191" s="23">
        <f>($G191-$M191)*100</f>
        <v/>
      </c>
      <c r="O191" s="15">
        <f>($E191-$C191)*100</f>
        <v/>
      </c>
      <c r="P191" s="15">
        <f>($G191-$E191)*100</f>
        <v/>
      </c>
      <c r="Q191" s="15">
        <f>($G191-$C191)*100</f>
        <v/>
      </c>
      <c r="R191" s="15">
        <f>IF($H191="","",($H191-$F191)*100)</f>
        <v/>
      </c>
      <c r="S191" s="15">
        <f>IF($H191="","",($H191-$G191)*100)</f>
        <v/>
      </c>
    </row>
    <row r="192">
      <c r="A192" s="11" t="n">
        <v>37827</v>
      </c>
      <c r="B192" s="22" t="n">
        <v>0.01</v>
      </c>
      <c r="C192" s="22" t="n">
        <v>0.08599999999999999</v>
      </c>
      <c r="D192" s="22" t="n">
        <v>0.339</v>
      </c>
      <c r="E192" s="22" t="n">
        <v>0.964</v>
      </c>
      <c r="F192" s="22" t="n">
        <v>1.434</v>
      </c>
      <c r="G192" s="22" t="n">
        <v>1.722</v>
      </c>
      <c r="H192" s="22" t="n"/>
      <c r="I192" s="22" t="n">
        <v>5.31</v>
      </c>
      <c r="J192" s="22" t="n">
        <v>1.13</v>
      </c>
      <c r="K192" s="22" t="n">
        <v>4.22</v>
      </c>
      <c r="L192" s="17">
        <f>$J192-$B192</f>
        <v/>
      </c>
      <c r="M192" s="17">
        <f>$I192-$L192</f>
        <v/>
      </c>
      <c r="N192" s="23">
        <f>($G192-$M192)*100</f>
        <v/>
      </c>
      <c r="O192" s="15">
        <f>($E192-$C192)*100</f>
        <v/>
      </c>
      <c r="P192" s="15">
        <f>($G192-$E192)*100</f>
        <v/>
      </c>
      <c r="Q192" s="15">
        <f>($G192-$C192)*100</f>
        <v/>
      </c>
      <c r="R192" s="15">
        <f>IF($H192="","",($H192-$F192)*100)</f>
        <v/>
      </c>
      <c r="S192" s="15">
        <f>IF($H192="","",($H192-$G192)*100)</f>
        <v/>
      </c>
    </row>
    <row r="193">
      <c r="A193" s="11" t="n">
        <v>37834</v>
      </c>
      <c r="B193" s="22" t="n">
        <v>0.01</v>
      </c>
      <c r="C193" s="22" t="n">
        <v>0.07000000000000001</v>
      </c>
      <c r="D193" s="22" t="n">
        <v>0.352</v>
      </c>
      <c r="E193" s="22" t="n">
        <v>0.963</v>
      </c>
      <c r="F193" s="22" t="n">
        <v>1.429</v>
      </c>
      <c r="G193" s="22" t="n">
        <v>1.709</v>
      </c>
      <c r="H193" s="22" t="n"/>
      <c r="I193" s="22" t="n">
        <v>5.47</v>
      </c>
      <c r="J193" s="22" t="n">
        <v>1.31</v>
      </c>
      <c r="K193" s="22" t="n">
        <v>4.44</v>
      </c>
      <c r="L193" s="17">
        <f>$J193-$B193</f>
        <v/>
      </c>
      <c r="M193" s="17">
        <f>$I193-$L193</f>
        <v/>
      </c>
      <c r="N193" s="23">
        <f>($G193-$M193)*100</f>
        <v/>
      </c>
      <c r="O193" s="15">
        <f>($E193-$C193)*100</f>
        <v/>
      </c>
      <c r="P193" s="15">
        <f>($G193-$E193)*100</f>
        <v/>
      </c>
      <c r="Q193" s="15">
        <f>($G193-$C193)*100</f>
        <v/>
      </c>
      <c r="R193" s="15">
        <f>IF($H193="","",($H193-$F193)*100)</f>
        <v/>
      </c>
      <c r="S193" s="15">
        <f>IF($H193="","",($H193-$G193)*100)</f>
        <v/>
      </c>
    </row>
    <row r="194">
      <c r="A194" s="11" t="n">
        <v>37841</v>
      </c>
      <c r="B194" s="22" t="n">
        <v>0.01</v>
      </c>
      <c r="C194" s="22" t="n">
        <v>0.07000000000000001</v>
      </c>
      <c r="D194" s="22" t="n">
        <v>0.328</v>
      </c>
      <c r="E194" s="22" t="n">
        <v>0.881</v>
      </c>
      <c r="F194" s="22" t="n">
        <v>1.4</v>
      </c>
      <c r="G194" s="22" t="n">
        <v>1.601</v>
      </c>
      <c r="H194" s="22" t="n"/>
      <c r="I194" s="22" t="n">
        <v>5.4</v>
      </c>
      <c r="J194" s="22" t="n">
        <v>1.22</v>
      </c>
      <c r="K194" s="22" t="n">
        <v>4.27</v>
      </c>
      <c r="L194" s="17">
        <f>$J194-$B194</f>
        <v/>
      </c>
      <c r="M194" s="17">
        <f>$I194-$L194</f>
        <v/>
      </c>
      <c r="N194" s="23">
        <f>($G194-$M194)*100</f>
        <v/>
      </c>
      <c r="O194" s="15">
        <f>($E194-$C194)*100</f>
        <v/>
      </c>
      <c r="P194" s="15">
        <f>($G194-$E194)*100</f>
        <v/>
      </c>
      <c r="Q194" s="15">
        <f>($G194-$C194)*100</f>
        <v/>
      </c>
      <c r="R194" s="15">
        <f>IF($H194="","",($H194-$F194)*100)</f>
        <v/>
      </c>
      <c r="S194" s="15">
        <f>IF($H194="","",($H194-$G194)*100)</f>
        <v/>
      </c>
    </row>
    <row r="195">
      <c r="A195" s="11" t="n">
        <v>37848</v>
      </c>
      <c r="B195" s="22" t="n">
        <v>0.012</v>
      </c>
      <c r="C195" s="22" t="n">
        <v>0.079</v>
      </c>
      <c r="D195" s="22" t="n">
        <v>0.431</v>
      </c>
      <c r="E195" s="22" t="n">
        <v>1.102</v>
      </c>
      <c r="F195" s="22" t="n">
        <v>1.631</v>
      </c>
      <c r="G195" s="22" t="n">
        <v>1.858</v>
      </c>
      <c r="H195" s="22" t="n"/>
      <c r="I195" s="22" t="n">
        <v>5.57</v>
      </c>
      <c r="J195" s="22" t="n">
        <v>1.3</v>
      </c>
      <c r="K195" s="22" t="n">
        <v>4.55</v>
      </c>
      <c r="L195" s="17">
        <f>$J195-$B195</f>
        <v/>
      </c>
      <c r="M195" s="17">
        <f>$I195-$L195</f>
        <v/>
      </c>
      <c r="N195" s="23">
        <f>($G195-$M195)*100</f>
        <v/>
      </c>
      <c r="O195" s="15">
        <f>($E195-$C195)*100</f>
        <v/>
      </c>
      <c r="P195" s="15">
        <f>($G195-$E195)*100</f>
        <v/>
      </c>
      <c r="Q195" s="15">
        <f>($G195-$C195)*100</f>
        <v/>
      </c>
      <c r="R195" s="15">
        <f>IF($H195="","",($H195-$F195)*100)</f>
        <v/>
      </c>
      <c r="S195" s="15">
        <f>IF($H195="","",($H195-$G195)*100)</f>
        <v/>
      </c>
    </row>
    <row r="196">
      <c r="A196" s="11" t="n">
        <v>37855</v>
      </c>
      <c r="B196" s="22" t="n">
        <v>0.03</v>
      </c>
      <c r="C196" s="22" t="n">
        <v>0.171</v>
      </c>
      <c r="D196" s="22" t="n">
        <v>0.609</v>
      </c>
      <c r="E196" s="22" t="n">
        <v>1.335</v>
      </c>
      <c r="F196" s="22" t="n">
        <v>1.818</v>
      </c>
      <c r="G196" s="22" t="n">
        <v>2.02</v>
      </c>
      <c r="H196" s="22" t="n"/>
      <c r="I196" s="22" t="n">
        <v>5.4</v>
      </c>
      <c r="J196" s="22" t="n">
        <v>1.35</v>
      </c>
      <c r="K196" s="22" t="n">
        <v>4.48</v>
      </c>
      <c r="L196" s="17">
        <f>$J196-$B196</f>
        <v/>
      </c>
      <c r="M196" s="17">
        <f>$I196-$L196</f>
        <v/>
      </c>
      <c r="N196" s="23">
        <f>($G196-$M196)*100</f>
        <v/>
      </c>
      <c r="O196" s="15">
        <f>($E196-$C196)*100</f>
        <v/>
      </c>
      <c r="P196" s="15">
        <f>($G196-$E196)*100</f>
        <v/>
      </c>
      <c r="Q196" s="15">
        <f>($G196-$C196)*100</f>
        <v/>
      </c>
      <c r="R196" s="15">
        <f>IF($H196="","",($H196-$F196)*100)</f>
        <v/>
      </c>
      <c r="S196" s="15">
        <f>IF($H196="","",($H196-$G196)*100)</f>
        <v/>
      </c>
    </row>
    <row r="197">
      <c r="A197" s="11" t="n">
        <v>37862</v>
      </c>
      <c r="B197" s="22" t="n">
        <v>0.032</v>
      </c>
      <c r="C197" s="22" t="n">
        <v>0.187</v>
      </c>
      <c r="D197" s="22" t="n">
        <v>0.72</v>
      </c>
      <c r="E197" s="22" t="n">
        <v>1.432</v>
      </c>
      <c r="F197" s="22" t="n">
        <v>1.846</v>
      </c>
      <c r="G197" s="22" t="n">
        <v>2.015</v>
      </c>
      <c r="H197" s="22" t="n"/>
      <c r="I197" s="22" t="n">
        <v>5.3</v>
      </c>
      <c r="J197" s="22" t="n">
        <v>1.35</v>
      </c>
      <c r="K197" s="22" t="n">
        <v>4.45</v>
      </c>
      <c r="L197" s="17">
        <f>$J197-$B197</f>
        <v/>
      </c>
      <c r="M197" s="17">
        <f>$I197-$L197</f>
        <v/>
      </c>
      <c r="N197" s="23">
        <f>($G197-$M197)*100</f>
        <v/>
      </c>
      <c r="O197" s="15">
        <f>($E197-$C197)*100</f>
        <v/>
      </c>
      <c r="P197" s="15">
        <f>($G197-$E197)*100</f>
        <v/>
      </c>
      <c r="Q197" s="15">
        <f>($G197-$C197)*100</f>
        <v/>
      </c>
      <c r="R197" s="15">
        <f>IF($H197="","",($H197-$F197)*100)</f>
        <v/>
      </c>
      <c r="S197" s="15">
        <f>IF($H197="","",($H197-$G197)*100)</f>
        <v/>
      </c>
    </row>
    <row r="198">
      <c r="A198" s="11" t="n">
        <v>37869</v>
      </c>
      <c r="B198" s="22" t="n">
        <v>0.039</v>
      </c>
      <c r="C198" s="22" t="n">
        <v>0.163</v>
      </c>
      <c r="D198" s="22" t="n">
        <v>0.749</v>
      </c>
      <c r="E198" s="22" t="n">
        <v>1.441</v>
      </c>
      <c r="F198" s="22" t="n">
        <v>1.792</v>
      </c>
      <c r="G198" s="22" t="n">
        <v>1.988</v>
      </c>
      <c r="H198" s="22" t="n"/>
      <c r="I198" s="22" t="n">
        <v>5.32</v>
      </c>
      <c r="J198" s="22" t="n">
        <v>1.24</v>
      </c>
      <c r="K198" s="22" t="n">
        <v>4.35</v>
      </c>
      <c r="L198" s="17">
        <f>$J198-$B198</f>
        <v/>
      </c>
      <c r="M198" s="17">
        <f>$I198-$L198</f>
        <v/>
      </c>
      <c r="N198" s="23">
        <f>($G198-$M198)*100</f>
        <v/>
      </c>
      <c r="O198" s="15">
        <f>($E198-$C198)*100</f>
        <v/>
      </c>
      <c r="P198" s="15">
        <f>($G198-$E198)*100</f>
        <v/>
      </c>
      <c r="Q198" s="15">
        <f>($G198-$C198)*100</f>
        <v/>
      </c>
      <c r="R198" s="15">
        <f>IF($H198="","",($H198-$F198)*100)</f>
        <v/>
      </c>
      <c r="S198" s="15">
        <f>IF($H198="","",($H198-$G198)*100)</f>
        <v/>
      </c>
    </row>
    <row r="199">
      <c r="A199" s="11" t="n">
        <v>37876</v>
      </c>
      <c r="B199" s="22" t="n">
        <v>0.039</v>
      </c>
      <c r="C199" s="22" t="n">
        <v>0.158</v>
      </c>
      <c r="D199" s="22" t="n">
        <v>0.742</v>
      </c>
      <c r="E199" s="22" t="n">
        <v>1.527</v>
      </c>
      <c r="F199" s="22" t="n">
        <v>1.95</v>
      </c>
      <c r="G199" s="22" t="n">
        <v>2.113</v>
      </c>
      <c r="H199" s="22" t="n"/>
      <c r="I199" s="22" t="n">
        <v>5.33</v>
      </c>
      <c r="J199" s="22" t="n">
        <v>1.2</v>
      </c>
      <c r="K199" s="22" t="n">
        <v>4.27</v>
      </c>
      <c r="L199" s="17">
        <f>$J199-$B199</f>
        <v/>
      </c>
      <c r="M199" s="17">
        <f>$I199-$L199</f>
        <v/>
      </c>
      <c r="N199" s="23">
        <f>($G199-$M199)*100</f>
        <v/>
      </c>
      <c r="O199" s="15">
        <f>($E199-$C199)*100</f>
        <v/>
      </c>
      <c r="P199" s="15">
        <f>($G199-$E199)*100</f>
        <v/>
      </c>
      <c r="Q199" s="15">
        <f>($G199-$C199)*100</f>
        <v/>
      </c>
      <c r="R199" s="15">
        <f>IF($H199="","",($H199-$F199)*100)</f>
        <v/>
      </c>
      <c r="S199" s="15">
        <f>IF($H199="","",($H199-$G199)*100)</f>
        <v/>
      </c>
    </row>
    <row r="200">
      <c r="A200" s="11" t="n">
        <v>37883</v>
      </c>
      <c r="B200" s="22" t="n">
        <v>0.039</v>
      </c>
      <c r="C200" s="22" t="n">
        <v>0.134</v>
      </c>
      <c r="D200" s="22" t="n">
        <v>0.636</v>
      </c>
      <c r="E200" s="22" t="n">
        <v>1.401</v>
      </c>
      <c r="F200" s="22" t="n">
        <v>1.832</v>
      </c>
      <c r="G200" s="22" t="n">
        <v>2.006</v>
      </c>
      <c r="H200" s="22" t="n"/>
      <c r="I200" s="22" t="n">
        <v>5.2</v>
      </c>
      <c r="J200" s="22" t="n">
        <v>1.23</v>
      </c>
      <c r="K200" s="22" t="n">
        <v>4.17</v>
      </c>
      <c r="L200" s="17">
        <f>$J200-$B200</f>
        <v/>
      </c>
      <c r="M200" s="17">
        <f>$I200-$L200</f>
        <v/>
      </c>
      <c r="N200" s="23">
        <f>($G200-$M200)*100</f>
        <v/>
      </c>
      <c r="O200" s="15">
        <f>($E200-$C200)*100</f>
        <v/>
      </c>
      <c r="P200" s="15">
        <f>($G200-$E200)*100</f>
        <v/>
      </c>
      <c r="Q200" s="15">
        <f>($G200-$C200)*100</f>
        <v/>
      </c>
      <c r="R200" s="15">
        <f>IF($H200="","",($H200-$F200)*100)</f>
        <v/>
      </c>
      <c r="S200" s="15">
        <f>IF($H200="","",($H200-$G200)*100)</f>
        <v/>
      </c>
    </row>
    <row r="201">
      <c r="A201" s="11" t="n">
        <v>37890</v>
      </c>
      <c r="B201" s="22" t="n">
        <v>0.05</v>
      </c>
      <c r="C201" s="22" t="n">
        <v>0.168</v>
      </c>
      <c r="D201" s="22" t="n">
        <v>0.655</v>
      </c>
      <c r="E201" s="22" t="n">
        <v>1.409</v>
      </c>
      <c r="F201" s="22" t="n">
        <v>1.849</v>
      </c>
      <c r="G201" s="22" t="n">
        <v>2.009</v>
      </c>
      <c r="H201" s="22" t="n"/>
      <c r="I201" s="22" t="n">
        <v>5.11</v>
      </c>
      <c r="J201" s="22" t="n">
        <v>1.21</v>
      </c>
      <c r="K201" s="22" t="n">
        <v>4.04</v>
      </c>
      <c r="L201" s="17">
        <f>$J201-$B201</f>
        <v/>
      </c>
      <c r="M201" s="17">
        <f>$I201-$L201</f>
        <v/>
      </c>
      <c r="N201" s="23">
        <f>($G201-$M201)*100</f>
        <v/>
      </c>
      <c r="O201" s="15">
        <f>($E201-$C201)*100</f>
        <v/>
      </c>
      <c r="P201" s="15">
        <f>($G201-$E201)*100</f>
        <v/>
      </c>
      <c r="Q201" s="15">
        <f>($G201-$C201)*100</f>
        <v/>
      </c>
      <c r="R201" s="15">
        <f>IF($H201="","",($H201-$F201)*100)</f>
        <v/>
      </c>
      <c r="S201" s="15">
        <f>IF($H201="","",($H201-$G201)*100)</f>
        <v/>
      </c>
    </row>
    <row r="202">
      <c r="A202" s="11" t="n">
        <v>37897</v>
      </c>
      <c r="B202" s="22" t="n">
        <v>0.04</v>
      </c>
      <c r="C202" s="22" t="n">
        <v>0.123</v>
      </c>
      <c r="D202" s="22" t="n">
        <v>0.599</v>
      </c>
      <c r="E202" s="22" t="n">
        <v>1.383</v>
      </c>
      <c r="F202" s="22" t="n">
        <v>1.827</v>
      </c>
      <c r="G202" s="22" t="n">
        <v>2.005</v>
      </c>
      <c r="H202" s="22" t="n"/>
      <c r="I202" s="22" t="n">
        <v>5.23</v>
      </c>
      <c r="J202" s="22" t="n">
        <v>1.2</v>
      </c>
      <c r="K202" s="22" t="n">
        <v>4.21</v>
      </c>
      <c r="L202" s="17">
        <f>$J202-$B202</f>
        <v/>
      </c>
      <c r="M202" s="17">
        <f>$I202-$L202</f>
        <v/>
      </c>
      <c r="N202" s="23">
        <f>($G202-$M202)*100</f>
        <v/>
      </c>
      <c r="O202" s="15">
        <f>($E202-$C202)*100</f>
        <v/>
      </c>
      <c r="P202" s="15">
        <f>($G202-$E202)*100</f>
        <v/>
      </c>
      <c r="Q202" s="15">
        <f>($G202-$C202)*100</f>
        <v/>
      </c>
      <c r="R202" s="15">
        <f>IF($H202="","",($H202-$F202)*100)</f>
        <v/>
      </c>
      <c r="S202" s="15">
        <f>IF($H202="","",($H202-$G202)*100)</f>
        <v/>
      </c>
    </row>
    <row r="203">
      <c r="A203" s="11" t="n">
        <v>37904</v>
      </c>
      <c r="B203" s="22" t="n">
        <v>0.03</v>
      </c>
      <c r="C203" s="22" t="n">
        <v>0.092</v>
      </c>
      <c r="D203" s="22" t="n">
        <v>0.573</v>
      </c>
      <c r="E203" s="22" t="n">
        <v>1.35</v>
      </c>
      <c r="F203" s="22" t="n">
        <v>1.803</v>
      </c>
      <c r="G203" s="22" t="n">
        <v>2.01</v>
      </c>
      <c r="H203" s="22" t="n"/>
      <c r="I203" s="22" t="n">
        <v>5.34</v>
      </c>
      <c r="J203" s="22" t="n">
        <v>1.21</v>
      </c>
      <c r="K203" s="22" t="n">
        <v>4.29</v>
      </c>
      <c r="L203" s="17">
        <f>$J203-$B203</f>
        <v/>
      </c>
      <c r="M203" s="17">
        <f>$I203-$L203</f>
        <v/>
      </c>
      <c r="N203" s="23">
        <f>($G203-$M203)*100</f>
        <v/>
      </c>
      <c r="O203" s="15">
        <f>($E203-$C203)*100</f>
        <v/>
      </c>
      <c r="P203" s="15">
        <f>($G203-$E203)*100</f>
        <v/>
      </c>
      <c r="Q203" s="15">
        <f>($G203-$C203)*100</f>
        <v/>
      </c>
      <c r="R203" s="15">
        <f>IF($H203="","",($H203-$F203)*100)</f>
        <v/>
      </c>
      <c r="S203" s="15">
        <f>IF($H203="","",($H203-$G203)*100)</f>
        <v/>
      </c>
    </row>
    <row r="204">
      <c r="A204" s="11" t="n">
        <v>37911</v>
      </c>
      <c r="B204" s="22" t="n">
        <v>0.031</v>
      </c>
      <c r="C204" s="22" t="n">
        <v>0.109</v>
      </c>
      <c r="D204" s="22" t="n">
        <v>0.636</v>
      </c>
      <c r="E204" s="22" t="n">
        <v>1.426</v>
      </c>
      <c r="F204" s="22" t="n">
        <v>1.871</v>
      </c>
      <c r="G204" s="22" t="n">
        <v>2.092</v>
      </c>
      <c r="H204" s="22" t="n"/>
      <c r="I204" s="22" t="n">
        <v>5.37</v>
      </c>
      <c r="J204" s="22" t="n">
        <v>1.31</v>
      </c>
      <c r="K204" s="22" t="n">
        <v>4.41</v>
      </c>
      <c r="L204" s="17">
        <f>$J204-$B204</f>
        <v/>
      </c>
      <c r="M204" s="17">
        <f>$I204-$L204</f>
        <v/>
      </c>
      <c r="N204" s="23">
        <f>($G204-$M204)*100</f>
        <v/>
      </c>
      <c r="O204" s="15">
        <f>($E204-$C204)*100</f>
        <v/>
      </c>
      <c r="P204" s="15">
        <f>($G204-$E204)*100</f>
        <v/>
      </c>
      <c r="Q204" s="15">
        <f>($G204-$C204)*100</f>
        <v/>
      </c>
      <c r="R204" s="15">
        <f>IF($H204="","",($H204-$F204)*100)</f>
        <v/>
      </c>
      <c r="S204" s="15">
        <f>IF($H204="","",($H204-$G204)*100)</f>
        <v/>
      </c>
    </row>
    <row r="205">
      <c r="A205" s="11" t="n">
        <v>37918</v>
      </c>
      <c r="B205" s="22" t="n">
        <v>0.029</v>
      </c>
      <c r="C205" s="22" t="n">
        <v>0.107</v>
      </c>
      <c r="D205" s="22" t="n">
        <v>0.6</v>
      </c>
      <c r="E205" s="22" t="n">
        <v>1.368</v>
      </c>
      <c r="F205" s="22" t="n">
        <v>1.86</v>
      </c>
      <c r="G205" s="22" t="n">
        <v>2.104</v>
      </c>
      <c r="H205" s="22" t="n"/>
      <c r="I205" s="22" t="n">
        <v>5.27</v>
      </c>
      <c r="J205" s="22" t="n">
        <v>1.27</v>
      </c>
      <c r="K205" s="22" t="n">
        <v>4.24</v>
      </c>
      <c r="L205" s="17">
        <f>$J205-$B205</f>
        <v/>
      </c>
      <c r="M205" s="17">
        <f>$I205-$L205</f>
        <v/>
      </c>
      <c r="N205" s="23">
        <f>($G205-$M205)*100</f>
        <v/>
      </c>
      <c r="O205" s="15">
        <f>($E205-$C205)*100</f>
        <v/>
      </c>
      <c r="P205" s="15">
        <f>($G205-$E205)*100</f>
        <v/>
      </c>
      <c r="Q205" s="15">
        <f>($G205-$C205)*100</f>
        <v/>
      </c>
      <c r="R205" s="15">
        <f>IF($H205="","",($H205-$F205)*100)</f>
        <v/>
      </c>
      <c r="S205" s="15">
        <f>IF($H205="","",($H205-$G205)*100)</f>
        <v/>
      </c>
    </row>
    <row r="206">
      <c r="A206" s="11" t="n">
        <v>37925</v>
      </c>
      <c r="B206" s="22" t="n">
        <v>0.029</v>
      </c>
      <c r="C206" s="22" t="n">
        <v>0.137</v>
      </c>
      <c r="D206" s="22" t="n">
        <v>0.654</v>
      </c>
      <c r="E206" s="22" t="n">
        <v>1.463</v>
      </c>
      <c r="F206" s="22" t="n">
        <v>1.97</v>
      </c>
      <c r="G206" s="22" t="n">
        <v>2.218</v>
      </c>
      <c r="H206" s="22" t="n"/>
      <c r="I206" s="22" t="n">
        <v>5.28</v>
      </c>
      <c r="J206" s="22" t="n">
        <v>1.31</v>
      </c>
      <c r="K206" s="22" t="n">
        <v>4.33</v>
      </c>
      <c r="L206" s="17">
        <f>$J206-$B206</f>
        <v/>
      </c>
      <c r="M206" s="17">
        <f>$I206-$L206</f>
        <v/>
      </c>
      <c r="N206" s="23">
        <f>($G206-$M206)*100</f>
        <v/>
      </c>
      <c r="O206" s="15">
        <f>($E206-$C206)*100</f>
        <v/>
      </c>
      <c r="P206" s="15">
        <f>($G206-$E206)*100</f>
        <v/>
      </c>
      <c r="Q206" s="15">
        <f>($G206-$C206)*100</f>
        <v/>
      </c>
      <c r="R206" s="15">
        <f>IF($H206="","",($H206-$F206)*100)</f>
        <v/>
      </c>
      <c r="S206" s="15">
        <f>IF($H206="","",($H206-$G206)*100)</f>
        <v/>
      </c>
    </row>
    <row r="207">
      <c r="A207" s="11" t="n">
        <v>37932</v>
      </c>
      <c r="B207" s="22" t="n">
        <v>0.029</v>
      </c>
      <c r="C207" s="22" t="n">
        <v>0.164</v>
      </c>
      <c r="D207" s="22" t="n">
        <v>0.77</v>
      </c>
      <c r="E207" s="22" t="n">
        <v>1.537</v>
      </c>
      <c r="F207" s="22" t="n">
        <v>2.041</v>
      </c>
      <c r="G207" s="22" t="n">
        <v>2.309</v>
      </c>
      <c r="H207" s="22" t="n"/>
      <c r="I207" s="22" t="n">
        <v>5.38</v>
      </c>
      <c r="J207" s="22" t="n">
        <v>1.4</v>
      </c>
      <c r="K207" s="22" t="n">
        <v>4.48</v>
      </c>
      <c r="L207" s="17">
        <f>$J207-$B207</f>
        <v/>
      </c>
      <c r="M207" s="17">
        <f>$I207-$L207</f>
        <v/>
      </c>
      <c r="N207" s="23">
        <f>($G207-$M207)*100</f>
        <v/>
      </c>
      <c r="O207" s="15">
        <f>($E207-$C207)*100</f>
        <v/>
      </c>
      <c r="P207" s="15">
        <f>($G207-$E207)*100</f>
        <v/>
      </c>
      <c r="Q207" s="15">
        <f>($G207-$C207)*100</f>
        <v/>
      </c>
      <c r="R207" s="15">
        <f>IF($H207="","",($H207-$F207)*100)</f>
        <v/>
      </c>
      <c r="S207" s="15">
        <f>IF($H207="","",($H207-$G207)*100)</f>
        <v/>
      </c>
    </row>
    <row r="208">
      <c r="A208" s="11" t="n">
        <v>37939</v>
      </c>
      <c r="B208" s="22" t="n">
        <v>0.022</v>
      </c>
      <c r="C208" s="22" t="n">
        <v>0.13</v>
      </c>
      <c r="D208" s="22" t="n">
        <v>0.623</v>
      </c>
      <c r="E208" s="22" t="n">
        <v>1.365</v>
      </c>
      <c r="F208" s="22" t="n">
        <v>1.82</v>
      </c>
      <c r="G208" s="22" t="n">
        <v>2.062</v>
      </c>
      <c r="H208" s="22" t="n"/>
      <c r="I208" s="22" t="n">
        <v>5.21</v>
      </c>
      <c r="J208" s="22" t="n">
        <v>1.31</v>
      </c>
      <c r="K208" s="22" t="n">
        <v>4.22</v>
      </c>
      <c r="L208" s="17">
        <f>$J208-$B208</f>
        <v/>
      </c>
      <c r="M208" s="17">
        <f>$I208-$L208</f>
        <v/>
      </c>
      <c r="N208" s="23">
        <f>($G208-$M208)*100</f>
        <v/>
      </c>
      <c r="O208" s="15">
        <f>($E208-$C208)*100</f>
        <v/>
      </c>
      <c r="P208" s="15">
        <f>($G208-$E208)*100</f>
        <v/>
      </c>
      <c r="Q208" s="15">
        <f>($G208-$C208)*100</f>
        <v/>
      </c>
      <c r="R208" s="15">
        <f>IF($H208="","",($H208-$F208)*100)</f>
        <v/>
      </c>
      <c r="S208" s="15">
        <f>IF($H208="","",($H208-$G208)*100)</f>
        <v/>
      </c>
    </row>
    <row r="209">
      <c r="A209" s="11" t="n">
        <v>37946</v>
      </c>
      <c r="B209" s="22" t="n">
        <v>0.02</v>
      </c>
      <c r="C209" s="22" t="n">
        <v>0.126</v>
      </c>
      <c r="D209" s="22" t="n">
        <v>0.616</v>
      </c>
      <c r="E209" s="22" t="n">
        <v>1.321</v>
      </c>
      <c r="F209" s="22" t="n">
        <v>1.819</v>
      </c>
      <c r="G209" s="22" t="n">
        <v>2.07</v>
      </c>
      <c r="H209" s="22" t="n"/>
      <c r="I209" s="22" t="n">
        <v>5.13</v>
      </c>
      <c r="J209" s="22" t="n">
        <v>1.29</v>
      </c>
      <c r="K209" s="22" t="n">
        <v>4.15</v>
      </c>
      <c r="L209" s="17">
        <f>$J209-$B209</f>
        <v/>
      </c>
      <c r="M209" s="17">
        <f>$I209-$L209</f>
        <v/>
      </c>
      <c r="N209" s="23">
        <f>($G209-$M209)*100</f>
        <v/>
      </c>
      <c r="O209" s="15">
        <f>($E209-$C209)*100</f>
        <v/>
      </c>
      <c r="P209" s="15">
        <f>($G209-$E209)*100</f>
        <v/>
      </c>
      <c r="Q209" s="15">
        <f>($G209-$C209)*100</f>
        <v/>
      </c>
      <c r="R209" s="15">
        <f>IF($H209="","",($H209-$F209)*100)</f>
        <v/>
      </c>
      <c r="S209" s="15">
        <f>IF($H209="","",($H209-$G209)*100)</f>
        <v/>
      </c>
    </row>
    <row r="210">
      <c r="A210" s="11" t="n">
        <v>37953</v>
      </c>
      <c r="B210" s="22" t="n">
        <v>0.018</v>
      </c>
      <c r="C210" s="22" t="n">
        <v>0.132</v>
      </c>
      <c r="D210" s="22" t="n">
        <v>0.577</v>
      </c>
      <c r="E210" s="22" t="n">
        <v>1.315</v>
      </c>
      <c r="F210" s="22" t="n">
        <v>1.797</v>
      </c>
      <c r="G210" s="22" t="n">
        <v>2.034</v>
      </c>
      <c r="H210" s="22" t="n"/>
      <c r="I210" s="22" t="n">
        <v>5.23</v>
      </c>
      <c r="J210" s="22" t="n">
        <v>1.39</v>
      </c>
      <c r="K210" s="22" t="n">
        <v>4.34</v>
      </c>
      <c r="L210" s="17">
        <f>$J210-$B210</f>
        <v/>
      </c>
      <c r="M210" s="17">
        <f>$I210-$L210</f>
        <v/>
      </c>
      <c r="N210" s="23">
        <f>($G210-$M210)*100</f>
        <v/>
      </c>
      <c r="O210" s="15">
        <f>($E210-$C210)*100</f>
        <v/>
      </c>
      <c r="P210" s="15">
        <f>($G210-$E210)*100</f>
        <v/>
      </c>
      <c r="Q210" s="15">
        <f>($G210-$C210)*100</f>
        <v/>
      </c>
      <c r="R210" s="15">
        <f>IF($H210="","",($H210-$F210)*100)</f>
        <v/>
      </c>
      <c r="S210" s="15">
        <f>IF($H210="","",($H210-$G210)*100)</f>
        <v/>
      </c>
    </row>
    <row r="211">
      <c r="A211" s="11" t="n">
        <v>37960</v>
      </c>
      <c r="B211" s="22" t="n">
        <v>0.019</v>
      </c>
      <c r="C211" s="22" t="n">
        <v>0.135</v>
      </c>
      <c r="D211" s="22" t="n">
        <v>0.649</v>
      </c>
      <c r="E211" s="22" t="n">
        <v>1.39</v>
      </c>
      <c r="F211" s="22" t="n">
        <v>1.869</v>
      </c>
      <c r="G211" s="22" t="n">
        <v>2.102</v>
      </c>
      <c r="H211" s="22" t="n"/>
      <c r="I211" s="22" t="n">
        <v>5.2</v>
      </c>
      <c r="J211" s="22" t="n">
        <v>1.3</v>
      </c>
      <c r="K211" s="22" t="n">
        <v>4.23</v>
      </c>
      <c r="L211" s="17">
        <f>$J211-$B211</f>
        <v/>
      </c>
      <c r="M211" s="17">
        <f>$I211-$L211</f>
        <v/>
      </c>
      <c r="N211" s="23">
        <f>($G211-$M211)*100</f>
        <v/>
      </c>
      <c r="O211" s="15">
        <f>($E211-$C211)*100</f>
        <v/>
      </c>
      <c r="P211" s="15">
        <f>($G211-$E211)*100</f>
        <v/>
      </c>
      <c r="Q211" s="15">
        <f>($G211-$C211)*100</f>
        <v/>
      </c>
      <c r="R211" s="15">
        <f>IF($H211="","",($H211-$F211)*100)</f>
        <v/>
      </c>
      <c r="S211" s="15">
        <f>IF($H211="","",($H211-$G211)*100)</f>
        <v/>
      </c>
    </row>
    <row r="212">
      <c r="A212" s="11" t="n">
        <v>37967</v>
      </c>
      <c r="B212" s="22" t="n">
        <v>0.019</v>
      </c>
      <c r="C212" s="22" t="n">
        <v>0.115</v>
      </c>
      <c r="D212" s="22" t="n">
        <v>0.552</v>
      </c>
      <c r="E212" s="22" t="n">
        <v>1.288</v>
      </c>
      <c r="F212" s="22" t="n">
        <v>1.784</v>
      </c>
      <c r="G212" s="22" t="n">
        <v>1.989</v>
      </c>
      <c r="H212" s="22" t="n"/>
      <c r="I212" s="22" t="n">
        <v>5.23</v>
      </c>
      <c r="J212" s="22" t="n">
        <v>1.28</v>
      </c>
      <c r="K212" s="22" t="n">
        <v>4.26</v>
      </c>
      <c r="L212" s="17">
        <f>$J212-$B212</f>
        <v/>
      </c>
      <c r="M212" s="17">
        <f>$I212-$L212</f>
        <v/>
      </c>
      <c r="N212" s="23">
        <f>($G212-$M212)*100</f>
        <v/>
      </c>
      <c r="O212" s="15">
        <f>($E212-$C212)*100</f>
        <v/>
      </c>
      <c r="P212" s="15">
        <f>($G212-$E212)*100</f>
        <v/>
      </c>
      <c r="Q212" s="15">
        <f>($G212-$C212)*100</f>
        <v/>
      </c>
      <c r="R212" s="15">
        <f>IF($H212="","",($H212-$F212)*100)</f>
        <v/>
      </c>
      <c r="S212" s="15">
        <f>IF($H212="","",($H212-$G212)*100)</f>
        <v/>
      </c>
    </row>
    <row r="213">
      <c r="A213" s="11" t="n">
        <v>37974</v>
      </c>
      <c r="B213" s="22" t="n">
        <v>0.02</v>
      </c>
      <c r="C213" s="22" t="n">
        <v>0.114</v>
      </c>
      <c r="D213" s="22" t="n">
        <v>0.5610000000000001</v>
      </c>
      <c r="E213" s="22" t="n">
        <v>1.311</v>
      </c>
      <c r="F213" s="22" t="n">
        <v>1.829</v>
      </c>
      <c r="G213" s="22" t="n">
        <v>2.062</v>
      </c>
      <c r="H213" s="22" t="n"/>
      <c r="I213" s="22" t="n">
        <v>5.11</v>
      </c>
      <c r="J213" s="22" t="n">
        <v>1.25</v>
      </c>
      <c r="K213" s="22" t="n">
        <v>4.15</v>
      </c>
      <c r="L213" s="17">
        <f>$J213-$B213</f>
        <v/>
      </c>
      <c r="M213" s="17">
        <f>$I213-$L213</f>
        <v/>
      </c>
      <c r="N213" s="23">
        <f>($G213-$M213)*100</f>
        <v/>
      </c>
      <c r="O213" s="15">
        <f>($E213-$C213)*100</f>
        <v/>
      </c>
      <c r="P213" s="15">
        <f>($G213-$E213)*100</f>
        <v/>
      </c>
      <c r="Q213" s="15">
        <f>($G213-$C213)*100</f>
        <v/>
      </c>
      <c r="R213" s="15">
        <f>IF($H213="","",($H213-$F213)*100)</f>
        <v/>
      </c>
      <c r="S213" s="15">
        <f>IF($H213="","",($H213-$G213)*100)</f>
        <v/>
      </c>
    </row>
    <row r="214">
      <c r="A214" s="11" t="n">
        <v>37981</v>
      </c>
      <c r="B214" s="22" t="n">
        <v>0.018</v>
      </c>
      <c r="C214" s="22" t="n">
        <v>0.102</v>
      </c>
      <c r="D214" s="22" t="n">
        <v>0.57</v>
      </c>
      <c r="E214" s="22" t="n">
        <v>1.316</v>
      </c>
      <c r="F214" s="22" t="n">
        <v>1.813</v>
      </c>
      <c r="G214" s="22" t="n">
        <v>2.039</v>
      </c>
      <c r="H214" s="22" t="n"/>
      <c r="I214" s="22" t="n">
        <v>5.15</v>
      </c>
      <c r="J214" s="22" t="n">
        <v>1.27</v>
      </c>
      <c r="K214" s="22" t="n">
        <v>4.17</v>
      </c>
      <c r="L214" s="17">
        <f>$J214-$B214</f>
        <v/>
      </c>
      <c r="M214" s="17">
        <f>$I214-$L214</f>
        <v/>
      </c>
      <c r="N214" s="23">
        <f>($G214-$M214)*100</f>
        <v/>
      </c>
      <c r="O214" s="15">
        <f>($E214-$C214)*100</f>
        <v/>
      </c>
      <c r="P214" s="15">
        <f>($G214-$E214)*100</f>
        <v/>
      </c>
      <c r="Q214" s="15">
        <f>($G214-$C214)*100</f>
        <v/>
      </c>
      <c r="R214" s="15">
        <f>IF($H214="","",($H214-$F214)*100)</f>
        <v/>
      </c>
      <c r="S214" s="15">
        <f>IF($H214="","",($H214-$G214)*100)</f>
        <v/>
      </c>
    </row>
    <row r="215">
      <c r="A215" s="11" t="n">
        <v>37988</v>
      </c>
      <c r="B215" s="22" t="n">
        <v>0.02</v>
      </c>
      <c r="C215" s="22" t="n">
        <v>0.11</v>
      </c>
      <c r="D215" s="22" t="n">
        <v>0.6</v>
      </c>
      <c r="E215" s="22" t="n">
        <v>1.363</v>
      </c>
      <c r="F215" s="22" t="n">
        <v>1.862</v>
      </c>
      <c r="G215" s="22" t="n">
        <v>2.088</v>
      </c>
      <c r="H215" s="22" t="n"/>
      <c r="I215" s="22" t="n">
        <v>5.3</v>
      </c>
      <c r="J215" s="22" t="n">
        <v>1.31</v>
      </c>
      <c r="K215" s="22" t="n">
        <v>4.38</v>
      </c>
      <c r="L215" s="17">
        <f>$J215-$B215</f>
        <v/>
      </c>
      <c r="M215" s="17">
        <f>$I215-$L215</f>
        <v/>
      </c>
      <c r="N215" s="23">
        <f>($G215-$M215)*100</f>
        <v/>
      </c>
      <c r="O215" s="15">
        <f>($E215-$C215)*100</f>
        <v/>
      </c>
      <c r="P215" s="15">
        <f>($G215-$E215)*100</f>
        <v/>
      </c>
      <c r="Q215" s="15">
        <f>($G215-$C215)*100</f>
        <v/>
      </c>
      <c r="R215" s="15">
        <f>IF($H215="","",($H215-$F215)*100)</f>
        <v/>
      </c>
      <c r="S215" s="15">
        <f>IF($H215="","",($H215-$G215)*100)</f>
        <v/>
      </c>
    </row>
    <row r="216">
      <c r="A216" s="11" t="n">
        <v>37995</v>
      </c>
      <c r="B216" s="22" t="n">
        <v>0.019</v>
      </c>
      <c r="C216" s="22" t="n">
        <v>0.101</v>
      </c>
      <c r="D216" s="22" t="n">
        <v>0.595</v>
      </c>
      <c r="E216" s="22" t="n">
        <v>1.357</v>
      </c>
      <c r="F216" s="22" t="n">
        <v>1.85</v>
      </c>
      <c r="G216" s="22" t="n">
        <v>2.065</v>
      </c>
      <c r="H216" s="22" t="n"/>
      <c r="I216" s="22" t="n">
        <v>5.14</v>
      </c>
      <c r="J216" s="22" t="n">
        <v>1.21</v>
      </c>
      <c r="K216" s="22" t="n">
        <v>4.11</v>
      </c>
      <c r="L216" s="17">
        <f>$J216-$B216</f>
        <v/>
      </c>
      <c r="M216" s="17">
        <f>$I216-$L216</f>
        <v/>
      </c>
      <c r="N216" s="23">
        <f>($G216-$M216)*100</f>
        <v/>
      </c>
      <c r="O216" s="15">
        <f>($E216-$C216)*100</f>
        <v/>
      </c>
      <c r="P216" s="15">
        <f>($G216-$E216)*100</f>
        <v/>
      </c>
      <c r="Q216" s="15">
        <f>($G216-$C216)*100</f>
        <v/>
      </c>
      <c r="R216" s="15">
        <f>IF($H216="","",($H216-$F216)*100)</f>
        <v/>
      </c>
      <c r="S216" s="15">
        <f>IF($H216="","",($H216-$G216)*100)</f>
        <v/>
      </c>
    </row>
    <row r="217">
      <c r="A217" s="11" t="n">
        <v>38002</v>
      </c>
      <c r="B217" s="22" t="n">
        <v>0.021</v>
      </c>
      <c r="C217" s="22" t="n">
        <v>0.083</v>
      </c>
      <c r="D217" s="22" t="n">
        <v>0.526</v>
      </c>
      <c r="E217" s="22" t="n">
        <v>1.285</v>
      </c>
      <c r="F217" s="22" t="n">
        <v>1.815</v>
      </c>
      <c r="G217" s="22" t="n">
        <v>2.027</v>
      </c>
      <c r="H217" s="22" t="n"/>
      <c r="I217" s="22" t="n">
        <v>5.04</v>
      </c>
      <c r="J217" s="22" t="n">
        <v>1.21</v>
      </c>
      <c r="K217" s="22" t="n">
        <v>4.04</v>
      </c>
      <c r="L217" s="17">
        <f>$J217-$B217</f>
        <v/>
      </c>
      <c r="M217" s="17">
        <f>$I217-$L217</f>
        <v/>
      </c>
      <c r="N217" s="23">
        <f>($G217-$M217)*100</f>
        <v/>
      </c>
      <c r="O217" s="15">
        <f>($E217-$C217)*100</f>
        <v/>
      </c>
      <c r="P217" s="15">
        <f>($G217-$E217)*100</f>
        <v/>
      </c>
      <c r="Q217" s="15">
        <f>($G217-$C217)*100</f>
        <v/>
      </c>
      <c r="R217" s="15">
        <f>IF($H217="","",($H217-$F217)*100)</f>
        <v/>
      </c>
      <c r="S217" s="15">
        <f>IF($H217="","",($H217-$G217)*100)</f>
        <v/>
      </c>
    </row>
    <row r="218">
      <c r="A218" s="11" t="n">
        <v>38009</v>
      </c>
      <c r="B218" s="22" t="n">
        <v>0.019</v>
      </c>
      <c r="C218" s="22" t="n">
        <v>0.076</v>
      </c>
      <c r="D218" s="22" t="n">
        <v>0.546</v>
      </c>
      <c r="E218" s="22" t="n">
        <v>1.339</v>
      </c>
      <c r="F218" s="22" t="n">
        <v>1.874</v>
      </c>
      <c r="G218" s="22" t="n">
        <v>2.088</v>
      </c>
      <c r="H218" s="22" t="n"/>
      <c r="I218" s="22" t="n">
        <v>5.08</v>
      </c>
      <c r="J218" s="22" t="n">
        <v>1.21</v>
      </c>
      <c r="K218" s="22" t="n">
        <v>4.09</v>
      </c>
      <c r="L218" s="17">
        <f>$J218-$B218</f>
        <v/>
      </c>
      <c r="M218" s="17">
        <f>$I218-$L218</f>
        <v/>
      </c>
      <c r="N218" s="23">
        <f>($G218-$M218)*100</f>
        <v/>
      </c>
      <c r="O218" s="15">
        <f>($E218-$C218)*100</f>
        <v/>
      </c>
      <c r="P218" s="15">
        <f>($G218-$E218)*100</f>
        <v/>
      </c>
      <c r="Q218" s="15">
        <f>($G218-$C218)*100</f>
        <v/>
      </c>
      <c r="R218" s="15">
        <f>IF($H218="","",($H218-$F218)*100)</f>
        <v/>
      </c>
      <c r="S218" s="15">
        <f>IF($H218="","",($H218-$G218)*100)</f>
        <v/>
      </c>
    </row>
    <row r="219">
      <c r="A219" s="11" t="n">
        <v>38016</v>
      </c>
      <c r="B219" s="22" t="n">
        <v>0.017</v>
      </c>
      <c r="C219" s="22" t="n">
        <v>0.068</v>
      </c>
      <c r="D219" s="22" t="n">
        <v>0.521</v>
      </c>
      <c r="E219" s="22" t="n">
        <v>1.322</v>
      </c>
      <c r="F219" s="22" t="n">
        <v>1.871</v>
      </c>
      <c r="G219" s="22" t="n">
        <v>2.097</v>
      </c>
      <c r="H219" s="22" t="n"/>
      <c r="I219" s="22" t="n">
        <v>5.11</v>
      </c>
      <c r="J219" s="22" t="n">
        <v>1.28</v>
      </c>
      <c r="K219" s="22" t="n">
        <v>4.16</v>
      </c>
      <c r="L219" s="17">
        <f>$J219-$B219</f>
        <v/>
      </c>
      <c r="M219" s="17">
        <f>$I219-$L219</f>
        <v/>
      </c>
      <c r="N219" s="23">
        <f>($G219-$M219)*100</f>
        <v/>
      </c>
      <c r="O219" s="15">
        <f>($E219-$C219)*100</f>
        <v/>
      </c>
      <c r="P219" s="15">
        <f>($G219-$E219)*100</f>
        <v/>
      </c>
      <c r="Q219" s="15">
        <f>($G219-$C219)*100</f>
        <v/>
      </c>
      <c r="R219" s="15">
        <f>IF($H219="","",($H219-$F219)*100)</f>
        <v/>
      </c>
      <c r="S219" s="15">
        <f>IF($H219="","",($H219-$G219)*100)</f>
        <v/>
      </c>
    </row>
    <row r="220">
      <c r="A220" s="11" t="n">
        <v>38023</v>
      </c>
      <c r="B220" s="22" t="n">
        <v>0.019</v>
      </c>
      <c r="C220" s="22" t="n">
        <v>0.057</v>
      </c>
      <c r="D220" s="22" t="n">
        <v>0.496</v>
      </c>
      <c r="E220" s="22" t="n">
        <v>1.274</v>
      </c>
      <c r="F220" s="22" t="n">
        <v>1.851</v>
      </c>
      <c r="G220" s="22" t="n">
        <v>2.079</v>
      </c>
      <c r="H220" s="22" t="n"/>
      <c r="I220" s="22" t="n">
        <v>5.08</v>
      </c>
      <c r="J220" s="22" t="n">
        <v>1.26</v>
      </c>
      <c r="K220" s="22" t="n">
        <v>4.12</v>
      </c>
      <c r="L220" s="17">
        <f>$J220-$B220</f>
        <v/>
      </c>
      <c r="M220" s="17">
        <f>$I220-$L220</f>
        <v/>
      </c>
      <c r="N220" s="23">
        <f>($G220-$M220)*100</f>
        <v/>
      </c>
      <c r="O220" s="15">
        <f>($E220-$C220)*100</f>
        <v/>
      </c>
      <c r="P220" s="15">
        <f>($G220-$E220)*100</f>
        <v/>
      </c>
      <c r="Q220" s="15">
        <f>($G220-$C220)*100</f>
        <v/>
      </c>
      <c r="R220" s="15">
        <f>IF($H220="","",($H220-$F220)*100)</f>
        <v/>
      </c>
      <c r="S220" s="15">
        <f>IF($H220="","",($H220-$G220)*100)</f>
        <v/>
      </c>
    </row>
    <row r="221">
      <c r="A221" s="11" t="n">
        <v>38030</v>
      </c>
      <c r="B221" s="22" t="n">
        <v>0.02</v>
      </c>
      <c r="C221" s="22" t="n">
        <v>0.048</v>
      </c>
      <c r="D221" s="22" t="n">
        <v>0.506</v>
      </c>
      <c r="E221" s="22" t="n">
        <v>1.253</v>
      </c>
      <c r="F221" s="22" t="n">
        <v>1.841</v>
      </c>
      <c r="G221" s="22" t="n">
        <v>2.068</v>
      </c>
      <c r="H221" s="22" t="n"/>
      <c r="I221" s="22" t="n">
        <v>5.08</v>
      </c>
      <c r="J221" s="22" t="n">
        <v>1.21</v>
      </c>
      <c r="K221" s="22" t="n">
        <v>4.05</v>
      </c>
      <c r="L221" s="17">
        <f>$J221-$B221</f>
        <v/>
      </c>
      <c r="M221" s="17">
        <f>$I221-$L221</f>
        <v/>
      </c>
      <c r="N221" s="23">
        <f>($G221-$M221)*100</f>
        <v/>
      </c>
      <c r="O221" s="15">
        <f>($E221-$C221)*100</f>
        <v/>
      </c>
      <c r="P221" s="15">
        <f>($G221-$E221)*100</f>
        <v/>
      </c>
      <c r="Q221" s="15">
        <f>($G221-$C221)*100</f>
        <v/>
      </c>
      <c r="R221" s="15">
        <f>IF($H221="","",($H221-$F221)*100)</f>
        <v/>
      </c>
      <c r="S221" s="15">
        <f>IF($H221="","",($H221-$G221)*100)</f>
        <v/>
      </c>
    </row>
    <row r="222">
      <c r="A222" s="11" t="n">
        <v>38037</v>
      </c>
      <c r="B222" s="22" t="n">
        <v>0.02</v>
      </c>
      <c r="C222" s="22" t="n">
        <v>0.055</v>
      </c>
      <c r="D222" s="22" t="n">
        <v>0.475</v>
      </c>
      <c r="E222" s="22" t="n">
        <v>1.204</v>
      </c>
      <c r="F222" s="22" t="n">
        <v>1.784</v>
      </c>
      <c r="G222" s="22" t="n">
        <v>2.003</v>
      </c>
      <c r="H222" s="22" t="n"/>
      <c r="I222" s="22" t="n">
        <v>5.09</v>
      </c>
      <c r="J222" s="22" t="n">
        <v>1.26</v>
      </c>
      <c r="K222" s="22" t="n">
        <v>4.1</v>
      </c>
      <c r="L222" s="17">
        <f>$J222-$B222</f>
        <v/>
      </c>
      <c r="M222" s="17">
        <f>$I222-$L222</f>
        <v/>
      </c>
      <c r="N222" s="23">
        <f>($G222-$M222)*100</f>
        <v/>
      </c>
      <c r="O222" s="15">
        <f>($E222-$C222)*100</f>
        <v/>
      </c>
      <c r="P222" s="15">
        <f>($G222-$E222)*100</f>
        <v/>
      </c>
      <c r="Q222" s="15">
        <f>($G222-$C222)*100</f>
        <v/>
      </c>
      <c r="R222" s="15">
        <f>IF($H222="","",($H222-$F222)*100)</f>
        <v/>
      </c>
      <c r="S222" s="15">
        <f>IF($H222="","",($H222-$G222)*100)</f>
        <v/>
      </c>
    </row>
    <row r="223">
      <c r="A223" s="11" t="n">
        <v>38044</v>
      </c>
      <c r="B223" s="22" t="n">
        <v>0.018</v>
      </c>
      <c r="C223" s="22" t="n">
        <v>0.056</v>
      </c>
      <c r="D223" s="22" t="n">
        <v>0.467</v>
      </c>
      <c r="E223" s="22" t="n">
        <v>1.243</v>
      </c>
      <c r="F223" s="22" t="n">
        <v>1.846</v>
      </c>
      <c r="G223" s="22" t="n">
        <v>2.124</v>
      </c>
      <c r="H223" s="22" t="n"/>
      <c r="I223" s="22" t="n">
        <v>5.01</v>
      </c>
      <c r="J223" s="22" t="n">
        <v>1.21</v>
      </c>
      <c r="K223" s="22" t="n">
        <v>3.99</v>
      </c>
      <c r="L223" s="17">
        <f>$J223-$B223</f>
        <v/>
      </c>
      <c r="M223" s="17">
        <f>$I223-$L223</f>
        <v/>
      </c>
      <c r="N223" s="23">
        <f>($G223-$M223)*100</f>
        <v/>
      </c>
      <c r="O223" s="15">
        <f>($E223-$C223)*100</f>
        <v/>
      </c>
      <c r="P223" s="15">
        <f>($G223-$E223)*100</f>
        <v/>
      </c>
      <c r="Q223" s="15">
        <f>($G223-$C223)*100</f>
        <v/>
      </c>
      <c r="R223" s="15">
        <f>IF($H223="","",($H223-$F223)*100)</f>
        <v/>
      </c>
      <c r="S223" s="15">
        <f>IF($H223="","",($H223-$G223)*100)</f>
        <v/>
      </c>
    </row>
    <row r="224">
      <c r="A224" s="11" t="n">
        <v>38051</v>
      </c>
      <c r="B224" s="22" t="n">
        <v>0.015</v>
      </c>
      <c r="C224" s="22" t="n">
        <v>0.115</v>
      </c>
      <c r="D224" s="22" t="n">
        <v>0.627</v>
      </c>
      <c r="E224" s="22" t="n">
        <v>1.397</v>
      </c>
      <c r="F224" s="22" t="n">
        <v>1.936</v>
      </c>
      <c r="G224" s="22" t="n">
        <v>2.218</v>
      </c>
      <c r="H224" s="22" t="n"/>
      <c r="I224" s="22" t="n">
        <v>4.91</v>
      </c>
      <c r="J224" s="22" t="n">
        <v>1.16</v>
      </c>
      <c r="K224" s="22" t="n">
        <v>3.85</v>
      </c>
      <c r="L224" s="17">
        <f>$J224-$B224</f>
        <v/>
      </c>
      <c r="M224" s="17">
        <f>$I224-$L224</f>
        <v/>
      </c>
      <c r="N224" s="23">
        <f>($G224-$M224)*100</f>
        <v/>
      </c>
      <c r="O224" s="15">
        <f>($E224-$C224)*100</f>
        <v/>
      </c>
      <c r="P224" s="15">
        <f>($G224-$E224)*100</f>
        <v/>
      </c>
      <c r="Q224" s="15">
        <f>($G224-$C224)*100</f>
        <v/>
      </c>
      <c r="R224" s="15">
        <f>IF($H224="","",($H224-$F224)*100)</f>
        <v/>
      </c>
      <c r="S224" s="15">
        <f>IF($H224="","",($H224-$G224)*100)</f>
        <v/>
      </c>
    </row>
    <row r="225">
      <c r="A225" s="11" t="n">
        <v>38058</v>
      </c>
      <c r="B225" s="22" t="n">
        <v>0.013</v>
      </c>
      <c r="C225" s="22" t="n">
        <v>0.082</v>
      </c>
      <c r="D225" s="22" t="n">
        <v>0.502</v>
      </c>
      <c r="E225" s="22" t="n">
        <v>1.246</v>
      </c>
      <c r="F225" s="22" t="n">
        <v>1.848</v>
      </c>
      <c r="G225" s="22" t="n">
        <v>2.126</v>
      </c>
      <c r="H225" s="22" t="n"/>
      <c r="I225" s="22" t="n">
        <v>4.89</v>
      </c>
      <c r="J225" s="22" t="n">
        <v>1.18</v>
      </c>
      <c r="K225" s="22" t="n">
        <v>3.78</v>
      </c>
      <c r="L225" s="17">
        <f>$J225-$B225</f>
        <v/>
      </c>
      <c r="M225" s="17">
        <f>$I225-$L225</f>
        <v/>
      </c>
      <c r="N225" s="23">
        <f>($G225-$M225)*100</f>
        <v/>
      </c>
      <c r="O225" s="15">
        <f>($E225-$C225)*100</f>
        <v/>
      </c>
      <c r="P225" s="15">
        <f>($G225-$E225)*100</f>
        <v/>
      </c>
      <c r="Q225" s="15">
        <f>($G225-$C225)*100</f>
        <v/>
      </c>
      <c r="R225" s="15">
        <f>IF($H225="","",($H225-$F225)*100)</f>
        <v/>
      </c>
      <c r="S225" s="15">
        <f>IF($H225="","",($H225-$G225)*100)</f>
        <v/>
      </c>
    </row>
    <row r="226">
      <c r="A226" s="11" t="n">
        <v>38065</v>
      </c>
      <c r="B226" s="22" t="n">
        <v>0.011</v>
      </c>
      <c r="C226" s="22" t="n">
        <v>0.125</v>
      </c>
      <c r="D226" s="22" t="n">
        <v>0.592</v>
      </c>
      <c r="E226" s="22" t="n">
        <v>1.365</v>
      </c>
      <c r="F226" s="22" t="n">
        <v>1.917</v>
      </c>
      <c r="G226" s="22" t="n">
        <v>2.192</v>
      </c>
      <c r="H226" s="22" t="n"/>
      <c r="I226" s="22" t="n">
        <v>4.89</v>
      </c>
      <c r="J226" s="22" t="n">
        <v>1.19</v>
      </c>
      <c r="K226" s="22" t="n">
        <v>3.8</v>
      </c>
      <c r="L226" s="17">
        <f>$J226-$B226</f>
        <v/>
      </c>
      <c r="M226" s="17">
        <f>$I226-$L226</f>
        <v/>
      </c>
      <c r="N226" s="23">
        <f>($G226-$M226)*100</f>
        <v/>
      </c>
      <c r="O226" s="15">
        <f>($E226-$C226)*100</f>
        <v/>
      </c>
      <c r="P226" s="15">
        <f>($G226-$E226)*100</f>
        <v/>
      </c>
      <c r="Q226" s="15">
        <f>($G226-$C226)*100</f>
        <v/>
      </c>
      <c r="R226" s="15">
        <f>IF($H226="","",($H226-$F226)*100)</f>
        <v/>
      </c>
      <c r="S226" s="15">
        <f>IF($H226="","",($H226-$G226)*100)</f>
        <v/>
      </c>
    </row>
    <row r="227">
      <c r="A227" s="11" t="n">
        <v>38072</v>
      </c>
      <c r="B227" s="22" t="n">
        <v>0.018</v>
      </c>
      <c r="C227" s="22" t="n">
        <v>0.112</v>
      </c>
      <c r="D227" s="22" t="n">
        <v>0.603</v>
      </c>
      <c r="E227" s="22" t="n">
        <v>1.399</v>
      </c>
      <c r="F227" s="22" t="n">
        <v>1.944</v>
      </c>
      <c r="G227" s="22" t="n">
        <v>2.223</v>
      </c>
      <c r="H227" s="22" t="n"/>
      <c r="I227" s="22" t="n">
        <v>4.91</v>
      </c>
      <c r="J227" s="22" t="n">
        <v>1.19</v>
      </c>
      <c r="K227" s="22" t="n">
        <v>3.85</v>
      </c>
      <c r="L227" s="17">
        <f>$J227-$B227</f>
        <v/>
      </c>
      <c r="M227" s="17">
        <f>$I227-$L227</f>
        <v/>
      </c>
      <c r="N227" s="23">
        <f>($G227-$M227)*100</f>
        <v/>
      </c>
      <c r="O227" s="15">
        <f>($E227-$C227)*100</f>
        <v/>
      </c>
      <c r="P227" s="15">
        <f>($G227-$E227)*100</f>
        <v/>
      </c>
      <c r="Q227" s="15">
        <f>($G227-$C227)*100</f>
        <v/>
      </c>
      <c r="R227" s="15">
        <f>IF($H227="","",($H227-$F227)*100)</f>
        <v/>
      </c>
      <c r="S227" s="15">
        <f>IF($H227="","",($H227-$G227)*100)</f>
        <v/>
      </c>
    </row>
    <row r="228">
      <c r="A228" s="11" t="n">
        <v>38079</v>
      </c>
      <c r="B228" s="22" t="n">
        <v>0.02</v>
      </c>
      <c r="C228" s="22" t="n">
        <v>0.119</v>
      </c>
      <c r="D228" s="22" t="n">
        <v>0.612</v>
      </c>
      <c r="E228" s="22" t="n">
        <v>1.424</v>
      </c>
      <c r="F228" s="22" t="n">
        <v>1.951</v>
      </c>
      <c r="G228" s="22" t="n">
        <v>2.242</v>
      </c>
      <c r="H228" s="22" t="n"/>
      <c r="I228" s="22" t="n">
        <v>5.13</v>
      </c>
      <c r="J228" s="22" t="n">
        <v>1.3</v>
      </c>
      <c r="K228" s="22" t="n">
        <v>4.15</v>
      </c>
      <c r="L228" s="17">
        <f>$J228-$B228</f>
        <v/>
      </c>
      <c r="M228" s="17">
        <f>$I228-$L228</f>
        <v/>
      </c>
      <c r="N228" s="23">
        <f>($G228-$M228)*100</f>
        <v/>
      </c>
      <c r="O228" s="15">
        <f>($E228-$C228)*100</f>
        <v/>
      </c>
      <c r="P228" s="15">
        <f>($G228-$E228)*100</f>
        <v/>
      </c>
      <c r="Q228" s="15">
        <f>($G228-$C228)*100</f>
        <v/>
      </c>
      <c r="R228" s="15">
        <f>IF($H228="","",($H228-$F228)*100)</f>
        <v/>
      </c>
      <c r="S228" s="15">
        <f>IF($H228="","",($H228-$G228)*100)</f>
        <v/>
      </c>
    </row>
    <row r="229">
      <c r="A229" s="11" t="n">
        <v>38086</v>
      </c>
      <c r="B229" s="22" t="n">
        <v>0.019</v>
      </c>
      <c r="C229" s="22" t="n">
        <v>0.128</v>
      </c>
      <c r="D229" s="22" t="n">
        <v>0.651</v>
      </c>
      <c r="E229" s="22" t="n">
        <v>1.481</v>
      </c>
      <c r="F229" s="22" t="n">
        <v>2.056</v>
      </c>
      <c r="G229" s="22" t="n">
        <v>2.372</v>
      </c>
      <c r="H229" s="22" t="n"/>
      <c r="I229" s="22" t="n">
        <v>5.17</v>
      </c>
      <c r="J229" s="22" t="n">
        <v>1.32</v>
      </c>
      <c r="K229" s="22" t="n">
        <v>4.21</v>
      </c>
      <c r="L229" s="17">
        <f>$J229-$B229</f>
        <v/>
      </c>
      <c r="M229" s="17">
        <f>$I229-$L229</f>
        <v/>
      </c>
      <c r="N229" s="23">
        <f>($G229-$M229)*100</f>
        <v/>
      </c>
      <c r="O229" s="15">
        <f>($E229-$C229)*100</f>
        <v/>
      </c>
      <c r="P229" s="15">
        <f>($G229-$E229)*100</f>
        <v/>
      </c>
      <c r="Q229" s="15">
        <f>($G229-$C229)*100</f>
        <v/>
      </c>
      <c r="R229" s="15">
        <f>IF($H229="","",($H229-$F229)*100)</f>
        <v/>
      </c>
      <c r="S229" s="15">
        <f>IF($H229="","",($H229-$G229)*100)</f>
        <v/>
      </c>
    </row>
    <row r="230">
      <c r="A230" s="11" t="n">
        <v>38093</v>
      </c>
      <c r="B230" s="22" t="n">
        <v>0.02</v>
      </c>
      <c r="C230" s="22" t="n">
        <v>0.129</v>
      </c>
      <c r="D230" s="22" t="n">
        <v>0.655</v>
      </c>
      <c r="E230" s="22" t="n">
        <v>1.493</v>
      </c>
      <c r="F230" s="22" t="n">
        <v>2.099</v>
      </c>
      <c r="G230" s="22" t="n">
        <v>2.424</v>
      </c>
      <c r="H230" s="22" t="n"/>
      <c r="I230" s="22" t="n">
        <v>5.31</v>
      </c>
      <c r="J230" s="22" t="n">
        <v>1.4</v>
      </c>
      <c r="K230" s="22" t="n">
        <v>4.37</v>
      </c>
      <c r="L230" s="17">
        <f>$J230-$B230</f>
        <v/>
      </c>
      <c r="M230" s="17">
        <f>$I230-$L230</f>
        <v/>
      </c>
      <c r="N230" s="23">
        <f>($G230-$M230)*100</f>
        <v/>
      </c>
      <c r="O230" s="15">
        <f>($E230-$C230)*100</f>
        <v/>
      </c>
      <c r="P230" s="15">
        <f>($G230-$E230)*100</f>
        <v/>
      </c>
      <c r="Q230" s="15">
        <f>($G230-$C230)*100</f>
        <v/>
      </c>
      <c r="R230" s="15">
        <f>IF($H230="","",($H230-$F230)*100)</f>
        <v/>
      </c>
      <c r="S230" s="15">
        <f>IF($H230="","",($H230-$G230)*100)</f>
        <v/>
      </c>
    </row>
    <row r="231">
      <c r="A231" s="11" t="n">
        <v>38100</v>
      </c>
      <c r="B231" s="22" t="n">
        <v>0.019</v>
      </c>
      <c r="C231" s="22" t="n">
        <v>0.127</v>
      </c>
      <c r="D231" s="22" t="n">
        <v>0.648</v>
      </c>
      <c r="E231" s="22" t="n">
        <v>1.505</v>
      </c>
      <c r="F231" s="22" t="n">
        <v>2.089</v>
      </c>
      <c r="G231" s="22" t="n">
        <v>2.39</v>
      </c>
      <c r="H231" s="22" t="n"/>
      <c r="I231" s="22" t="n">
        <v>5.38</v>
      </c>
      <c r="J231" s="22" t="n">
        <v>1.59</v>
      </c>
      <c r="K231" s="22" t="n">
        <v>4.48</v>
      </c>
      <c r="L231" s="17">
        <f>$J231-$B231</f>
        <v/>
      </c>
      <c r="M231" s="17">
        <f>$I231-$L231</f>
        <v/>
      </c>
      <c r="N231" s="23">
        <f>($G231-$M231)*100</f>
        <v/>
      </c>
      <c r="O231" s="15">
        <f>($E231-$C231)*100</f>
        <v/>
      </c>
      <c r="P231" s="15">
        <f>($G231-$E231)*100</f>
        <v/>
      </c>
      <c r="Q231" s="15">
        <f>($G231-$C231)*100</f>
        <v/>
      </c>
      <c r="R231" s="15">
        <f>IF($H231="","",($H231-$F231)*100)</f>
        <v/>
      </c>
      <c r="S231" s="15">
        <f>IF($H231="","",($H231-$G231)*100)</f>
        <v/>
      </c>
    </row>
    <row r="232">
      <c r="A232" s="11" t="n">
        <v>38107</v>
      </c>
      <c r="B232" s="22" t="n">
        <v>0.02</v>
      </c>
      <c r="C232" s="22" t="n">
        <v>0.135</v>
      </c>
      <c r="D232" s="22" t="n">
        <v>0.6860000000000001</v>
      </c>
      <c r="E232" s="22" t="n">
        <v>1.535</v>
      </c>
      <c r="F232" s="22" t="n">
        <v>2.122</v>
      </c>
      <c r="G232" s="22" t="n">
        <v>2.411</v>
      </c>
      <c r="H232" s="22" t="n"/>
      <c r="I232" s="22" t="n">
        <v>5.39</v>
      </c>
      <c r="J232" s="22" t="n">
        <v>1.55</v>
      </c>
      <c r="K232" s="22" t="n">
        <v>4.53</v>
      </c>
      <c r="L232" s="17">
        <f>$J232-$B232</f>
        <v/>
      </c>
      <c r="M232" s="17">
        <f>$I232-$L232</f>
        <v/>
      </c>
      <c r="N232" s="23">
        <f>($G232-$M232)*100</f>
        <v/>
      </c>
      <c r="O232" s="15">
        <f>($E232-$C232)*100</f>
        <v/>
      </c>
      <c r="P232" s="15">
        <f>($G232-$E232)*100</f>
        <v/>
      </c>
      <c r="Q232" s="15">
        <f>($G232-$C232)*100</f>
        <v/>
      </c>
      <c r="R232" s="15">
        <f>IF($H232="","",($H232-$F232)*100)</f>
        <v/>
      </c>
      <c r="S232" s="15">
        <f>IF($H232="","",($H232-$G232)*100)</f>
        <v/>
      </c>
    </row>
    <row r="233">
      <c r="A233" s="11" t="n">
        <v>38114</v>
      </c>
      <c r="B233" s="22" t="n">
        <v>0.019</v>
      </c>
      <c r="C233" s="22" t="n">
        <v>0.131</v>
      </c>
      <c r="D233" s="22" t="n">
        <v>0.616</v>
      </c>
      <c r="E233" s="22" t="n">
        <v>1.475</v>
      </c>
      <c r="F233" s="22" t="n">
        <v>2.089</v>
      </c>
      <c r="G233" s="22" t="n">
        <v>2.385</v>
      </c>
      <c r="H233" s="22" t="n"/>
      <c r="I233" s="22" t="n">
        <v>5.53</v>
      </c>
      <c r="J233" s="22" t="n">
        <v>1.83</v>
      </c>
      <c r="K233" s="22" t="n">
        <v>4.79</v>
      </c>
      <c r="L233" s="17">
        <f>$J233-$B233</f>
        <v/>
      </c>
      <c r="M233" s="17">
        <f>$I233-$L233</f>
        <v/>
      </c>
      <c r="N233" s="23">
        <f>($G233-$M233)*100</f>
        <v/>
      </c>
      <c r="O233" s="15">
        <f>($E233-$C233)*100</f>
        <v/>
      </c>
      <c r="P233" s="15">
        <f>($G233-$E233)*100</f>
        <v/>
      </c>
      <c r="Q233" s="15">
        <f>($G233-$C233)*100</f>
        <v/>
      </c>
      <c r="R233" s="15">
        <f>IF($H233="","",($H233-$F233)*100)</f>
        <v/>
      </c>
      <c r="S233" s="15">
        <f>IF($H233="","",($H233-$G233)*100)</f>
        <v/>
      </c>
    </row>
    <row r="234">
      <c r="A234" s="11" t="n">
        <v>38121</v>
      </c>
      <c r="B234" s="22" t="n">
        <v>0.022</v>
      </c>
      <c r="C234" s="22" t="n">
        <v>0.118</v>
      </c>
      <c r="D234" s="22" t="n">
        <v>0.644</v>
      </c>
      <c r="E234" s="22" t="n">
        <v>1.51</v>
      </c>
      <c r="F234" s="22" t="n">
        <v>2.129</v>
      </c>
      <c r="G234" s="22" t="n">
        <v>2.442</v>
      </c>
      <c r="H234" s="22" t="n"/>
      <c r="I234" s="22" t="n">
        <v>5.59</v>
      </c>
      <c r="J234" s="22" t="n">
        <v>1.81</v>
      </c>
      <c r="K234" s="22" t="n">
        <v>4.79</v>
      </c>
      <c r="L234" s="17">
        <f>$J234-$B234</f>
        <v/>
      </c>
      <c r="M234" s="17">
        <f>$I234-$L234</f>
        <v/>
      </c>
      <c r="N234" s="23">
        <f>($G234-$M234)*100</f>
        <v/>
      </c>
      <c r="O234" s="15">
        <f>($E234-$C234)*100</f>
        <v/>
      </c>
      <c r="P234" s="15">
        <f>($G234-$E234)*100</f>
        <v/>
      </c>
      <c r="Q234" s="15">
        <f>($G234-$C234)*100</f>
        <v/>
      </c>
      <c r="R234" s="15">
        <f>IF($H234="","",($H234-$F234)*100)</f>
        <v/>
      </c>
      <c r="S234" s="15">
        <f>IF($H234="","",($H234-$G234)*100)</f>
        <v/>
      </c>
    </row>
    <row r="235">
      <c r="A235" s="11" t="n">
        <v>38128</v>
      </c>
      <c r="B235" s="22" t="n">
        <v>0.02</v>
      </c>
      <c r="C235" s="22" t="n">
        <v>0.13</v>
      </c>
      <c r="D235" s="22" t="n">
        <v>0.624</v>
      </c>
      <c r="E235" s="22" t="n">
        <v>1.475</v>
      </c>
      <c r="F235" s="22" t="n">
        <v>2.105</v>
      </c>
      <c r="G235" s="22" t="n">
        <v>2.397</v>
      </c>
      <c r="H235" s="22" t="n"/>
      <c r="I235" s="22" t="n">
        <v>5.53</v>
      </c>
      <c r="J235" s="22" t="n">
        <v>1.84</v>
      </c>
      <c r="K235" s="22" t="n">
        <v>4.76</v>
      </c>
      <c r="L235" s="17">
        <f>$J235-$B235</f>
        <v/>
      </c>
      <c r="M235" s="17">
        <f>$I235-$L235</f>
        <v/>
      </c>
      <c r="N235" s="23">
        <f>($G235-$M235)*100</f>
        <v/>
      </c>
      <c r="O235" s="15">
        <f>($E235-$C235)*100</f>
        <v/>
      </c>
      <c r="P235" s="15">
        <f>($G235-$E235)*100</f>
        <v/>
      </c>
      <c r="Q235" s="15">
        <f>($G235-$C235)*100</f>
        <v/>
      </c>
      <c r="R235" s="15">
        <f>IF($H235="","",($H235-$F235)*100)</f>
        <v/>
      </c>
      <c r="S235" s="15">
        <f>IF($H235="","",($H235-$G235)*100)</f>
        <v/>
      </c>
    </row>
    <row r="236">
      <c r="A236" s="11" t="n">
        <v>38135</v>
      </c>
      <c r="B236" s="22" t="n">
        <v>0.019</v>
      </c>
      <c r="C236" s="22" t="n">
        <v>0.134</v>
      </c>
      <c r="D236" s="22" t="n">
        <v>0.669</v>
      </c>
      <c r="E236" s="22" t="n">
        <v>1.519</v>
      </c>
      <c r="F236" s="22" t="n">
        <v>2.103</v>
      </c>
      <c r="G236" s="22" t="n">
        <v>2.378</v>
      </c>
      <c r="H236" s="22" t="n"/>
      <c r="I236" s="22" t="n">
        <v>5.42</v>
      </c>
      <c r="J236" s="22" t="n">
        <v>1.83</v>
      </c>
      <c r="K236" s="22" t="n">
        <v>4.66</v>
      </c>
      <c r="L236" s="17">
        <f>$J236-$B236</f>
        <v/>
      </c>
      <c r="M236" s="17">
        <f>$I236-$L236</f>
        <v/>
      </c>
      <c r="N236" s="23">
        <f>($G236-$M236)*100</f>
        <v/>
      </c>
      <c r="O236" s="15">
        <f>($E236-$C236)*100</f>
        <v/>
      </c>
      <c r="P236" s="15">
        <f>($G236-$E236)*100</f>
        <v/>
      </c>
      <c r="Q236" s="15">
        <f>($G236-$C236)*100</f>
        <v/>
      </c>
      <c r="R236" s="15">
        <f>IF($H236="","",($H236-$F236)*100)</f>
        <v/>
      </c>
      <c r="S236" s="15">
        <f>IF($H236="","",($H236-$G236)*100)</f>
        <v/>
      </c>
    </row>
    <row r="237">
      <c r="A237" s="11" t="n">
        <v>38142</v>
      </c>
      <c r="B237" s="22" t="n">
        <v>0.019</v>
      </c>
      <c r="C237" s="22" t="n">
        <v>0.122</v>
      </c>
      <c r="D237" s="22" t="n">
        <v>0.714</v>
      </c>
      <c r="E237" s="22" t="n">
        <v>1.583</v>
      </c>
      <c r="F237" s="22" t="n">
        <v>2.183</v>
      </c>
      <c r="G237" s="22" t="n">
        <v>2.46</v>
      </c>
      <c r="H237" s="22" t="n"/>
      <c r="I237" s="22" t="n">
        <v>5.54</v>
      </c>
      <c r="J237" s="22" t="n">
        <v>1.97</v>
      </c>
      <c r="K237" s="22" t="n">
        <v>4.78</v>
      </c>
      <c r="L237" s="17">
        <f>$J237-$B237</f>
        <v/>
      </c>
      <c r="M237" s="17">
        <f>$I237-$L237</f>
        <v/>
      </c>
      <c r="N237" s="23">
        <f>($G237-$M237)*100</f>
        <v/>
      </c>
      <c r="O237" s="15">
        <f>($E237-$C237)*100</f>
        <v/>
      </c>
      <c r="P237" s="15">
        <f>($G237-$E237)*100</f>
        <v/>
      </c>
      <c r="Q237" s="15">
        <f>($G237-$C237)*100</f>
        <v/>
      </c>
      <c r="R237" s="15">
        <f>IF($H237="","",($H237-$F237)*100)</f>
        <v/>
      </c>
      <c r="S237" s="15">
        <f>IF($H237="","",($H237-$G237)*100)</f>
        <v/>
      </c>
    </row>
    <row r="238">
      <c r="A238" s="11" t="n">
        <v>38149</v>
      </c>
      <c r="B238" s="22" t="n">
        <v>0.036</v>
      </c>
      <c r="C238" s="22" t="n">
        <v>0.216</v>
      </c>
      <c r="D238" s="22" t="n">
        <v>0.903</v>
      </c>
      <c r="E238" s="22" t="n">
        <v>1.759</v>
      </c>
      <c r="F238" s="22" t="n">
        <v>2.306</v>
      </c>
      <c r="G238" s="22" t="n">
        <v>2.595</v>
      </c>
      <c r="H238" s="22" t="n"/>
      <c r="I238" s="22" t="n">
        <v>5.51</v>
      </c>
      <c r="J238" s="22" t="n">
        <v>2.14</v>
      </c>
      <c r="K238" s="22" t="n">
        <v>4.81</v>
      </c>
      <c r="L238" s="17">
        <f>$J238-$B238</f>
        <v/>
      </c>
      <c r="M238" s="17">
        <f>$I238-$L238</f>
        <v/>
      </c>
      <c r="N238" s="23">
        <f>($G238-$M238)*100</f>
        <v/>
      </c>
      <c r="O238" s="15">
        <f>($E238-$C238)*100</f>
        <v/>
      </c>
      <c r="P238" s="15">
        <f>($G238-$E238)*100</f>
        <v/>
      </c>
      <c r="Q238" s="15">
        <f>($G238-$C238)*100</f>
        <v/>
      </c>
      <c r="R238" s="15">
        <f>IF($H238="","",($H238-$F238)*100)</f>
        <v/>
      </c>
      <c r="S238" s="15">
        <f>IF($H238="","",($H238-$G238)*100)</f>
        <v/>
      </c>
    </row>
    <row r="239">
      <c r="A239" s="11" t="n">
        <v>38156</v>
      </c>
      <c r="B239" s="22" t="n">
        <v>0.04</v>
      </c>
      <c r="C239" s="22" t="n">
        <v>0.209</v>
      </c>
      <c r="D239" s="22" t="n">
        <v>0.946</v>
      </c>
      <c r="E239" s="22" t="n">
        <v>1.847</v>
      </c>
      <c r="F239" s="22" t="n">
        <v>2.375</v>
      </c>
      <c r="G239" s="22" t="n">
        <v>2.669</v>
      </c>
      <c r="H239" s="22" t="n"/>
      <c r="I239" s="22" t="n">
        <v>5.46</v>
      </c>
      <c r="J239" s="22" t="n">
        <v>2.24</v>
      </c>
      <c r="K239" s="22" t="n">
        <v>4.72</v>
      </c>
      <c r="L239" s="17">
        <f>$J239-$B239</f>
        <v/>
      </c>
      <c r="M239" s="17">
        <f>$I239-$L239</f>
        <v/>
      </c>
      <c r="N239" s="23">
        <f>($G239-$M239)*100</f>
        <v/>
      </c>
      <c r="O239" s="15">
        <f>($E239-$C239)*100</f>
        <v/>
      </c>
      <c r="P239" s="15">
        <f>($G239-$E239)*100</f>
        <v/>
      </c>
      <c r="Q239" s="15">
        <f>($G239-$C239)*100</f>
        <v/>
      </c>
      <c r="R239" s="15">
        <f>IF($H239="","",($H239-$F239)*100)</f>
        <v/>
      </c>
      <c r="S239" s="15">
        <f>IF($H239="","",($H239-$G239)*100)</f>
        <v/>
      </c>
    </row>
    <row r="240">
      <c r="A240" s="11" t="n">
        <v>38163</v>
      </c>
      <c r="B240" s="22" t="n">
        <v>0.043</v>
      </c>
      <c r="C240" s="22" t="n">
        <v>0.182</v>
      </c>
      <c r="D240" s="22" t="n">
        <v>0.873</v>
      </c>
      <c r="E240" s="22" t="n">
        <v>1.82</v>
      </c>
      <c r="F240" s="22" t="n">
        <v>2.38</v>
      </c>
      <c r="G240" s="22" t="n">
        <v>2.675</v>
      </c>
      <c r="H240" s="22" t="n"/>
      <c r="I240" s="22" t="n">
        <v>5.41</v>
      </c>
      <c r="J240" s="22" t="n">
        <v>2.14</v>
      </c>
      <c r="K240" s="22" t="n">
        <v>4.66</v>
      </c>
      <c r="L240" s="17">
        <f>$J240-$B240</f>
        <v/>
      </c>
      <c r="M240" s="17">
        <f>$I240-$L240</f>
        <v/>
      </c>
      <c r="N240" s="23">
        <f>($G240-$M240)*100</f>
        <v/>
      </c>
      <c r="O240" s="15">
        <f>($E240-$C240)*100</f>
        <v/>
      </c>
      <c r="P240" s="15">
        <f>($G240-$E240)*100</f>
        <v/>
      </c>
      <c r="Q240" s="15">
        <f>($G240-$C240)*100</f>
        <v/>
      </c>
      <c r="R240" s="15">
        <f>IF($H240="","",($H240-$F240)*100)</f>
        <v/>
      </c>
      <c r="S240" s="15">
        <f>IF($H240="","",($H240-$G240)*100)</f>
        <v/>
      </c>
    </row>
    <row r="241">
      <c r="A241" s="11" t="n">
        <v>38170</v>
      </c>
      <c r="B241" s="22" t="n">
        <v>0.043</v>
      </c>
      <c r="C241" s="22" t="n">
        <v>0.157</v>
      </c>
      <c r="D241" s="22" t="n">
        <v>0.803</v>
      </c>
      <c r="E241" s="22" t="n">
        <v>1.785</v>
      </c>
      <c r="F241" s="22" t="n">
        <v>2.363</v>
      </c>
      <c r="G241" s="22" t="n">
        <v>2.692</v>
      </c>
      <c r="H241" s="22" t="n"/>
      <c r="I241" s="22" t="n">
        <v>5.3</v>
      </c>
      <c r="J241" s="22" t="n">
        <v>2.02</v>
      </c>
      <c r="K241" s="22" t="n">
        <v>4.48</v>
      </c>
      <c r="L241" s="17">
        <f>$J241-$B241</f>
        <v/>
      </c>
      <c r="M241" s="17">
        <f>$I241-$L241</f>
        <v/>
      </c>
      <c r="N241" s="23">
        <f>($G241-$M241)*100</f>
        <v/>
      </c>
      <c r="O241" s="15">
        <f>($E241-$C241)*100</f>
        <v/>
      </c>
      <c r="P241" s="15">
        <f>($G241-$E241)*100</f>
        <v/>
      </c>
      <c r="Q241" s="15">
        <f>($G241-$C241)*100</f>
        <v/>
      </c>
      <c r="R241" s="15">
        <f>IF($H241="","",($H241-$F241)*100)</f>
        <v/>
      </c>
      <c r="S241" s="15">
        <f>IF($H241="","",($H241-$G241)*100)</f>
        <v/>
      </c>
    </row>
    <row r="242">
      <c r="A242" s="11" t="n">
        <v>38177</v>
      </c>
      <c r="B242" s="22" t="n">
        <v>0.046</v>
      </c>
      <c r="C242" s="22" t="n">
        <v>0.152</v>
      </c>
      <c r="D242" s="22" t="n">
        <v>0.844</v>
      </c>
      <c r="E242" s="22" t="n">
        <v>1.791</v>
      </c>
      <c r="F242" s="22" t="n">
        <v>2.398</v>
      </c>
      <c r="G242" s="22" t="n">
        <v>2.726</v>
      </c>
      <c r="H242" s="22" t="n"/>
      <c r="I242" s="22" t="n">
        <v>5.31</v>
      </c>
      <c r="J242" s="22" t="n">
        <v>2</v>
      </c>
      <c r="K242" s="22" t="n">
        <v>4.49</v>
      </c>
      <c r="L242" s="17">
        <f>$J242-$B242</f>
        <v/>
      </c>
      <c r="M242" s="17">
        <f>$I242-$L242</f>
        <v/>
      </c>
      <c r="N242" s="23">
        <f>($G242-$M242)*100</f>
        <v/>
      </c>
      <c r="O242" s="15">
        <f>($E242-$C242)*100</f>
        <v/>
      </c>
      <c r="P242" s="15">
        <f>($G242-$E242)*100</f>
        <v/>
      </c>
      <c r="Q242" s="15">
        <f>($G242-$C242)*100</f>
        <v/>
      </c>
      <c r="R242" s="15">
        <f>IF($H242="","",($H242-$F242)*100)</f>
        <v/>
      </c>
      <c r="S242" s="15">
        <f>IF($H242="","",($H242-$G242)*100)</f>
        <v/>
      </c>
    </row>
    <row r="243">
      <c r="A243" s="11" t="n">
        <v>38184</v>
      </c>
      <c r="B243" s="22" t="n">
        <v>0.049</v>
      </c>
      <c r="C243" s="22" t="n">
        <v>0.164</v>
      </c>
      <c r="D243" s="22" t="n">
        <v>0.842</v>
      </c>
      <c r="E243" s="22" t="n">
        <v>1.765</v>
      </c>
      <c r="F243" s="22" t="n">
        <v>2.381</v>
      </c>
      <c r="G243" s="22" t="n">
        <v>2.701</v>
      </c>
      <c r="H243" s="22" t="n"/>
      <c r="I243" s="22" t="n">
        <v>5.22</v>
      </c>
      <c r="J243" s="22" t="n">
        <v>2.08</v>
      </c>
      <c r="K243" s="22" t="n">
        <v>4.38</v>
      </c>
      <c r="L243" s="17">
        <f>$J243-$B243</f>
        <v/>
      </c>
      <c r="M243" s="17">
        <f>$I243-$L243</f>
        <v/>
      </c>
      <c r="N243" s="23">
        <f>($G243-$M243)*100</f>
        <v/>
      </c>
      <c r="O243" s="15">
        <f>($E243-$C243)*100</f>
        <v/>
      </c>
      <c r="P243" s="15">
        <f>($G243-$E243)*100</f>
        <v/>
      </c>
      <c r="Q243" s="15">
        <f>($G243-$C243)*100</f>
        <v/>
      </c>
      <c r="R243" s="15">
        <f>IF($H243="","",($H243-$F243)*100)</f>
        <v/>
      </c>
      <c r="S243" s="15">
        <f>IF($H243="","",($H243-$G243)*100)</f>
        <v/>
      </c>
    </row>
    <row r="244">
      <c r="A244" s="11" t="n">
        <v>38191</v>
      </c>
      <c r="B244" s="22" t="n">
        <v>0.05</v>
      </c>
      <c r="C244" s="22" t="n">
        <v>0.192</v>
      </c>
      <c r="D244" s="22" t="n">
        <v>0.884</v>
      </c>
      <c r="E244" s="22" t="n">
        <v>1.801</v>
      </c>
      <c r="F244" s="22" t="n">
        <v>2.391</v>
      </c>
      <c r="G244" s="22" t="n">
        <v>2.718</v>
      </c>
      <c r="H244" s="22" t="n"/>
      <c r="I244" s="22" t="n">
        <v>5.27</v>
      </c>
      <c r="J244" s="22" t="n">
        <v>2.12</v>
      </c>
      <c r="K244" s="22" t="n">
        <v>4.45</v>
      </c>
      <c r="L244" s="17">
        <f>$J244-$B244</f>
        <v/>
      </c>
      <c r="M244" s="17">
        <f>$I244-$L244</f>
        <v/>
      </c>
      <c r="N244" s="23">
        <f>($G244-$M244)*100</f>
        <v/>
      </c>
      <c r="O244" s="15">
        <f>($E244-$C244)*100</f>
        <v/>
      </c>
      <c r="P244" s="15">
        <f>($G244-$E244)*100</f>
        <v/>
      </c>
      <c r="Q244" s="15">
        <f>($G244-$C244)*100</f>
        <v/>
      </c>
      <c r="R244" s="15">
        <f>IF($H244="","",($H244-$F244)*100)</f>
        <v/>
      </c>
      <c r="S244" s="15">
        <f>IF($H244="","",($H244-$G244)*100)</f>
        <v/>
      </c>
    </row>
    <row r="245">
      <c r="A245" s="11" t="n">
        <v>38198</v>
      </c>
      <c r="B245" s="22" t="n">
        <v>0.05</v>
      </c>
      <c r="C245" s="22" t="n">
        <v>0.205</v>
      </c>
      <c r="D245" s="22" t="n">
        <v>0.908</v>
      </c>
      <c r="E245" s="22" t="n">
        <v>1.854</v>
      </c>
      <c r="F245" s="22" t="n">
        <v>2.445</v>
      </c>
      <c r="G245" s="22" t="n">
        <v>2.803</v>
      </c>
      <c r="H245" s="22" t="n"/>
      <c r="I245" s="22" t="n">
        <v>5.31</v>
      </c>
      <c r="J245" s="22" t="n">
        <v>2.13</v>
      </c>
      <c r="K245" s="22" t="n">
        <v>4.5</v>
      </c>
      <c r="L245" s="17">
        <f>$J245-$B245</f>
        <v/>
      </c>
      <c r="M245" s="17">
        <f>$I245-$L245</f>
        <v/>
      </c>
      <c r="N245" s="23">
        <f>($G245-$M245)*100</f>
        <v/>
      </c>
      <c r="O245" s="15">
        <f>($E245-$C245)*100</f>
        <v/>
      </c>
      <c r="P245" s="15">
        <f>($G245-$E245)*100</f>
        <v/>
      </c>
      <c r="Q245" s="15">
        <f>($G245-$C245)*100</f>
        <v/>
      </c>
      <c r="R245" s="15">
        <f>IF($H245="","",($H245-$F245)*100)</f>
        <v/>
      </c>
      <c r="S245" s="15">
        <f>IF($H245="","",($H245-$G245)*100)</f>
        <v/>
      </c>
    </row>
    <row r="246">
      <c r="A246" s="11" t="n">
        <v>38205</v>
      </c>
      <c r="B246" s="22" t="n">
        <v>0.03</v>
      </c>
      <c r="C246" s="22" t="n">
        <v>0.188</v>
      </c>
      <c r="D246" s="22" t="n">
        <v>0.805</v>
      </c>
      <c r="E246" s="22" t="n">
        <v>1.7</v>
      </c>
      <c r="F246" s="22" t="n">
        <v>2.294</v>
      </c>
      <c r="G246" s="22" t="n">
        <v>2.643</v>
      </c>
      <c r="H246" s="22" t="n"/>
      <c r="I246" s="22" t="n">
        <v>5.13</v>
      </c>
      <c r="J246" s="22" t="n">
        <v>1.91</v>
      </c>
      <c r="K246" s="22" t="n">
        <v>4.24</v>
      </c>
      <c r="L246" s="17">
        <f>$J246-$B246</f>
        <v/>
      </c>
      <c r="M246" s="17">
        <f>$I246-$L246</f>
        <v/>
      </c>
      <c r="N246" s="23">
        <f>($G246-$M246)*100</f>
        <v/>
      </c>
      <c r="O246" s="15">
        <f>($E246-$C246)*100</f>
        <v/>
      </c>
      <c r="P246" s="15">
        <f>($G246-$E246)*100</f>
        <v/>
      </c>
      <c r="Q246" s="15">
        <f>($G246-$C246)*100</f>
        <v/>
      </c>
      <c r="R246" s="15">
        <f>IF($H246="","",($H246-$F246)*100)</f>
        <v/>
      </c>
      <c r="S246" s="15">
        <f>IF($H246="","",($H246-$G246)*100)</f>
        <v/>
      </c>
    </row>
    <row r="247">
      <c r="A247" s="11" t="n">
        <v>38212</v>
      </c>
      <c r="B247" s="22" t="n">
        <v>0.03</v>
      </c>
      <c r="C247" s="22" t="n">
        <v>0.162</v>
      </c>
      <c r="D247" s="22" t="n">
        <v>0.74</v>
      </c>
      <c r="E247" s="22" t="n">
        <v>1.592</v>
      </c>
      <c r="F247" s="22" t="n">
        <v>2.202</v>
      </c>
      <c r="G247" s="22" t="n">
        <v>2.541</v>
      </c>
      <c r="H247" s="22" t="n"/>
      <c r="I247" s="22" t="n">
        <v>5.11</v>
      </c>
      <c r="J247" s="22" t="n">
        <v>1.97</v>
      </c>
      <c r="K247" s="22" t="n">
        <v>4.22</v>
      </c>
      <c r="L247" s="17">
        <f>$J247-$B247</f>
        <v/>
      </c>
      <c r="M247" s="17">
        <f>$I247-$L247</f>
        <v/>
      </c>
      <c r="N247" s="23">
        <f>($G247-$M247)*100</f>
        <v/>
      </c>
      <c r="O247" s="15">
        <f>($E247-$C247)*100</f>
        <v/>
      </c>
      <c r="P247" s="15">
        <f>($G247-$E247)*100</f>
        <v/>
      </c>
      <c r="Q247" s="15">
        <f>($G247-$C247)*100</f>
        <v/>
      </c>
      <c r="R247" s="15">
        <f>IF($H247="","",($H247-$F247)*100)</f>
        <v/>
      </c>
      <c r="S247" s="15">
        <f>IF($H247="","",($H247-$G247)*100)</f>
        <v/>
      </c>
    </row>
    <row r="248">
      <c r="A248" s="11" t="n">
        <v>38219</v>
      </c>
      <c r="B248" s="22" t="n">
        <v>0.03</v>
      </c>
      <c r="C248" s="22" t="n">
        <v>0.15</v>
      </c>
      <c r="D248" s="22" t="n">
        <v>0.732</v>
      </c>
      <c r="E248" s="22" t="n">
        <v>1.598</v>
      </c>
      <c r="F248" s="22" t="n">
        <v>2.192</v>
      </c>
      <c r="G248" s="22" t="n">
        <v>2.527</v>
      </c>
      <c r="H248" s="22" t="n"/>
      <c r="I248" s="22" t="n">
        <v>5.14</v>
      </c>
      <c r="J248" s="22" t="n">
        <v>1.98</v>
      </c>
      <c r="K248" s="22" t="n">
        <v>4.24</v>
      </c>
      <c r="L248" s="17">
        <f>$J248-$B248</f>
        <v/>
      </c>
      <c r="M248" s="17">
        <f>$I248-$L248</f>
        <v/>
      </c>
      <c r="N248" s="23">
        <f>($G248-$M248)*100</f>
        <v/>
      </c>
      <c r="O248" s="15">
        <f>($E248-$C248)*100</f>
        <v/>
      </c>
      <c r="P248" s="15">
        <f>($G248-$E248)*100</f>
        <v/>
      </c>
      <c r="Q248" s="15">
        <f>($G248-$C248)*100</f>
        <v/>
      </c>
      <c r="R248" s="15">
        <f>IF($H248="","",($H248-$F248)*100)</f>
        <v/>
      </c>
      <c r="S248" s="15">
        <f>IF($H248="","",($H248-$G248)*100)</f>
        <v/>
      </c>
    </row>
    <row r="249">
      <c r="A249" s="11" t="n">
        <v>38226</v>
      </c>
      <c r="B249" s="22" t="n">
        <v>0.029</v>
      </c>
      <c r="C249" s="22" t="n">
        <v>0.157</v>
      </c>
      <c r="D249" s="22" t="n">
        <v>0.739</v>
      </c>
      <c r="E249" s="22" t="n">
        <v>1.602</v>
      </c>
      <c r="F249" s="22" t="n">
        <v>2.184</v>
      </c>
      <c r="G249" s="22" t="n">
        <v>2.532</v>
      </c>
      <c r="H249" s="22" t="n"/>
      <c r="I249" s="22" t="n">
        <v>5.1</v>
      </c>
      <c r="J249" s="22" t="n">
        <v>2.03</v>
      </c>
      <c r="K249" s="22" t="n">
        <v>4.23</v>
      </c>
      <c r="L249" s="17">
        <f>$J249-$B249</f>
        <v/>
      </c>
      <c r="M249" s="17">
        <f>$I249-$L249</f>
        <v/>
      </c>
      <c r="N249" s="23">
        <f>($G249-$M249)*100</f>
        <v/>
      </c>
      <c r="O249" s="15">
        <f>($E249-$C249)*100</f>
        <v/>
      </c>
      <c r="P249" s="15">
        <f>($G249-$E249)*100</f>
        <v/>
      </c>
      <c r="Q249" s="15">
        <f>($G249-$C249)*100</f>
        <v/>
      </c>
      <c r="R249" s="15">
        <f>IF($H249="","",($H249-$F249)*100)</f>
        <v/>
      </c>
      <c r="S249" s="15">
        <f>IF($H249="","",($H249-$G249)*100)</f>
        <v/>
      </c>
    </row>
    <row r="250">
      <c r="A250" s="11" t="n">
        <v>38233</v>
      </c>
      <c r="B250" s="22" t="n">
        <v>0.027</v>
      </c>
      <c r="C250" s="22" t="n">
        <v>0.144</v>
      </c>
      <c r="D250" s="22" t="n">
        <v>0.698</v>
      </c>
      <c r="E250" s="22" t="n">
        <v>1.538</v>
      </c>
      <c r="F250" s="22" t="n">
        <v>2.12</v>
      </c>
      <c r="G250" s="22" t="n">
        <v>2.446</v>
      </c>
      <c r="H250" s="22" t="n"/>
      <c r="I250" s="22" t="n">
        <v>5.14</v>
      </c>
      <c r="J250" s="22" t="n">
        <v>2.12</v>
      </c>
      <c r="K250" s="22" t="n">
        <v>4.3</v>
      </c>
      <c r="L250" s="17">
        <f>$J250-$B250</f>
        <v/>
      </c>
      <c r="M250" s="17">
        <f>$I250-$L250</f>
        <v/>
      </c>
      <c r="N250" s="23">
        <f>($G250-$M250)*100</f>
        <v/>
      </c>
      <c r="O250" s="15">
        <f>($E250-$C250)*100</f>
        <v/>
      </c>
      <c r="P250" s="15">
        <f>($G250-$E250)*100</f>
        <v/>
      </c>
      <c r="Q250" s="15">
        <f>($G250-$C250)*100</f>
        <v/>
      </c>
      <c r="R250" s="15">
        <f>IF($H250="","",($H250-$F250)*100)</f>
        <v/>
      </c>
      <c r="S250" s="15">
        <f>IF($H250="","",($H250-$G250)*100)</f>
        <v/>
      </c>
    </row>
    <row r="251">
      <c r="A251" s="11" t="n">
        <v>38240</v>
      </c>
      <c r="B251" s="22" t="n">
        <v>0.031</v>
      </c>
      <c r="C251" s="22" t="n">
        <v>0.136</v>
      </c>
      <c r="D251" s="22" t="n">
        <v>0.679</v>
      </c>
      <c r="E251" s="22" t="n">
        <v>1.501</v>
      </c>
      <c r="F251" s="22" t="n">
        <v>2.094</v>
      </c>
      <c r="G251" s="22" t="n">
        <v>2.427</v>
      </c>
      <c r="H251" s="22" t="n"/>
      <c r="I251" s="22" t="n">
        <v>5.05</v>
      </c>
      <c r="J251" s="22" t="n">
        <v>2.08</v>
      </c>
      <c r="K251" s="22" t="n">
        <v>4.19</v>
      </c>
      <c r="L251" s="17">
        <f>$J251-$B251</f>
        <v/>
      </c>
      <c r="M251" s="17">
        <f>$I251-$L251</f>
        <v/>
      </c>
      <c r="N251" s="23">
        <f>($G251-$M251)*100</f>
        <v/>
      </c>
      <c r="O251" s="15">
        <f>($E251-$C251)*100</f>
        <v/>
      </c>
      <c r="P251" s="15">
        <f>($G251-$E251)*100</f>
        <v/>
      </c>
      <c r="Q251" s="15">
        <f>($G251-$C251)*100</f>
        <v/>
      </c>
      <c r="R251" s="15">
        <f>IF($H251="","",($H251-$F251)*100)</f>
        <v/>
      </c>
      <c r="S251" s="15">
        <f>IF($H251="","",($H251-$G251)*100)</f>
        <v/>
      </c>
    </row>
    <row r="252">
      <c r="A252" s="11" t="n">
        <v>38247</v>
      </c>
      <c r="B252" s="22" t="n">
        <v>0.03</v>
      </c>
      <c r="C252" s="22" t="n">
        <v>0.134</v>
      </c>
      <c r="D252" s="22" t="n">
        <v>0.662</v>
      </c>
      <c r="E252" s="22" t="n">
        <v>1.495</v>
      </c>
      <c r="F252" s="22" t="n">
        <v>2.095</v>
      </c>
      <c r="G252" s="22" t="n">
        <v>2.432</v>
      </c>
      <c r="H252" s="22" t="n"/>
      <c r="I252" s="22" t="n">
        <v>4.99</v>
      </c>
      <c r="J252" s="22" t="n">
        <v>2.11</v>
      </c>
      <c r="K252" s="22" t="n">
        <v>4.14</v>
      </c>
      <c r="L252" s="17">
        <f>$J252-$B252</f>
        <v/>
      </c>
      <c r="M252" s="17">
        <f>$I252-$L252</f>
        <v/>
      </c>
      <c r="N252" s="23">
        <f>($G252-$M252)*100</f>
        <v/>
      </c>
      <c r="O252" s="15">
        <f>($E252-$C252)*100</f>
        <v/>
      </c>
      <c r="P252" s="15">
        <f>($G252-$E252)*100</f>
        <v/>
      </c>
      <c r="Q252" s="15">
        <f>($G252-$C252)*100</f>
        <v/>
      </c>
      <c r="R252" s="15">
        <f>IF($H252="","",($H252-$F252)*100)</f>
        <v/>
      </c>
      <c r="S252" s="15">
        <f>IF($H252="","",($H252-$G252)*100)</f>
        <v/>
      </c>
    </row>
    <row r="253">
      <c r="A253" s="11" t="n">
        <v>38254</v>
      </c>
      <c r="B253" s="22" t="n">
        <v>0.03</v>
      </c>
      <c r="C253" s="22" t="n">
        <v>0.135</v>
      </c>
      <c r="D253" s="22" t="n">
        <v>0.616</v>
      </c>
      <c r="E253" s="22" t="n">
        <v>1.426</v>
      </c>
      <c r="F253" s="22" t="n">
        <v>2.026</v>
      </c>
      <c r="G253" s="22" t="n">
        <v>2.357</v>
      </c>
      <c r="H253" s="22" t="n"/>
      <c r="I253" s="22" t="n">
        <v>4.87</v>
      </c>
      <c r="J253" s="22" t="n">
        <v>2.2</v>
      </c>
      <c r="K253" s="22" t="n">
        <v>4.04</v>
      </c>
      <c r="L253" s="17">
        <f>$J253-$B253</f>
        <v/>
      </c>
      <c r="M253" s="17">
        <f>$I253-$L253</f>
        <v/>
      </c>
      <c r="N253" s="23">
        <f>($G253-$M253)*100</f>
        <v/>
      </c>
      <c r="O253" s="15">
        <f>($E253-$C253)*100</f>
        <v/>
      </c>
      <c r="P253" s="15">
        <f>($G253-$E253)*100</f>
        <v/>
      </c>
      <c r="Q253" s="15">
        <f>($G253-$C253)*100</f>
        <v/>
      </c>
      <c r="R253" s="15">
        <f>IF($H253="","",($H253-$F253)*100)</f>
        <v/>
      </c>
      <c r="S253" s="15">
        <f>IF($H253="","",($H253-$G253)*100)</f>
        <v/>
      </c>
    </row>
    <row r="254">
      <c r="A254" s="11" t="n">
        <v>38261</v>
      </c>
      <c r="B254" s="22" t="n">
        <v>0.037</v>
      </c>
      <c r="C254" s="22" t="n">
        <v>0.127</v>
      </c>
      <c r="D254" s="22" t="n">
        <v>0.643</v>
      </c>
      <c r="E254" s="22" t="n">
        <v>1.48</v>
      </c>
      <c r="F254" s="22" t="n">
        <v>2.086</v>
      </c>
      <c r="G254" s="22" t="n">
        <v>2.432</v>
      </c>
      <c r="H254" s="22" t="n"/>
      <c r="I254" s="22" t="n">
        <v>5.06</v>
      </c>
      <c r="J254" s="22" t="n">
        <v>2.21</v>
      </c>
      <c r="K254" s="22" t="n">
        <v>4.21</v>
      </c>
      <c r="L254" s="17">
        <f>$J254-$B254</f>
        <v/>
      </c>
      <c r="M254" s="17">
        <f>$I254-$L254</f>
        <v/>
      </c>
      <c r="N254" s="23">
        <f>($G254-$M254)*100</f>
        <v/>
      </c>
      <c r="O254" s="15">
        <f>($E254-$C254)*100</f>
        <v/>
      </c>
      <c r="P254" s="15">
        <f>($G254-$E254)*100</f>
        <v/>
      </c>
      <c r="Q254" s="15">
        <f>($G254-$C254)*100</f>
        <v/>
      </c>
      <c r="R254" s="15">
        <f>IF($H254="","",($H254-$F254)*100)</f>
        <v/>
      </c>
      <c r="S254" s="15">
        <f>IF($H254="","",($H254-$G254)*100)</f>
        <v/>
      </c>
    </row>
    <row r="255">
      <c r="A255" s="11" t="n">
        <v>38268</v>
      </c>
      <c r="B255" s="22" t="n">
        <v>0.032</v>
      </c>
      <c r="C255" s="22" t="n">
        <v>0.127</v>
      </c>
      <c r="D255" s="22" t="n">
        <v>0.681</v>
      </c>
      <c r="E255" s="22" t="n">
        <v>1.563</v>
      </c>
      <c r="F255" s="22" t="n">
        <v>2.169</v>
      </c>
      <c r="G255" s="22" t="n">
        <v>2.543</v>
      </c>
      <c r="H255" s="22" t="n"/>
      <c r="I255" s="22" t="n">
        <v>4.98</v>
      </c>
      <c r="J255" s="22" t="n">
        <v>2.21</v>
      </c>
      <c r="K255" s="22" t="n">
        <v>4.15</v>
      </c>
      <c r="L255" s="17">
        <f>$J255-$B255</f>
        <v/>
      </c>
      <c r="M255" s="17">
        <f>$I255-$L255</f>
        <v/>
      </c>
      <c r="N255" s="23">
        <f>($G255-$M255)*100</f>
        <v/>
      </c>
      <c r="O255" s="15">
        <f>($E255-$C255)*100</f>
        <v/>
      </c>
      <c r="P255" s="15">
        <f>($G255-$E255)*100</f>
        <v/>
      </c>
      <c r="Q255" s="15">
        <f>($G255-$C255)*100</f>
        <v/>
      </c>
      <c r="R255" s="15">
        <f>IF($H255="","",($H255-$F255)*100)</f>
        <v/>
      </c>
      <c r="S255" s="15">
        <f>IF($H255="","",($H255-$G255)*100)</f>
        <v/>
      </c>
    </row>
    <row r="256">
      <c r="A256" s="11" t="n">
        <v>38275</v>
      </c>
      <c r="B256" s="22" t="n">
        <v>0.03</v>
      </c>
      <c r="C256" s="22" t="n">
        <v>0.123</v>
      </c>
      <c r="D256" s="22" t="n">
        <v>0.622</v>
      </c>
      <c r="E256" s="22" t="n">
        <v>1.452</v>
      </c>
      <c r="F256" s="22" t="n">
        <v>2.067</v>
      </c>
      <c r="G256" s="22" t="n">
        <v>2.44</v>
      </c>
      <c r="H256" s="22" t="n"/>
      <c r="I256" s="22" t="n">
        <v>4.92</v>
      </c>
      <c r="J256" s="22" t="n">
        <v>2.18</v>
      </c>
      <c r="K256" s="22" t="n">
        <v>4.07</v>
      </c>
      <c r="L256" s="17">
        <f>$J256-$B256</f>
        <v/>
      </c>
      <c r="M256" s="17">
        <f>$I256-$L256</f>
        <v/>
      </c>
      <c r="N256" s="23">
        <f>($G256-$M256)*100</f>
        <v/>
      </c>
      <c r="O256" s="15">
        <f>($E256-$C256)*100</f>
        <v/>
      </c>
      <c r="P256" s="15">
        <f>($G256-$E256)*100</f>
        <v/>
      </c>
      <c r="Q256" s="15">
        <f>($G256-$C256)*100</f>
        <v/>
      </c>
      <c r="R256" s="15">
        <f>IF($H256="","",($H256-$F256)*100)</f>
        <v/>
      </c>
      <c r="S256" s="15">
        <f>IF($H256="","",($H256-$G256)*100)</f>
        <v/>
      </c>
    </row>
    <row r="257">
      <c r="A257" s="11" t="n">
        <v>38282</v>
      </c>
      <c r="B257" s="22" t="n">
        <v>0.029</v>
      </c>
      <c r="C257" s="22" t="n">
        <v>0.126</v>
      </c>
      <c r="D257" s="22" t="n">
        <v>0.645</v>
      </c>
      <c r="E257" s="22" t="n">
        <v>1.494</v>
      </c>
      <c r="F257" s="22" t="n">
        <v>2.112</v>
      </c>
      <c r="G257" s="22" t="n">
        <v>2.485</v>
      </c>
      <c r="H257" s="22" t="n"/>
      <c r="I257" s="22" t="n">
        <v>4.87</v>
      </c>
      <c r="J257" s="22" t="n">
        <v>2.23</v>
      </c>
      <c r="K257" s="22" t="n">
        <v>4</v>
      </c>
      <c r="L257" s="17">
        <f>$J257-$B257</f>
        <v/>
      </c>
      <c r="M257" s="17">
        <f>$I257-$L257</f>
        <v/>
      </c>
      <c r="N257" s="23">
        <f>($G257-$M257)*100</f>
        <v/>
      </c>
      <c r="O257" s="15">
        <f>($E257-$C257)*100</f>
        <v/>
      </c>
      <c r="P257" s="15">
        <f>($G257-$E257)*100</f>
        <v/>
      </c>
      <c r="Q257" s="15">
        <f>($G257-$C257)*100</f>
        <v/>
      </c>
      <c r="R257" s="15">
        <f>IF($H257="","",($H257-$F257)*100)</f>
        <v/>
      </c>
      <c r="S257" s="15">
        <f>IF($H257="","",($H257-$G257)*100)</f>
        <v/>
      </c>
    </row>
    <row r="258">
      <c r="A258" s="11" t="n">
        <v>38289</v>
      </c>
      <c r="B258" s="22" t="n">
        <v>0.017</v>
      </c>
      <c r="C258" s="22" t="n">
        <v>0.118</v>
      </c>
      <c r="D258" s="22" t="n">
        <v>0.638</v>
      </c>
      <c r="E258" s="22" t="n">
        <v>1.499</v>
      </c>
      <c r="F258" s="22" t="n">
        <v>2.116</v>
      </c>
      <c r="G258" s="22" t="n">
        <v>2.495</v>
      </c>
      <c r="H258" s="22" t="n"/>
      <c r="I258" s="22" t="n">
        <v>4.87</v>
      </c>
      <c r="J258" s="22" t="n">
        <v>2.28</v>
      </c>
      <c r="K258" s="22" t="n">
        <v>4.05</v>
      </c>
      <c r="L258" s="17">
        <f>$J258-$B258</f>
        <v/>
      </c>
      <c r="M258" s="17">
        <f>$I258-$L258</f>
        <v/>
      </c>
      <c r="N258" s="23">
        <f>($G258-$M258)*100</f>
        <v/>
      </c>
      <c r="O258" s="15">
        <f>($E258-$C258)*100</f>
        <v/>
      </c>
      <c r="P258" s="15">
        <f>($G258-$E258)*100</f>
        <v/>
      </c>
      <c r="Q258" s="15">
        <f>($G258-$C258)*100</f>
        <v/>
      </c>
      <c r="R258" s="15">
        <f>IF($H258="","",($H258-$F258)*100)</f>
        <v/>
      </c>
      <c r="S258" s="15">
        <f>IF($H258="","",($H258-$G258)*100)</f>
        <v/>
      </c>
    </row>
    <row r="259">
      <c r="A259" s="11" t="n">
        <v>38296</v>
      </c>
      <c r="B259" s="22" t="n">
        <v>0.015</v>
      </c>
      <c r="C259" s="22" t="n">
        <v>0.12</v>
      </c>
      <c r="D259" s="22" t="n">
        <v>0.668</v>
      </c>
      <c r="E259" s="22" t="n">
        <v>1.517</v>
      </c>
      <c r="F259" s="22" t="n">
        <v>2.123</v>
      </c>
      <c r="G259" s="22" t="n">
        <v>2.495</v>
      </c>
      <c r="H259" s="22" t="n"/>
      <c r="I259" s="22" t="n">
        <v>4.99</v>
      </c>
      <c r="J259" s="22" t="n">
        <v>2.44</v>
      </c>
      <c r="K259" s="22" t="n">
        <v>4.21</v>
      </c>
      <c r="L259" s="17">
        <f>$J259-$B259</f>
        <v/>
      </c>
      <c r="M259" s="17">
        <f>$I259-$L259</f>
        <v/>
      </c>
      <c r="N259" s="23">
        <f>($G259-$M259)*100</f>
        <v/>
      </c>
      <c r="O259" s="15">
        <f>($E259-$C259)*100</f>
        <v/>
      </c>
      <c r="P259" s="15">
        <f>($G259-$E259)*100</f>
        <v/>
      </c>
      <c r="Q259" s="15">
        <f>($G259-$C259)*100</f>
        <v/>
      </c>
      <c r="R259" s="15">
        <f>IF($H259="","",($H259-$F259)*100)</f>
        <v/>
      </c>
      <c r="S259" s="15">
        <f>IF($H259="","",($H259-$G259)*100)</f>
        <v/>
      </c>
    </row>
    <row r="260">
      <c r="A260" s="11" t="n">
        <v>38303</v>
      </c>
      <c r="B260" s="22" t="n">
        <v>0.012</v>
      </c>
      <c r="C260" s="22" t="n">
        <v>0.107</v>
      </c>
      <c r="D260" s="22" t="n">
        <v>0.645</v>
      </c>
      <c r="E260" s="22" t="n">
        <v>1.485</v>
      </c>
      <c r="F260" s="22" t="n">
        <v>2.115</v>
      </c>
      <c r="G260" s="22" t="n">
        <v>2.468</v>
      </c>
      <c r="H260" s="22" t="n"/>
      <c r="I260" s="22" t="n">
        <v>4.96</v>
      </c>
      <c r="J260" s="22" t="n">
        <v>2.49</v>
      </c>
      <c r="K260" s="22" t="n">
        <v>4.2</v>
      </c>
      <c r="L260" s="17">
        <f>$J260-$B260</f>
        <v/>
      </c>
      <c r="M260" s="17">
        <f>$I260-$L260</f>
        <v/>
      </c>
      <c r="N260" s="23">
        <f>($G260-$M260)*100</f>
        <v/>
      </c>
      <c r="O260" s="15">
        <f>($E260-$C260)*100</f>
        <v/>
      </c>
      <c r="P260" s="15">
        <f>($G260-$E260)*100</f>
        <v/>
      </c>
      <c r="Q260" s="15">
        <f>($G260-$C260)*100</f>
        <v/>
      </c>
      <c r="R260" s="15">
        <f>IF($H260="","",($H260-$F260)*100)</f>
        <v/>
      </c>
      <c r="S260" s="15">
        <f>IF($H260="","",($H260-$G260)*100)</f>
        <v/>
      </c>
    </row>
    <row r="261">
      <c r="A261" s="11" t="n">
        <v>38310</v>
      </c>
      <c r="B261" s="22" t="n">
        <v>0.01</v>
      </c>
      <c r="C261" s="22" t="n">
        <v>0.105</v>
      </c>
      <c r="D261" s="22" t="n">
        <v>0.604</v>
      </c>
      <c r="E261" s="22" t="n">
        <v>1.447</v>
      </c>
      <c r="F261" s="22" t="n">
        <v>2.068</v>
      </c>
      <c r="G261" s="22" t="n">
        <v>2.415</v>
      </c>
      <c r="H261" s="22" t="n"/>
      <c r="I261" s="22" t="n">
        <v>4.93</v>
      </c>
      <c r="J261" s="22" t="n">
        <v>2.56</v>
      </c>
      <c r="K261" s="22" t="n">
        <v>4.2</v>
      </c>
      <c r="L261" s="17">
        <f>$J261-$B261</f>
        <v/>
      </c>
      <c r="M261" s="17">
        <f>$I261-$L261</f>
        <v/>
      </c>
      <c r="N261" s="23">
        <f>($G261-$M261)*100</f>
        <v/>
      </c>
      <c r="O261" s="15">
        <f>($E261-$C261)*100</f>
        <v/>
      </c>
      <c r="P261" s="15">
        <f>($G261-$E261)*100</f>
        <v/>
      </c>
      <c r="Q261" s="15">
        <f>($G261-$C261)*100</f>
        <v/>
      </c>
      <c r="R261" s="15">
        <f>IF($H261="","",($H261-$F261)*100)</f>
        <v/>
      </c>
      <c r="S261" s="15">
        <f>IF($H261="","",($H261-$G261)*100)</f>
        <v/>
      </c>
    </row>
    <row r="262">
      <c r="A262" s="11" t="n">
        <v>38317</v>
      </c>
      <c r="B262" s="22" t="n">
        <v>0.008</v>
      </c>
      <c r="C262" s="22" t="n">
        <v>0.101</v>
      </c>
      <c r="D262" s="22" t="n">
        <v>0.611</v>
      </c>
      <c r="E262" s="22" t="n">
        <v>1.449</v>
      </c>
      <c r="F262" s="22" t="n">
        <v>2.088</v>
      </c>
      <c r="G262" s="22" t="n">
        <v>2.449</v>
      </c>
      <c r="H262" s="22" t="n"/>
      <c r="I262" s="22" t="n">
        <v>4.94</v>
      </c>
      <c r="J262" s="22" t="n">
        <v>2.61</v>
      </c>
      <c r="K262" s="22" t="n">
        <v>4.24</v>
      </c>
      <c r="L262" s="17">
        <f>$J262-$B262</f>
        <v/>
      </c>
      <c r="M262" s="17">
        <f>$I262-$L262</f>
        <v/>
      </c>
      <c r="N262" s="23">
        <f>($G262-$M262)*100</f>
        <v/>
      </c>
      <c r="O262" s="15">
        <f>($E262-$C262)*100</f>
        <v/>
      </c>
      <c r="P262" s="15">
        <f>($G262-$E262)*100</f>
        <v/>
      </c>
      <c r="Q262" s="15">
        <f>($G262-$C262)*100</f>
        <v/>
      </c>
      <c r="R262" s="15">
        <f>IF($H262="","",($H262-$F262)*100)</f>
        <v/>
      </c>
      <c r="S262" s="15">
        <f>IF($H262="","",($H262-$G262)*100)</f>
        <v/>
      </c>
    </row>
    <row r="263">
      <c r="A263" s="11" t="n">
        <v>38324</v>
      </c>
      <c r="B263" s="22" t="n">
        <v>0.008999999999999999</v>
      </c>
      <c r="C263" s="22" t="n">
        <v>0.104</v>
      </c>
      <c r="D263" s="22" t="n">
        <v>0.593</v>
      </c>
      <c r="E263" s="22" t="n">
        <v>1.42</v>
      </c>
      <c r="F263" s="22" t="n">
        <v>2.049</v>
      </c>
      <c r="G263" s="22" t="n">
        <v>2.405</v>
      </c>
      <c r="H263" s="22" t="n"/>
      <c r="I263" s="22" t="n">
        <v>4.99</v>
      </c>
      <c r="J263" s="22" t="n">
        <v>2.58</v>
      </c>
      <c r="K263" s="22" t="n">
        <v>4.27</v>
      </c>
      <c r="L263" s="17">
        <f>$J263-$B263</f>
        <v/>
      </c>
      <c r="M263" s="17">
        <f>$I263-$L263</f>
        <v/>
      </c>
      <c r="N263" s="23">
        <f>($G263-$M263)*100</f>
        <v/>
      </c>
      <c r="O263" s="15">
        <f>($E263-$C263)*100</f>
        <v/>
      </c>
      <c r="P263" s="15">
        <f>($G263-$E263)*100</f>
        <v/>
      </c>
      <c r="Q263" s="15">
        <f>($G263-$C263)*100</f>
        <v/>
      </c>
      <c r="R263" s="15">
        <f>IF($H263="","",($H263-$F263)*100)</f>
        <v/>
      </c>
      <c r="S263" s="15">
        <f>IF($H263="","",($H263-$G263)*100)</f>
        <v/>
      </c>
    </row>
    <row r="264">
      <c r="A264" s="11" t="n">
        <v>38331</v>
      </c>
      <c r="B264" s="22" t="n">
        <v>0.013</v>
      </c>
      <c r="C264" s="22" t="n">
        <v>0.091</v>
      </c>
      <c r="D264" s="22" t="n">
        <v>0.5570000000000001</v>
      </c>
      <c r="E264" s="22" t="n">
        <v>1.376</v>
      </c>
      <c r="F264" s="22" t="n">
        <v>2.036</v>
      </c>
      <c r="G264" s="22" t="n">
        <v>2.383</v>
      </c>
      <c r="H264" s="22" t="n"/>
      <c r="I264" s="22" t="n">
        <v>4.87</v>
      </c>
      <c r="J264" s="22" t="n">
        <v>2.61</v>
      </c>
      <c r="K264" s="22" t="n">
        <v>4.16</v>
      </c>
      <c r="L264" s="17">
        <f>$J264-$B264</f>
        <v/>
      </c>
      <c r="M264" s="17">
        <f>$I264-$L264</f>
        <v/>
      </c>
      <c r="N264" s="23">
        <f>($G264-$M264)*100</f>
        <v/>
      </c>
      <c r="O264" s="15">
        <f>($E264-$C264)*100</f>
        <v/>
      </c>
      <c r="P264" s="15">
        <f>($G264-$E264)*100</f>
        <v/>
      </c>
      <c r="Q264" s="15">
        <f>($G264-$C264)*100</f>
        <v/>
      </c>
      <c r="R264" s="15">
        <f>IF($H264="","",($H264-$F264)*100)</f>
        <v/>
      </c>
      <c r="S264" s="15">
        <f>IF($H264="","",($H264-$G264)*100)</f>
        <v/>
      </c>
    </row>
    <row r="265">
      <c r="A265" s="11" t="n">
        <v>38338</v>
      </c>
      <c r="B265" s="22" t="n">
        <v>0.011</v>
      </c>
      <c r="C265" s="22" t="n">
        <v>0.08400000000000001</v>
      </c>
      <c r="D265" s="22" t="n">
        <v>0.588</v>
      </c>
      <c r="E265" s="22" t="n">
        <v>1.385</v>
      </c>
      <c r="F265" s="22" t="n">
        <v>2.016</v>
      </c>
      <c r="G265" s="22" t="n">
        <v>2.368</v>
      </c>
      <c r="H265" s="22" t="n"/>
      <c r="I265" s="22" t="n">
        <v>4.89</v>
      </c>
      <c r="J265" s="22" t="n">
        <v>2.67</v>
      </c>
      <c r="K265" s="22" t="n">
        <v>4.21</v>
      </c>
      <c r="L265" s="17">
        <f>$J265-$B265</f>
        <v/>
      </c>
      <c r="M265" s="17">
        <f>$I265-$L265</f>
        <v/>
      </c>
      <c r="N265" s="23">
        <f>($G265-$M265)*100</f>
        <v/>
      </c>
      <c r="O265" s="15">
        <f>($E265-$C265)*100</f>
        <v/>
      </c>
      <c r="P265" s="15">
        <f>($G265-$E265)*100</f>
        <v/>
      </c>
      <c r="Q265" s="15">
        <f>($G265-$C265)*100</f>
        <v/>
      </c>
      <c r="R265" s="15">
        <f>IF($H265="","",($H265-$F265)*100)</f>
        <v/>
      </c>
      <c r="S265" s="15">
        <f>IF($H265="","",($H265-$G265)*100)</f>
        <v/>
      </c>
    </row>
    <row r="266">
      <c r="A266" s="11" t="n">
        <v>38345</v>
      </c>
      <c r="B266" s="22" t="n">
        <v>0.008999999999999999</v>
      </c>
      <c r="C266" s="22" t="n">
        <v>0.091</v>
      </c>
      <c r="D266" s="22" t="n">
        <v>0.5570000000000001</v>
      </c>
      <c r="E266" s="22" t="n">
        <v>1.359</v>
      </c>
      <c r="F266" s="22" t="n">
        <v>1.989</v>
      </c>
      <c r="G266" s="22" t="n">
        <v>2.351</v>
      </c>
      <c r="H266" s="22" t="n"/>
      <c r="I266" s="22" t="n">
        <v>4.9</v>
      </c>
      <c r="J266" s="22" t="n">
        <v>2.7</v>
      </c>
      <c r="K266" s="22" t="n">
        <v>4.23</v>
      </c>
      <c r="L266" s="17">
        <f>$J266-$B266</f>
        <v/>
      </c>
      <c r="M266" s="17">
        <f>$I266-$L266</f>
        <v/>
      </c>
      <c r="N266" s="23">
        <f>($G266-$M266)*100</f>
        <v/>
      </c>
      <c r="O266" s="15">
        <f>($E266-$C266)*100</f>
        <v/>
      </c>
      <c r="P266" s="15">
        <f>($G266-$E266)*100</f>
        <v/>
      </c>
      <c r="Q266" s="15">
        <f>($G266-$C266)*100</f>
        <v/>
      </c>
      <c r="R266" s="15">
        <f>IF($H266="","",($H266-$F266)*100)</f>
        <v/>
      </c>
      <c r="S266" s="15">
        <f>IF($H266="","",($H266-$G266)*100)</f>
        <v/>
      </c>
    </row>
    <row r="267">
      <c r="A267" s="11" t="n">
        <v>38352</v>
      </c>
      <c r="B267" s="22" t="n">
        <v>0.007</v>
      </c>
      <c r="C267" s="22" t="n">
        <v>0.103</v>
      </c>
      <c r="D267" s="22" t="n">
        <v>0.604</v>
      </c>
      <c r="E267" s="22" t="n">
        <v>1.437</v>
      </c>
      <c r="F267" s="22" t="n">
        <v>2.055</v>
      </c>
      <c r="G267" s="22" t="n">
        <v>2.421</v>
      </c>
      <c r="H267" s="22" t="n"/>
      <c r="I267" s="22" t="n">
        <v>4.86</v>
      </c>
      <c r="J267" s="22" t="n">
        <v>2.75</v>
      </c>
      <c r="K267" s="22" t="n">
        <v>4.24</v>
      </c>
      <c r="L267" s="17">
        <f>$J267-$B267</f>
        <v/>
      </c>
      <c r="M267" s="17">
        <f>$I267-$L267</f>
        <v/>
      </c>
      <c r="N267" s="23">
        <f>($G267-$M267)*100</f>
        <v/>
      </c>
      <c r="O267" s="15">
        <f>($E267-$C267)*100</f>
        <v/>
      </c>
      <c r="P267" s="15">
        <f>($G267-$E267)*100</f>
        <v/>
      </c>
      <c r="Q267" s="15">
        <f>($G267-$C267)*100</f>
        <v/>
      </c>
      <c r="R267" s="15">
        <f>IF($H267="","",($H267-$F267)*100)</f>
        <v/>
      </c>
      <c r="S267" s="15">
        <f>IF($H267="","",($H267-$G267)*100)</f>
        <v/>
      </c>
    </row>
    <row r="268">
      <c r="A268" s="11" t="n">
        <v>38359</v>
      </c>
      <c r="B268" s="22" t="n">
        <v>0.008999999999999999</v>
      </c>
      <c r="C268" s="22" t="n">
        <v>0.095</v>
      </c>
      <c r="D268" s="22" t="n">
        <v>0.583</v>
      </c>
      <c r="E268" s="22" t="n">
        <v>1.404</v>
      </c>
      <c r="F268" s="22" t="n">
        <v>2.039</v>
      </c>
      <c r="G268" s="22" t="n">
        <v>2.395</v>
      </c>
      <c r="H268" s="22" t="n"/>
      <c r="I268" s="22" t="n">
        <v>4.88</v>
      </c>
      <c r="J268" s="22" t="n">
        <v>2.82</v>
      </c>
      <c r="K268" s="22" t="n">
        <v>4.29</v>
      </c>
      <c r="L268" s="17">
        <f>$J268-$B268</f>
        <v/>
      </c>
      <c r="M268" s="17">
        <f>$I268-$L268</f>
        <v/>
      </c>
      <c r="N268" s="23">
        <f>($G268-$M268)*100</f>
        <v/>
      </c>
      <c r="O268" s="15">
        <f>($E268-$C268)*100</f>
        <v/>
      </c>
      <c r="P268" s="15">
        <f>($G268-$E268)*100</f>
        <v/>
      </c>
      <c r="Q268" s="15">
        <f>($G268-$C268)*100</f>
        <v/>
      </c>
      <c r="R268" s="15">
        <f>IF($H268="","",($H268-$F268)*100)</f>
        <v/>
      </c>
      <c r="S268" s="15">
        <f>IF($H268="","",($H268-$G268)*100)</f>
        <v/>
      </c>
    </row>
    <row r="269">
      <c r="A269" s="11" t="n">
        <v>38366</v>
      </c>
      <c r="B269" s="22" t="n">
        <v>0.012</v>
      </c>
      <c r="C269" s="22" t="n">
        <v>0.089</v>
      </c>
      <c r="D269" s="22" t="n">
        <v>0.574</v>
      </c>
      <c r="E269" s="22" t="n">
        <v>1.383</v>
      </c>
      <c r="F269" s="22" t="n">
        <v>2.027</v>
      </c>
      <c r="G269" s="22" t="n">
        <v>2.392</v>
      </c>
      <c r="H269" s="22" t="n"/>
      <c r="I269" s="22" t="n">
        <v>4.78</v>
      </c>
      <c r="J269" s="22" t="n">
        <v>2.87</v>
      </c>
      <c r="K269" s="22" t="n">
        <v>4.23</v>
      </c>
      <c r="L269" s="17">
        <f>$J269-$B269</f>
        <v/>
      </c>
      <c r="M269" s="17">
        <f>$I269-$L269</f>
        <v/>
      </c>
      <c r="N269" s="23">
        <f>($G269-$M269)*100</f>
        <v/>
      </c>
      <c r="O269" s="15">
        <f>($E269-$C269)*100</f>
        <v/>
      </c>
      <c r="P269" s="15">
        <f>($G269-$E269)*100</f>
        <v/>
      </c>
      <c r="Q269" s="15">
        <f>($G269-$C269)*100</f>
        <v/>
      </c>
      <c r="R269" s="15">
        <f>IF($H269="","",($H269-$F269)*100)</f>
        <v/>
      </c>
      <c r="S269" s="15">
        <f>IF($H269="","",($H269-$G269)*100)</f>
        <v/>
      </c>
    </row>
    <row r="270">
      <c r="A270" s="11" t="n">
        <v>38373</v>
      </c>
      <c r="B270" s="22" t="n">
        <v>0.01</v>
      </c>
      <c r="C270" s="22" t="n">
        <v>0.095</v>
      </c>
      <c r="D270" s="22" t="n">
        <v>0.544</v>
      </c>
      <c r="E270" s="22" t="n">
        <v>1.351</v>
      </c>
      <c r="F270" s="22" t="n">
        <v>2.004</v>
      </c>
      <c r="G270" s="22" t="n">
        <v>2.374</v>
      </c>
      <c r="H270" s="22" t="n"/>
      <c r="I270" s="22" t="n">
        <v>4.7</v>
      </c>
      <c r="J270" s="22" t="n">
        <v>2.83</v>
      </c>
      <c r="K270" s="22" t="n">
        <v>4.16</v>
      </c>
      <c r="L270" s="17">
        <f>$J270-$B270</f>
        <v/>
      </c>
      <c r="M270" s="17">
        <f>$I270-$L270</f>
        <v/>
      </c>
      <c r="N270" s="23">
        <f>($G270-$M270)*100</f>
        <v/>
      </c>
      <c r="O270" s="15">
        <f>($E270-$C270)*100</f>
        <v/>
      </c>
      <c r="P270" s="15">
        <f>($G270-$E270)*100</f>
        <v/>
      </c>
      <c r="Q270" s="15">
        <f>($G270-$C270)*100</f>
        <v/>
      </c>
      <c r="R270" s="15">
        <f>IF($H270="","",($H270-$F270)*100)</f>
        <v/>
      </c>
      <c r="S270" s="15">
        <f>IF($H270="","",($H270-$G270)*100)</f>
        <v/>
      </c>
    </row>
    <row r="271">
      <c r="A271" s="11" t="n">
        <v>38380</v>
      </c>
      <c r="B271" s="22" t="n">
        <v>0.007</v>
      </c>
      <c r="C271" s="22" t="n">
        <v>0.08599999999999999</v>
      </c>
      <c r="D271" s="22" t="n">
        <v>0.528</v>
      </c>
      <c r="E271" s="22" t="n">
        <v>1.32</v>
      </c>
      <c r="F271" s="22" t="n">
        <v>1.975</v>
      </c>
      <c r="G271" s="22" t="n">
        <v>2.353</v>
      </c>
      <c r="H271" s="22" t="n"/>
      <c r="I271" s="22" t="n">
        <v>4.64</v>
      </c>
      <c r="J271" s="22" t="n">
        <v>2.89</v>
      </c>
      <c r="K271" s="22" t="n">
        <v>4.16</v>
      </c>
      <c r="L271" s="17">
        <f>$J271-$B271</f>
        <v/>
      </c>
      <c r="M271" s="17">
        <f>$I271-$L271</f>
        <v/>
      </c>
      <c r="N271" s="23">
        <f>($G271-$M271)*100</f>
        <v/>
      </c>
      <c r="O271" s="15">
        <f>($E271-$C271)*100</f>
        <v/>
      </c>
      <c r="P271" s="15">
        <f>($G271-$E271)*100</f>
        <v/>
      </c>
      <c r="Q271" s="15">
        <f>($G271-$C271)*100</f>
        <v/>
      </c>
      <c r="R271" s="15">
        <f>IF($H271="","",($H271-$F271)*100)</f>
        <v/>
      </c>
      <c r="S271" s="15">
        <f>IF($H271="","",($H271-$G271)*100)</f>
        <v/>
      </c>
    </row>
    <row r="272">
      <c r="A272" s="11" t="n">
        <v>38387</v>
      </c>
      <c r="B272" s="22" t="n">
        <v>0.008999999999999999</v>
      </c>
      <c r="C272" s="22" t="n">
        <v>0.08699999999999999</v>
      </c>
      <c r="D272" s="22" t="n">
        <v>0.549</v>
      </c>
      <c r="E272" s="22" t="n">
        <v>1.321</v>
      </c>
      <c r="F272" s="22" t="n">
        <v>1.925</v>
      </c>
      <c r="G272" s="22" t="n">
        <v>2.28</v>
      </c>
      <c r="H272" s="22" t="n"/>
      <c r="I272" s="22" t="n">
        <v>4.48</v>
      </c>
      <c r="J272" s="22" t="n">
        <v>2.93</v>
      </c>
      <c r="K272" s="22" t="n">
        <v>4.09</v>
      </c>
      <c r="L272" s="17">
        <f>$J272-$B272</f>
        <v/>
      </c>
      <c r="M272" s="17">
        <f>$I272-$L272</f>
        <v/>
      </c>
      <c r="N272" s="23">
        <f>($G272-$M272)*100</f>
        <v/>
      </c>
      <c r="O272" s="15">
        <f>($E272-$C272)*100</f>
        <v/>
      </c>
      <c r="P272" s="15">
        <f>($G272-$E272)*100</f>
        <v/>
      </c>
      <c r="Q272" s="15">
        <f>($G272-$C272)*100</f>
        <v/>
      </c>
      <c r="R272" s="15">
        <f>IF($H272="","",($H272-$F272)*100)</f>
        <v/>
      </c>
      <c r="S272" s="15">
        <f>IF($H272="","",($H272-$G272)*100)</f>
        <v/>
      </c>
    </row>
    <row r="273">
      <c r="A273" s="11" t="n">
        <v>38394</v>
      </c>
      <c r="B273" s="22" t="n">
        <v>0.013</v>
      </c>
      <c r="C273" s="22" t="n">
        <v>0.112</v>
      </c>
      <c r="D273" s="22" t="n">
        <v>0.615</v>
      </c>
      <c r="E273" s="22" t="n">
        <v>1.403</v>
      </c>
      <c r="F273" s="22" t="n">
        <v>2.01</v>
      </c>
      <c r="G273" s="22" t="n">
        <v>2.354</v>
      </c>
      <c r="H273" s="22" t="n"/>
      <c r="I273" s="22" t="n">
        <v>4.52</v>
      </c>
      <c r="J273" s="22" t="n">
        <v>3</v>
      </c>
      <c r="K273" s="22" t="n">
        <v>4.1</v>
      </c>
      <c r="L273" s="17">
        <f>$J273-$B273</f>
        <v/>
      </c>
      <c r="M273" s="17">
        <f>$I273-$L273</f>
        <v/>
      </c>
      <c r="N273" s="23">
        <f>($G273-$M273)*100</f>
        <v/>
      </c>
      <c r="O273" s="15">
        <f>($E273-$C273)*100</f>
        <v/>
      </c>
      <c r="P273" s="15">
        <f>($G273-$E273)*100</f>
        <v/>
      </c>
      <c r="Q273" s="15">
        <f>($G273-$C273)*100</f>
        <v/>
      </c>
      <c r="R273" s="15">
        <f>IF($H273="","",($H273-$F273)*100)</f>
        <v/>
      </c>
      <c r="S273" s="15">
        <f>IF($H273="","",($H273-$G273)*100)</f>
        <v/>
      </c>
    </row>
    <row r="274">
      <c r="A274" s="11" t="n">
        <v>38401</v>
      </c>
      <c r="B274" s="22" t="n">
        <v>0.01</v>
      </c>
      <c r="C274" s="22" t="n">
        <v>0.109</v>
      </c>
      <c r="D274" s="22" t="n">
        <v>0.61</v>
      </c>
      <c r="E274" s="22" t="n">
        <v>1.421</v>
      </c>
      <c r="F274" s="22" t="n">
        <v>2.06</v>
      </c>
      <c r="G274" s="22" t="n">
        <v>2.421</v>
      </c>
      <c r="H274" s="22" t="n"/>
      <c r="I274" s="22" t="n">
        <v>4.65</v>
      </c>
      <c r="J274" s="22" t="n">
        <v>3.09</v>
      </c>
      <c r="K274" s="22" t="n">
        <v>4.27</v>
      </c>
      <c r="L274" s="17">
        <f>$J274-$B274</f>
        <v/>
      </c>
      <c r="M274" s="17">
        <f>$I274-$L274</f>
        <v/>
      </c>
      <c r="N274" s="23">
        <f>($G274-$M274)*100</f>
        <v/>
      </c>
      <c r="O274" s="15">
        <f>($E274-$C274)*100</f>
        <v/>
      </c>
      <c r="P274" s="15">
        <f>($G274-$E274)*100</f>
        <v/>
      </c>
      <c r="Q274" s="15">
        <f>($G274-$C274)*100</f>
        <v/>
      </c>
      <c r="R274" s="15">
        <f>IF($H274="","",($H274-$F274)*100)</f>
        <v/>
      </c>
      <c r="S274" s="15">
        <f>IF($H274="","",($H274-$G274)*100)</f>
        <v/>
      </c>
    </row>
    <row r="275">
      <c r="A275" s="11" t="n">
        <v>38408</v>
      </c>
      <c r="B275" s="22" t="n">
        <v>0.008</v>
      </c>
      <c r="C275" s="22" t="n">
        <v>0.112</v>
      </c>
      <c r="D275" s="22" t="n">
        <v>0.617</v>
      </c>
      <c r="E275" s="22" t="n">
        <v>1.431</v>
      </c>
      <c r="F275" s="22" t="n">
        <v>2.068</v>
      </c>
      <c r="G275" s="22" t="n">
        <v>2.434</v>
      </c>
      <c r="H275" s="22" t="n"/>
      <c r="I275" s="22" t="n">
        <v>4.61</v>
      </c>
      <c r="J275" s="22" t="n">
        <v>3.15</v>
      </c>
      <c r="K275" s="22" t="n">
        <v>4.27</v>
      </c>
      <c r="L275" s="17">
        <f>$J275-$B275</f>
        <v/>
      </c>
      <c r="M275" s="17">
        <f>$I275-$L275</f>
        <v/>
      </c>
      <c r="N275" s="23">
        <f>($G275-$M275)*100</f>
        <v/>
      </c>
      <c r="O275" s="15">
        <f>($E275-$C275)*100</f>
        <v/>
      </c>
      <c r="P275" s="15">
        <f>($G275-$E275)*100</f>
        <v/>
      </c>
      <c r="Q275" s="15">
        <f>($G275-$C275)*100</f>
        <v/>
      </c>
      <c r="R275" s="15">
        <f>IF($H275="","",($H275-$F275)*100)</f>
        <v/>
      </c>
      <c r="S275" s="15">
        <f>IF($H275="","",($H275-$G275)*100)</f>
        <v/>
      </c>
    </row>
    <row r="276">
      <c r="A276" s="11" t="n">
        <v>38415</v>
      </c>
      <c r="B276" s="22" t="n">
        <v>0.01</v>
      </c>
      <c r="C276" s="22" t="n">
        <v>0.129</v>
      </c>
      <c r="D276" s="22" t="n">
        <v>0.673</v>
      </c>
      <c r="E276" s="22" t="n">
        <v>1.498</v>
      </c>
      <c r="F276" s="22" t="n">
        <v>2.121</v>
      </c>
      <c r="G276" s="22" t="n">
        <v>2.475</v>
      </c>
      <c r="H276" s="22" t="n"/>
      <c r="I276" s="22" t="n">
        <v>4.66</v>
      </c>
      <c r="J276" s="22" t="n">
        <v>3.2</v>
      </c>
      <c r="K276" s="22" t="n">
        <v>4.32</v>
      </c>
      <c r="L276" s="17">
        <f>$J276-$B276</f>
        <v/>
      </c>
      <c r="M276" s="17">
        <f>$I276-$L276</f>
        <v/>
      </c>
      <c r="N276" s="23">
        <f>($G276-$M276)*100</f>
        <v/>
      </c>
      <c r="O276" s="15">
        <f>($E276-$C276)*100</f>
        <v/>
      </c>
      <c r="P276" s="15">
        <f>($G276-$E276)*100</f>
        <v/>
      </c>
      <c r="Q276" s="15">
        <f>($G276-$C276)*100</f>
        <v/>
      </c>
      <c r="R276" s="15">
        <f>IF($H276="","",($H276-$F276)*100)</f>
        <v/>
      </c>
      <c r="S276" s="15">
        <f>IF($H276="","",($H276-$G276)*100)</f>
        <v/>
      </c>
    </row>
    <row r="277">
      <c r="A277" s="11" t="n">
        <v>38422</v>
      </c>
      <c r="B277" s="22" t="n">
        <v>0.01</v>
      </c>
      <c r="C277" s="22" t="n">
        <v>0.125</v>
      </c>
      <c r="D277" s="22" t="n">
        <v>0.662</v>
      </c>
      <c r="E277" s="22" t="n">
        <v>1.465</v>
      </c>
      <c r="F277" s="22" t="n">
        <v>2.084</v>
      </c>
      <c r="G277" s="22" t="n">
        <v>2.428</v>
      </c>
      <c r="H277" s="22" t="n"/>
      <c r="I277" s="22" t="n">
        <v>4.8</v>
      </c>
      <c r="J277" s="22" t="n">
        <v>3.28</v>
      </c>
      <c r="K277" s="22" t="n">
        <v>4.56</v>
      </c>
      <c r="L277" s="17">
        <f>$J277-$B277</f>
        <v/>
      </c>
      <c r="M277" s="17">
        <f>$I277-$L277</f>
        <v/>
      </c>
      <c r="N277" s="23">
        <f>($G277-$M277)*100</f>
        <v/>
      </c>
      <c r="O277" s="15">
        <f>($E277-$C277)*100</f>
        <v/>
      </c>
      <c r="P277" s="15">
        <f>($G277-$E277)*100</f>
        <v/>
      </c>
      <c r="Q277" s="15">
        <f>($G277-$C277)*100</f>
        <v/>
      </c>
      <c r="R277" s="15">
        <f>IF($H277="","",($H277-$F277)*100)</f>
        <v/>
      </c>
      <c r="S277" s="15">
        <f>IF($H277="","",($H277-$G277)*100)</f>
        <v/>
      </c>
    </row>
    <row r="278">
      <c r="A278" s="11" t="n">
        <v>38429</v>
      </c>
      <c r="B278" s="22" t="n">
        <v>0.011</v>
      </c>
      <c r="C278" s="22" t="n">
        <v>0.109</v>
      </c>
      <c r="D278" s="22" t="n">
        <v>0.622</v>
      </c>
      <c r="E278" s="22" t="n">
        <v>1.408</v>
      </c>
      <c r="F278" s="22" t="n">
        <v>2.036</v>
      </c>
      <c r="G278" s="22" t="n">
        <v>2.371</v>
      </c>
      <c r="H278" s="22" t="n"/>
      <c r="I278" s="22" t="n">
        <v>4.8</v>
      </c>
      <c r="J278" s="22" t="n">
        <v>3.32</v>
      </c>
      <c r="K278" s="22" t="n">
        <v>4.51</v>
      </c>
      <c r="L278" s="17">
        <f>$J278-$B278</f>
        <v/>
      </c>
      <c r="M278" s="17">
        <f>$I278-$L278</f>
        <v/>
      </c>
      <c r="N278" s="23">
        <f>($G278-$M278)*100</f>
        <v/>
      </c>
      <c r="O278" s="15">
        <f>($E278-$C278)*100</f>
        <v/>
      </c>
      <c r="P278" s="15">
        <f>($G278-$E278)*100</f>
        <v/>
      </c>
      <c r="Q278" s="15">
        <f>($G278-$C278)*100</f>
        <v/>
      </c>
      <c r="R278" s="15">
        <f>IF($H278="","",($H278-$F278)*100)</f>
        <v/>
      </c>
      <c r="S278" s="15">
        <f>IF($H278="","",($H278-$G278)*100)</f>
        <v/>
      </c>
    </row>
    <row r="279">
      <c r="A279" s="11" t="n">
        <v>38436</v>
      </c>
      <c r="B279" s="22" t="n">
        <v>0.01</v>
      </c>
      <c r="C279" s="22" t="n">
        <v>0.107</v>
      </c>
      <c r="D279" s="22" t="n">
        <v>0.574</v>
      </c>
      <c r="E279" s="22" t="n">
        <v>1.374</v>
      </c>
      <c r="F279" s="22" t="n">
        <v>1.992</v>
      </c>
      <c r="G279" s="22" t="n">
        <v>2.334</v>
      </c>
      <c r="H279" s="22" t="n"/>
      <c r="I279" s="22" t="n">
        <v>4.84</v>
      </c>
      <c r="J279" s="22" t="n">
        <v>3.41</v>
      </c>
      <c r="K279" s="22" t="n">
        <v>4.6</v>
      </c>
      <c r="L279" s="17">
        <f>$J279-$B279</f>
        <v/>
      </c>
      <c r="M279" s="17">
        <f>$I279-$L279</f>
        <v/>
      </c>
      <c r="N279" s="23">
        <f>($G279-$M279)*100</f>
        <v/>
      </c>
      <c r="O279" s="15">
        <f>($E279-$C279)*100</f>
        <v/>
      </c>
      <c r="P279" s="15">
        <f>($G279-$E279)*100</f>
        <v/>
      </c>
      <c r="Q279" s="15">
        <f>($G279-$C279)*100</f>
        <v/>
      </c>
      <c r="R279" s="15">
        <f>IF($H279="","",($H279-$F279)*100)</f>
        <v/>
      </c>
      <c r="S279" s="15">
        <f>IF($H279="","",($H279-$G279)*100)</f>
        <v/>
      </c>
    </row>
    <row r="280">
      <c r="A280" s="11" t="n">
        <v>38443</v>
      </c>
      <c r="B280" s="22" t="n">
        <v>0.01</v>
      </c>
      <c r="C280" s="22" t="n">
        <v>0.092</v>
      </c>
      <c r="D280" s="22" t="n">
        <v>0.537</v>
      </c>
      <c r="E280" s="22" t="n">
        <v>1.341</v>
      </c>
      <c r="F280" s="22" t="n">
        <v>1.962</v>
      </c>
      <c r="G280" s="22" t="n">
        <v>2.292</v>
      </c>
      <c r="H280" s="22" t="n"/>
      <c r="I280" s="22" t="n">
        <v>4.72</v>
      </c>
      <c r="J280" s="22" t="n">
        <v>3.34</v>
      </c>
      <c r="K280" s="22" t="n">
        <v>4.46</v>
      </c>
      <c r="L280" s="17">
        <f>$J280-$B280</f>
        <v/>
      </c>
      <c r="M280" s="17">
        <f>$I280-$L280</f>
        <v/>
      </c>
      <c r="N280" s="23">
        <f>($G280-$M280)*100</f>
        <v/>
      </c>
      <c r="O280" s="15">
        <f>($E280-$C280)*100</f>
        <v/>
      </c>
      <c r="P280" s="15">
        <f>($G280-$E280)*100</f>
        <v/>
      </c>
      <c r="Q280" s="15">
        <f>($G280-$C280)*100</f>
        <v/>
      </c>
      <c r="R280" s="15">
        <f>IF($H280="","",($H280-$F280)*100)</f>
        <v/>
      </c>
      <c r="S280" s="15">
        <f>IF($H280="","",($H280-$G280)*100)</f>
        <v/>
      </c>
    </row>
    <row r="281">
      <c r="A281" s="11" t="n">
        <v>38450</v>
      </c>
      <c r="B281" s="22" t="n">
        <v>0.008999999999999999</v>
      </c>
      <c r="C281" s="22" t="n">
        <v>0.08599999999999999</v>
      </c>
      <c r="D281" s="22" t="n">
        <v>0.555</v>
      </c>
      <c r="E281" s="22" t="n">
        <v>1.358</v>
      </c>
      <c r="F281" s="22" t="n">
        <v>1.998</v>
      </c>
      <c r="G281" s="22" t="n">
        <v>2.36</v>
      </c>
      <c r="H281" s="22" t="n"/>
      <c r="I281" s="22" t="n">
        <v>4.77</v>
      </c>
      <c r="J281" s="22" t="n">
        <v>3.35</v>
      </c>
      <c r="K281" s="22" t="n">
        <v>4.5</v>
      </c>
      <c r="L281" s="17">
        <f>$J281-$B281</f>
        <v/>
      </c>
      <c r="M281" s="17">
        <f>$I281-$L281</f>
        <v/>
      </c>
      <c r="N281" s="23">
        <f>($G281-$M281)*100</f>
        <v/>
      </c>
      <c r="O281" s="15">
        <f>($E281-$C281)*100</f>
        <v/>
      </c>
      <c r="P281" s="15">
        <f>($G281-$E281)*100</f>
        <v/>
      </c>
      <c r="Q281" s="15">
        <f>($G281-$C281)*100</f>
        <v/>
      </c>
      <c r="R281" s="15">
        <f>IF($H281="","",($H281-$F281)*100)</f>
        <v/>
      </c>
      <c r="S281" s="15">
        <f>IF($H281="","",($H281-$G281)*100)</f>
        <v/>
      </c>
    </row>
    <row r="282">
      <c r="A282" s="11" t="n">
        <v>38457</v>
      </c>
      <c r="B282" s="22" t="n">
        <v>0.012</v>
      </c>
      <c r="C282" s="22" t="n">
        <v>0.074</v>
      </c>
      <c r="D282" s="22" t="n">
        <v>0.511</v>
      </c>
      <c r="E282" s="22" t="n">
        <v>1.308</v>
      </c>
      <c r="F282" s="22" t="n">
        <v>1.944</v>
      </c>
      <c r="G282" s="22" t="n">
        <v>2.307</v>
      </c>
      <c r="H282" s="22" t="n"/>
      <c r="I282" s="22" t="n">
        <v>4.66</v>
      </c>
      <c r="J282" s="22" t="n">
        <v>3.26</v>
      </c>
      <c r="K282" s="22" t="n">
        <v>4.27</v>
      </c>
      <c r="L282" s="17">
        <f>$J282-$B282</f>
        <v/>
      </c>
      <c r="M282" s="17">
        <f>$I282-$L282</f>
        <v/>
      </c>
      <c r="N282" s="23">
        <f>($G282-$M282)*100</f>
        <v/>
      </c>
      <c r="O282" s="15">
        <f>($E282-$C282)*100</f>
        <v/>
      </c>
      <c r="P282" s="15">
        <f>($G282-$E282)*100</f>
        <v/>
      </c>
      <c r="Q282" s="15">
        <f>($G282-$C282)*100</f>
        <v/>
      </c>
      <c r="R282" s="15">
        <f>IF($H282="","",($H282-$F282)*100)</f>
        <v/>
      </c>
      <c r="S282" s="15">
        <f>IF($H282="","",($H282-$G282)*100)</f>
        <v/>
      </c>
    </row>
    <row r="283">
      <c r="A283" s="11" t="n">
        <v>38464</v>
      </c>
      <c r="B283" s="22" t="n">
        <v>0.008999999999999999</v>
      </c>
      <c r="C283" s="22" t="n">
        <v>0.081</v>
      </c>
      <c r="D283" s="22" t="n">
        <v>0.499</v>
      </c>
      <c r="E283" s="22" t="n">
        <v>1.296</v>
      </c>
      <c r="F283" s="22" t="n">
        <v>1.934</v>
      </c>
      <c r="G283" s="22" t="n">
        <v>2.284</v>
      </c>
      <c r="H283" s="22" t="n"/>
      <c r="I283" s="22" t="n">
        <v>4.6</v>
      </c>
      <c r="J283" s="22" t="n">
        <v>3.3</v>
      </c>
      <c r="K283" s="22" t="n">
        <v>4.26</v>
      </c>
      <c r="L283" s="17">
        <f>$J283-$B283</f>
        <v/>
      </c>
      <c r="M283" s="17">
        <f>$I283-$L283</f>
        <v/>
      </c>
      <c r="N283" s="23">
        <f>($G283-$M283)*100</f>
        <v/>
      </c>
      <c r="O283" s="15">
        <f>($E283-$C283)*100</f>
        <v/>
      </c>
      <c r="P283" s="15">
        <f>($G283-$E283)*100</f>
        <v/>
      </c>
      <c r="Q283" s="15">
        <f>($G283-$C283)*100</f>
        <v/>
      </c>
      <c r="R283" s="15">
        <f>IF($H283="","",($H283-$F283)*100)</f>
        <v/>
      </c>
      <c r="S283" s="15">
        <f>IF($H283="","",($H283-$G283)*100)</f>
        <v/>
      </c>
    </row>
    <row r="284">
      <c r="A284" s="11" t="n">
        <v>38471</v>
      </c>
      <c r="B284" s="22" t="n">
        <v>0.007</v>
      </c>
      <c r="C284" s="22" t="n">
        <v>0.076</v>
      </c>
      <c r="D284" s="22" t="n">
        <v>0.458</v>
      </c>
      <c r="E284" s="22" t="n">
        <v>1.247</v>
      </c>
      <c r="F284" s="22" t="n">
        <v>1.896</v>
      </c>
      <c r="G284" s="22" t="n">
        <v>2.254</v>
      </c>
      <c r="H284" s="22" t="n"/>
      <c r="I284" s="22" t="n">
        <v>4.53</v>
      </c>
      <c r="J284" s="22" t="n">
        <v>3.33</v>
      </c>
      <c r="K284" s="22" t="n">
        <v>4.21</v>
      </c>
      <c r="L284" s="17">
        <f>$J284-$B284</f>
        <v/>
      </c>
      <c r="M284" s="17">
        <f>$I284-$L284</f>
        <v/>
      </c>
      <c r="N284" s="23">
        <f>($G284-$M284)*100</f>
        <v/>
      </c>
      <c r="O284" s="15">
        <f>($E284-$C284)*100</f>
        <v/>
      </c>
      <c r="P284" s="15">
        <f>($G284-$E284)*100</f>
        <v/>
      </c>
      <c r="Q284" s="15">
        <f>($G284-$C284)*100</f>
        <v/>
      </c>
      <c r="R284" s="15">
        <f>IF($H284="","",($H284-$F284)*100)</f>
        <v/>
      </c>
      <c r="S284" s="15">
        <f>IF($H284="","",($H284-$G284)*100)</f>
        <v/>
      </c>
    </row>
    <row r="285">
      <c r="A285" s="11" t="n">
        <v>38478</v>
      </c>
      <c r="B285" s="22" t="n">
        <v>0.01</v>
      </c>
      <c r="C285" s="22" t="n">
        <v>0.068</v>
      </c>
      <c r="D285" s="22" t="n">
        <v>0.441</v>
      </c>
      <c r="E285" s="22" t="n">
        <v>1.231</v>
      </c>
      <c r="F285" s="22" t="n">
        <v>1.897</v>
      </c>
      <c r="G285" s="22" t="n">
        <v>2.265</v>
      </c>
      <c r="H285" s="22" t="n"/>
      <c r="I285" s="22" t="n">
        <v>4.62</v>
      </c>
      <c r="J285" s="22" t="n">
        <v>3.37</v>
      </c>
      <c r="K285" s="22" t="n">
        <v>4.28</v>
      </c>
      <c r="L285" s="17">
        <f>$J285-$B285</f>
        <v/>
      </c>
      <c r="M285" s="17">
        <f>$I285-$L285</f>
        <v/>
      </c>
      <c r="N285" s="23">
        <f>($G285-$M285)*100</f>
        <v/>
      </c>
      <c r="O285" s="15">
        <f>($E285-$C285)*100</f>
        <v/>
      </c>
      <c r="P285" s="15">
        <f>($G285-$E285)*100</f>
        <v/>
      </c>
      <c r="Q285" s="15">
        <f>($G285-$C285)*100</f>
        <v/>
      </c>
      <c r="R285" s="15">
        <f>IF($H285="","",($H285-$F285)*100)</f>
        <v/>
      </c>
      <c r="S285" s="15">
        <f>IF($H285="","",($H285-$G285)*100)</f>
        <v/>
      </c>
    </row>
    <row r="286">
      <c r="A286" s="11" t="n">
        <v>38485</v>
      </c>
      <c r="B286" s="22" t="n">
        <v>0.013</v>
      </c>
      <c r="C286" s="22" t="n">
        <v>0.075</v>
      </c>
      <c r="D286" s="22" t="n">
        <v>0.482</v>
      </c>
      <c r="E286" s="22" t="n">
        <v>1.291</v>
      </c>
      <c r="F286" s="22" t="n">
        <v>1.963</v>
      </c>
      <c r="G286" s="22" t="n">
        <v>2.338</v>
      </c>
      <c r="H286" s="22" t="n"/>
      <c r="I286" s="22" t="n">
        <v>4.48</v>
      </c>
      <c r="J286" s="22" t="n">
        <v>3.29</v>
      </c>
      <c r="K286" s="22" t="n">
        <v>4.12</v>
      </c>
      <c r="L286" s="17">
        <f>$J286-$B286</f>
        <v/>
      </c>
      <c r="M286" s="17">
        <f>$I286-$L286</f>
        <v/>
      </c>
      <c r="N286" s="23">
        <f>($G286-$M286)*100</f>
        <v/>
      </c>
      <c r="O286" s="15">
        <f>($E286-$C286)*100</f>
        <v/>
      </c>
      <c r="P286" s="15">
        <f>($G286-$E286)*100</f>
        <v/>
      </c>
      <c r="Q286" s="15">
        <f>($G286-$C286)*100</f>
        <v/>
      </c>
      <c r="R286" s="15">
        <f>IF($H286="","",($H286-$F286)*100)</f>
        <v/>
      </c>
      <c r="S286" s="15">
        <f>IF($H286="","",($H286-$G286)*100)</f>
        <v/>
      </c>
    </row>
    <row r="287">
      <c r="A287" s="11" t="n">
        <v>38492</v>
      </c>
      <c r="B287" s="22" t="n">
        <v>0.01</v>
      </c>
      <c r="C287" s="22" t="n">
        <v>0.09</v>
      </c>
      <c r="D287" s="22" t="n">
        <v>0.485</v>
      </c>
      <c r="E287" s="22" t="n">
        <v>1.283</v>
      </c>
      <c r="F287" s="22" t="n">
        <v>1.945</v>
      </c>
      <c r="G287" s="22" t="n">
        <v>2.309</v>
      </c>
      <c r="H287" s="22" t="n"/>
      <c r="I287" s="22" t="n">
        <v>4.44</v>
      </c>
      <c r="J287" s="22" t="n">
        <v>3.35</v>
      </c>
      <c r="K287" s="22" t="n">
        <v>4.13</v>
      </c>
      <c r="L287" s="17">
        <f>$J287-$B287</f>
        <v/>
      </c>
      <c r="M287" s="17">
        <f>$I287-$L287</f>
        <v/>
      </c>
      <c r="N287" s="23">
        <f>($G287-$M287)*100</f>
        <v/>
      </c>
      <c r="O287" s="15">
        <f>($E287-$C287)*100</f>
        <v/>
      </c>
      <c r="P287" s="15">
        <f>($G287-$E287)*100</f>
        <v/>
      </c>
      <c r="Q287" s="15">
        <f>($G287-$C287)*100</f>
        <v/>
      </c>
      <c r="R287" s="15">
        <f>IF($H287="","",($H287-$F287)*100)</f>
        <v/>
      </c>
      <c r="S287" s="15">
        <f>IF($H287="","",($H287-$G287)*100)</f>
        <v/>
      </c>
    </row>
    <row r="288">
      <c r="A288" s="11" t="n">
        <v>38499</v>
      </c>
      <c r="B288" s="22" t="n">
        <v>0.008</v>
      </c>
      <c r="C288" s="22" t="n">
        <v>0.076</v>
      </c>
      <c r="D288" s="22" t="n">
        <v>0.462</v>
      </c>
      <c r="E288" s="22" t="n">
        <v>1.267</v>
      </c>
      <c r="F288" s="22" t="n">
        <v>1.934</v>
      </c>
      <c r="G288" s="22" t="n">
        <v>2.286</v>
      </c>
      <c r="H288" s="22" t="n"/>
      <c r="I288" s="22" t="n">
        <v>4.45</v>
      </c>
      <c r="J288" s="22" t="n">
        <v>3.31</v>
      </c>
      <c r="K288" s="22" t="n">
        <v>4.08</v>
      </c>
      <c r="L288" s="17">
        <f>$J288-$B288</f>
        <v/>
      </c>
      <c r="M288" s="17">
        <f>$I288-$L288</f>
        <v/>
      </c>
      <c r="N288" s="23">
        <f>($G288-$M288)*100</f>
        <v/>
      </c>
      <c r="O288" s="15">
        <f>($E288-$C288)*100</f>
        <v/>
      </c>
      <c r="P288" s="15">
        <f>($G288-$E288)*100</f>
        <v/>
      </c>
      <c r="Q288" s="15">
        <f>($G288-$C288)*100</f>
        <v/>
      </c>
      <c r="R288" s="15">
        <f>IF($H288="","",($H288-$F288)*100)</f>
        <v/>
      </c>
      <c r="S288" s="15">
        <f>IF($H288="","",($H288-$G288)*100)</f>
        <v/>
      </c>
    </row>
    <row r="289">
      <c r="A289" s="11" t="n">
        <v>38506</v>
      </c>
      <c r="B289" s="22" t="n">
        <v>0.01</v>
      </c>
      <c r="C289" s="22" t="n">
        <v>0.079</v>
      </c>
      <c r="D289" s="22" t="n">
        <v>0.456</v>
      </c>
      <c r="E289" s="22" t="n">
        <v>1.226</v>
      </c>
      <c r="F289" s="22" t="n">
        <v>1.89</v>
      </c>
      <c r="G289" s="22" t="n">
        <v>2.268</v>
      </c>
      <c r="H289" s="22" t="n"/>
      <c r="I289" s="22" t="n">
        <v>4.26</v>
      </c>
      <c r="J289" s="22" t="n">
        <v>3.28</v>
      </c>
      <c r="K289" s="22" t="n">
        <v>3.98</v>
      </c>
      <c r="L289" s="17">
        <f>$J289-$B289</f>
        <v/>
      </c>
      <c r="M289" s="17">
        <f>$I289-$L289</f>
        <v/>
      </c>
      <c r="N289" s="23">
        <f>($G289-$M289)*100</f>
        <v/>
      </c>
      <c r="O289" s="15">
        <f>($E289-$C289)*100</f>
        <v/>
      </c>
      <c r="P289" s="15">
        <f>($G289-$E289)*100</f>
        <v/>
      </c>
      <c r="Q289" s="15">
        <f>($G289-$C289)*100</f>
        <v/>
      </c>
      <c r="R289" s="15">
        <f>IF($H289="","",($H289-$F289)*100)</f>
        <v/>
      </c>
      <c r="S289" s="15">
        <f>IF($H289="","",($H289-$G289)*100)</f>
        <v/>
      </c>
    </row>
    <row r="290">
      <c r="A290" s="11" t="n">
        <v>38513</v>
      </c>
      <c r="B290" s="22" t="n">
        <v>0.013</v>
      </c>
      <c r="C290" s="22" t="n">
        <v>0.078</v>
      </c>
      <c r="D290" s="22" t="n">
        <v>0.442</v>
      </c>
      <c r="E290" s="22" t="n">
        <v>1.209</v>
      </c>
      <c r="F290" s="22" t="n">
        <v>1.89</v>
      </c>
      <c r="G290" s="22" t="n">
        <v>2.275</v>
      </c>
      <c r="H290" s="22" t="n"/>
      <c r="I290" s="22" t="n">
        <v>4.3</v>
      </c>
      <c r="J290" s="22" t="n">
        <v>3.33</v>
      </c>
      <c r="K290" s="22" t="n">
        <v>4.05</v>
      </c>
      <c r="L290" s="17">
        <f>$J290-$B290</f>
        <v/>
      </c>
      <c r="M290" s="17">
        <f>$I290-$L290</f>
        <v/>
      </c>
      <c r="N290" s="23">
        <f>($G290-$M290)*100</f>
        <v/>
      </c>
      <c r="O290" s="15">
        <f>($E290-$C290)*100</f>
        <v/>
      </c>
      <c r="P290" s="15">
        <f>($G290-$E290)*100</f>
        <v/>
      </c>
      <c r="Q290" s="15">
        <f>($G290-$C290)*100</f>
        <v/>
      </c>
      <c r="R290" s="15">
        <f>IF($H290="","",($H290-$F290)*100)</f>
        <v/>
      </c>
      <c r="S290" s="15">
        <f>IF($H290="","",($H290-$G290)*100)</f>
        <v/>
      </c>
    </row>
    <row r="291">
      <c r="A291" s="11" t="n">
        <v>38520</v>
      </c>
      <c r="B291" s="22" t="n">
        <v>0.011</v>
      </c>
      <c r="C291" s="22" t="n">
        <v>0.08400000000000001</v>
      </c>
      <c r="D291" s="22" t="n">
        <v>0.503</v>
      </c>
      <c r="E291" s="22" t="n">
        <v>1.291</v>
      </c>
      <c r="F291" s="22" t="n">
        <v>1.961</v>
      </c>
      <c r="G291" s="22" t="n">
        <v>2.343</v>
      </c>
      <c r="H291" s="22" t="n"/>
      <c r="I291" s="22" t="n">
        <v>4.35</v>
      </c>
      <c r="J291" s="22" t="n">
        <v>3.39</v>
      </c>
      <c r="K291" s="22" t="n">
        <v>4.09</v>
      </c>
      <c r="L291" s="17">
        <f>$J291-$B291</f>
        <v/>
      </c>
      <c r="M291" s="17">
        <f>$I291-$L291</f>
        <v/>
      </c>
      <c r="N291" s="23">
        <f>($G291-$M291)*100</f>
        <v/>
      </c>
      <c r="O291" s="15">
        <f>($E291-$C291)*100</f>
        <v/>
      </c>
      <c r="P291" s="15">
        <f>($G291-$E291)*100</f>
        <v/>
      </c>
      <c r="Q291" s="15">
        <f>($G291-$C291)*100</f>
        <v/>
      </c>
      <c r="R291" s="15">
        <f>IF($H291="","",($H291-$F291)*100)</f>
        <v/>
      </c>
      <c r="S291" s="15">
        <f>IF($H291="","",($H291-$G291)*100)</f>
        <v/>
      </c>
    </row>
    <row r="292">
      <c r="A292" s="11" t="n">
        <v>38527</v>
      </c>
      <c r="B292" s="22" t="n">
        <v>0.01</v>
      </c>
      <c r="C292" s="22" t="n">
        <v>0.076</v>
      </c>
      <c r="D292" s="22" t="n">
        <v>0.433</v>
      </c>
      <c r="E292" s="22" t="n">
        <v>1.211</v>
      </c>
      <c r="F292" s="22" t="n">
        <v>1.892</v>
      </c>
      <c r="G292" s="22" t="n">
        <v>2.262</v>
      </c>
      <c r="H292" s="22" t="n"/>
      <c r="I292" s="22" t="n">
        <v>4.23</v>
      </c>
      <c r="J292" s="22" t="n">
        <v>3.38</v>
      </c>
      <c r="K292" s="22" t="n">
        <v>3.92</v>
      </c>
      <c r="L292" s="17">
        <f>$J292-$B292</f>
        <v/>
      </c>
      <c r="M292" s="17">
        <f>$I292-$L292</f>
        <v/>
      </c>
      <c r="N292" s="23">
        <f>($G292-$M292)*100</f>
        <v/>
      </c>
      <c r="O292" s="15">
        <f>($E292-$C292)*100</f>
        <v/>
      </c>
      <c r="P292" s="15">
        <f>($G292-$E292)*100</f>
        <v/>
      </c>
      <c r="Q292" s="15">
        <f>($G292-$C292)*100</f>
        <v/>
      </c>
      <c r="R292" s="15">
        <f>IF($H292="","",($H292-$F292)*100)</f>
        <v/>
      </c>
      <c r="S292" s="15">
        <f>IF($H292="","",($H292-$G292)*100)</f>
        <v/>
      </c>
    </row>
    <row r="293">
      <c r="A293" s="11" t="n">
        <v>38534</v>
      </c>
      <c r="B293" s="22" t="n">
        <v>0.012</v>
      </c>
      <c r="C293" s="22" t="n">
        <v>0.07000000000000001</v>
      </c>
      <c r="D293" s="22" t="n">
        <v>0.415</v>
      </c>
      <c r="E293" s="22" t="n">
        <v>1.178</v>
      </c>
      <c r="F293" s="22" t="n">
        <v>1.859</v>
      </c>
      <c r="G293" s="22" t="n">
        <v>2.222</v>
      </c>
      <c r="H293" s="22" t="n"/>
      <c r="I293" s="22" t="n">
        <v>4.28</v>
      </c>
      <c r="J293" s="22" t="n">
        <v>3.51</v>
      </c>
      <c r="K293" s="22" t="n">
        <v>4.06</v>
      </c>
      <c r="L293" s="17">
        <f>$J293-$B293</f>
        <v/>
      </c>
      <c r="M293" s="17">
        <f>$I293-$L293</f>
        <v/>
      </c>
      <c r="N293" s="23">
        <f>($G293-$M293)*100</f>
        <v/>
      </c>
      <c r="O293" s="15">
        <f>($E293-$C293)*100</f>
        <v/>
      </c>
      <c r="P293" s="15">
        <f>($G293-$E293)*100</f>
        <v/>
      </c>
      <c r="Q293" s="15">
        <f>($G293-$C293)*100</f>
        <v/>
      </c>
      <c r="R293" s="15">
        <f>IF($H293="","",($H293-$F293)*100)</f>
        <v/>
      </c>
      <c r="S293" s="15">
        <f>IF($H293="","",($H293-$G293)*100)</f>
        <v/>
      </c>
    </row>
    <row r="294">
      <c r="A294" s="11" t="n">
        <v>38541</v>
      </c>
      <c r="B294" s="22" t="n">
        <v>0.012</v>
      </c>
      <c r="C294" s="22" t="n">
        <v>0.073</v>
      </c>
      <c r="D294" s="22" t="n">
        <v>0.439</v>
      </c>
      <c r="E294" s="22" t="n">
        <v>1.205</v>
      </c>
      <c r="F294" s="22" t="n">
        <v>1.902</v>
      </c>
      <c r="G294" s="22" t="n">
        <v>2.286</v>
      </c>
      <c r="H294" s="22" t="n"/>
      <c r="I294" s="22" t="n">
        <v>4.33</v>
      </c>
      <c r="J294" s="22" t="n">
        <v>3.52</v>
      </c>
      <c r="K294" s="22" t="n">
        <v>4.11</v>
      </c>
      <c r="L294" s="17">
        <f>$J294-$B294</f>
        <v/>
      </c>
      <c r="M294" s="17">
        <f>$I294-$L294</f>
        <v/>
      </c>
      <c r="N294" s="23">
        <f>($G294-$M294)*100</f>
        <v/>
      </c>
      <c r="O294" s="15">
        <f>($E294-$C294)*100</f>
        <v/>
      </c>
      <c r="P294" s="15">
        <f>($G294-$E294)*100</f>
        <v/>
      </c>
      <c r="Q294" s="15">
        <f>($G294-$C294)*100</f>
        <v/>
      </c>
      <c r="R294" s="15">
        <f>IF($H294="","",($H294-$F294)*100)</f>
        <v/>
      </c>
      <c r="S294" s="15">
        <f>IF($H294="","",($H294-$G294)*100)</f>
        <v/>
      </c>
    </row>
    <row r="295">
      <c r="A295" s="11" t="n">
        <v>38548</v>
      </c>
      <c r="B295" s="22" t="n">
        <v>0.013</v>
      </c>
      <c r="C295" s="22" t="n">
        <v>0.07099999999999999</v>
      </c>
      <c r="D295" s="22" t="n">
        <v>0.493</v>
      </c>
      <c r="E295" s="22" t="n">
        <v>1.272</v>
      </c>
      <c r="F295" s="22" t="n">
        <v>1.958</v>
      </c>
      <c r="G295" s="22" t="n">
        <v>2.35</v>
      </c>
      <c r="H295" s="22" t="n"/>
      <c r="I295" s="22" t="n">
        <v>4.39</v>
      </c>
      <c r="J295" s="22" t="n">
        <v>3.61</v>
      </c>
      <c r="K295" s="22" t="n">
        <v>4.18</v>
      </c>
      <c r="L295" s="17">
        <f>$J295-$B295</f>
        <v/>
      </c>
      <c r="M295" s="17">
        <f>$I295-$L295</f>
        <v/>
      </c>
      <c r="N295" s="23">
        <f>($G295-$M295)*100</f>
        <v/>
      </c>
      <c r="O295" s="15">
        <f>($E295-$C295)*100</f>
        <v/>
      </c>
      <c r="P295" s="15">
        <f>($G295-$E295)*100</f>
        <v/>
      </c>
      <c r="Q295" s="15">
        <f>($G295-$C295)*100</f>
        <v/>
      </c>
      <c r="R295" s="15">
        <f>IF($H295="","",($H295-$F295)*100)</f>
        <v/>
      </c>
      <c r="S295" s="15">
        <f>IF($H295="","",($H295-$G295)*100)</f>
        <v/>
      </c>
    </row>
    <row r="296">
      <c r="A296" s="11" t="n">
        <v>38555</v>
      </c>
      <c r="B296" s="22" t="n">
        <v>0.019</v>
      </c>
      <c r="C296" s="22" t="n">
        <v>0.075</v>
      </c>
      <c r="D296" s="22" t="n">
        <v>0.467</v>
      </c>
      <c r="E296" s="22" t="n">
        <v>1.235</v>
      </c>
      <c r="F296" s="22" t="n">
        <v>1.95</v>
      </c>
      <c r="G296" s="22" t="n">
        <v>2.343</v>
      </c>
      <c r="H296" s="22" t="n"/>
      <c r="I296" s="22" t="n">
        <v>4.39</v>
      </c>
      <c r="J296" s="22" t="n">
        <v>3.72</v>
      </c>
      <c r="K296" s="22" t="n">
        <v>4.23</v>
      </c>
      <c r="L296" s="17">
        <f>$J296-$B296</f>
        <v/>
      </c>
      <c r="M296" s="17">
        <f>$I296-$L296</f>
        <v/>
      </c>
      <c r="N296" s="23">
        <f>($G296-$M296)*100</f>
        <v/>
      </c>
      <c r="O296" s="15">
        <f>($E296-$C296)*100</f>
        <v/>
      </c>
      <c r="P296" s="15">
        <f>($G296-$E296)*100</f>
        <v/>
      </c>
      <c r="Q296" s="15">
        <f>($G296-$C296)*100</f>
        <v/>
      </c>
      <c r="R296" s="15">
        <f>IF($H296="","",($H296-$F296)*100)</f>
        <v/>
      </c>
      <c r="S296" s="15">
        <f>IF($H296="","",($H296-$G296)*100)</f>
        <v/>
      </c>
    </row>
    <row r="297">
      <c r="A297" s="11" t="n">
        <v>38562</v>
      </c>
      <c r="B297" s="22" t="n">
        <v>0.015</v>
      </c>
      <c r="C297" s="22" t="n">
        <v>0.104</v>
      </c>
      <c r="D297" s="22" t="n">
        <v>0.536</v>
      </c>
      <c r="E297" s="22" t="n">
        <v>1.307</v>
      </c>
      <c r="F297" s="22" t="n">
        <v>2.01</v>
      </c>
      <c r="G297" s="22" t="n">
        <v>2.393</v>
      </c>
      <c r="H297" s="22" t="n"/>
      <c r="I297" s="22" t="n">
        <v>4.42</v>
      </c>
      <c r="J297" s="22" t="n">
        <v>3.8</v>
      </c>
      <c r="K297" s="22" t="n">
        <v>4.28</v>
      </c>
      <c r="L297" s="17">
        <f>$J297-$B297</f>
        <v/>
      </c>
      <c r="M297" s="17">
        <f>$I297-$L297</f>
        <v/>
      </c>
      <c r="N297" s="23">
        <f>($G297-$M297)*100</f>
        <v/>
      </c>
      <c r="O297" s="15">
        <f>($E297-$C297)*100</f>
        <v/>
      </c>
      <c r="P297" s="15">
        <f>($G297-$E297)*100</f>
        <v/>
      </c>
      <c r="Q297" s="15">
        <f>($G297-$C297)*100</f>
        <v/>
      </c>
      <c r="R297" s="15">
        <f>IF($H297="","",($H297-$F297)*100)</f>
        <v/>
      </c>
      <c r="S297" s="15">
        <f>IF($H297="","",($H297-$G297)*100)</f>
        <v/>
      </c>
    </row>
    <row r="298">
      <c r="A298" s="11" t="n">
        <v>38569</v>
      </c>
      <c r="B298" s="22" t="n">
        <v>0.015</v>
      </c>
      <c r="C298" s="22" t="n">
        <v>0.12</v>
      </c>
      <c r="D298" s="22" t="n">
        <v>0.585</v>
      </c>
      <c r="E298" s="22" t="n">
        <v>1.382</v>
      </c>
      <c r="F298" s="22" t="n">
        <v>2.045</v>
      </c>
      <c r="G298" s="22" t="n">
        <v>2.406</v>
      </c>
      <c r="H298" s="22" t="n"/>
      <c r="I298" s="22" t="n">
        <v>4.56</v>
      </c>
      <c r="J298" s="22" t="n">
        <v>3.87</v>
      </c>
      <c r="K298" s="22" t="n">
        <v>4.4</v>
      </c>
      <c r="L298" s="17">
        <f>$J298-$B298</f>
        <v/>
      </c>
      <c r="M298" s="17">
        <f>$I298-$L298</f>
        <v/>
      </c>
      <c r="N298" s="23">
        <f>($G298-$M298)*100</f>
        <v/>
      </c>
      <c r="O298" s="15">
        <f>($E298-$C298)*100</f>
        <v/>
      </c>
      <c r="P298" s="15">
        <f>($G298-$E298)*100</f>
        <v/>
      </c>
      <c r="Q298" s="15">
        <f>($G298-$C298)*100</f>
        <v/>
      </c>
      <c r="R298" s="15">
        <f>IF($H298="","",($H298-$F298)*100)</f>
        <v/>
      </c>
      <c r="S298" s="15">
        <f>IF($H298="","",($H298-$G298)*100)</f>
        <v/>
      </c>
    </row>
    <row r="299">
      <c r="A299" s="11" t="n">
        <v>38576</v>
      </c>
      <c r="B299" s="22" t="n">
        <v>0.023</v>
      </c>
      <c r="C299" s="22" t="n">
        <v>0.153</v>
      </c>
      <c r="D299" s="22" t="n">
        <v>0.658</v>
      </c>
      <c r="E299" s="22" t="n">
        <v>1.438</v>
      </c>
      <c r="F299" s="22" t="n">
        <v>2.087</v>
      </c>
      <c r="G299" s="22" t="n">
        <v>2.437</v>
      </c>
      <c r="H299" s="22" t="n"/>
      <c r="I299" s="22" t="n">
        <v>4.42</v>
      </c>
      <c r="J299" s="22" t="n">
        <v>3.88</v>
      </c>
      <c r="K299" s="22" t="n">
        <v>4.24</v>
      </c>
      <c r="L299" s="17">
        <f>$J299-$B299</f>
        <v/>
      </c>
      <c r="M299" s="17">
        <f>$I299-$L299</f>
        <v/>
      </c>
      <c r="N299" s="23">
        <f>($G299-$M299)*100</f>
        <v/>
      </c>
      <c r="O299" s="15">
        <f>($E299-$C299)*100</f>
        <v/>
      </c>
      <c r="P299" s="15">
        <f>($G299-$E299)*100</f>
        <v/>
      </c>
      <c r="Q299" s="15">
        <f>($G299-$C299)*100</f>
        <v/>
      </c>
      <c r="R299" s="15">
        <f>IF($H299="","",($H299-$F299)*100)</f>
        <v/>
      </c>
      <c r="S299" s="15">
        <f>IF($H299="","",($H299-$G299)*100)</f>
        <v/>
      </c>
    </row>
    <row r="300">
      <c r="A300" s="11" t="n">
        <v>38583</v>
      </c>
      <c r="B300" s="22" t="n">
        <v>0.021</v>
      </c>
      <c r="C300" s="22" t="n">
        <v>0.13</v>
      </c>
      <c r="D300" s="22" t="n">
        <v>0.634</v>
      </c>
      <c r="E300" s="22" t="n">
        <v>1.417</v>
      </c>
      <c r="F300" s="22" t="n">
        <v>2.098</v>
      </c>
      <c r="G300" s="22" t="n">
        <v>2.449</v>
      </c>
      <c r="H300" s="22" t="n"/>
      <c r="I300" s="22" t="n">
        <v>4.4</v>
      </c>
      <c r="J300" s="22" t="n">
        <v>3.89</v>
      </c>
      <c r="K300" s="22" t="n">
        <v>4.21</v>
      </c>
      <c r="L300" s="17">
        <f>$J300-$B300</f>
        <v/>
      </c>
      <c r="M300" s="17">
        <f>$I300-$L300</f>
        <v/>
      </c>
      <c r="N300" s="23">
        <f>($G300-$M300)*100</f>
        <v/>
      </c>
      <c r="O300" s="15">
        <f>($E300-$C300)*100</f>
        <v/>
      </c>
      <c r="P300" s="15">
        <f>($G300-$E300)*100</f>
        <v/>
      </c>
      <c r="Q300" s="15">
        <f>($G300-$C300)*100</f>
        <v/>
      </c>
      <c r="R300" s="15">
        <f>IF($H300="","",($H300-$F300)*100)</f>
        <v/>
      </c>
      <c r="S300" s="15">
        <f>IF($H300="","",($H300-$G300)*100)</f>
        <v/>
      </c>
    </row>
    <row r="301">
      <c r="A301" s="11" t="n">
        <v>38590</v>
      </c>
      <c r="B301" s="22" t="n">
        <v>0.029</v>
      </c>
      <c r="C301" s="22" t="n">
        <v>0.158</v>
      </c>
      <c r="D301" s="22" t="n">
        <v>0.653</v>
      </c>
      <c r="E301" s="22" t="n">
        <v>1.41</v>
      </c>
      <c r="F301" s="22" t="n">
        <v>2.061</v>
      </c>
      <c r="G301" s="22" t="n">
        <v>2.439</v>
      </c>
      <c r="H301" s="22" t="n"/>
      <c r="I301" s="22" t="n">
        <v>4.38</v>
      </c>
      <c r="J301" s="22" t="n">
        <v>3.9</v>
      </c>
      <c r="K301" s="22" t="n">
        <v>4.2</v>
      </c>
      <c r="L301" s="17">
        <f>$J301-$B301</f>
        <v/>
      </c>
      <c r="M301" s="17">
        <f>$I301-$L301</f>
        <v/>
      </c>
      <c r="N301" s="23">
        <f>($G301-$M301)*100</f>
        <v/>
      </c>
      <c r="O301" s="15">
        <f>($E301-$C301)*100</f>
        <v/>
      </c>
      <c r="P301" s="15">
        <f>($G301-$E301)*100</f>
        <v/>
      </c>
      <c r="Q301" s="15">
        <f>($G301-$C301)*100</f>
        <v/>
      </c>
      <c r="R301" s="15">
        <f>IF($H301="","",($H301-$F301)*100)</f>
        <v/>
      </c>
      <c r="S301" s="15">
        <f>IF($H301="","",($H301-$G301)*100)</f>
        <v/>
      </c>
    </row>
    <row r="302">
      <c r="A302" s="11" t="n">
        <v>38597</v>
      </c>
      <c r="B302" s="22" t="n">
        <v>0.025</v>
      </c>
      <c r="C302" s="22" t="n">
        <v>0.105</v>
      </c>
      <c r="D302" s="22" t="n">
        <v>0.535</v>
      </c>
      <c r="E302" s="22" t="n">
        <v>1.299</v>
      </c>
      <c r="F302" s="22" t="n">
        <v>1.987</v>
      </c>
      <c r="G302" s="22" t="n">
        <v>2.365</v>
      </c>
      <c r="H302" s="22" t="n"/>
      <c r="I302" s="22" t="n">
        <v>4.26</v>
      </c>
      <c r="J302" s="22" t="n">
        <v>3.67</v>
      </c>
      <c r="K302" s="22" t="n">
        <v>4.03</v>
      </c>
      <c r="L302" s="17">
        <f>$J302-$B302</f>
        <v/>
      </c>
      <c r="M302" s="17">
        <f>$I302-$L302</f>
        <v/>
      </c>
      <c r="N302" s="23">
        <f>($G302-$M302)*100</f>
        <v/>
      </c>
      <c r="O302" s="15">
        <f>($E302-$C302)*100</f>
        <v/>
      </c>
      <c r="P302" s="15">
        <f>($G302-$E302)*100</f>
        <v/>
      </c>
      <c r="Q302" s="15">
        <f>($G302-$C302)*100</f>
        <v/>
      </c>
      <c r="R302" s="15">
        <f>IF($H302="","",($H302-$F302)*100)</f>
        <v/>
      </c>
      <c r="S302" s="15">
        <f>IF($H302="","",($H302-$G302)*100)</f>
        <v/>
      </c>
    </row>
    <row r="303">
      <c r="A303" s="11" t="n">
        <v>38604</v>
      </c>
      <c r="B303" s="22" t="n">
        <v>0.022</v>
      </c>
      <c r="C303" s="22" t="n">
        <v>0.142</v>
      </c>
      <c r="D303" s="22" t="n">
        <v>0.589</v>
      </c>
      <c r="E303" s="22" t="n">
        <v>1.328</v>
      </c>
      <c r="F303" s="22" t="n">
        <v>2.014</v>
      </c>
      <c r="G303" s="22" t="n">
        <v>2.395</v>
      </c>
      <c r="H303" s="22" t="n"/>
      <c r="I303" s="22" t="n">
        <v>4.36</v>
      </c>
      <c r="J303" s="22" t="n">
        <v>3.78</v>
      </c>
      <c r="K303" s="22" t="n">
        <v>4.14</v>
      </c>
      <c r="L303" s="17">
        <f>$J303-$B303</f>
        <v/>
      </c>
      <c r="M303" s="17">
        <f>$I303-$L303</f>
        <v/>
      </c>
      <c r="N303" s="23">
        <f>($G303-$M303)*100</f>
        <v/>
      </c>
      <c r="O303" s="15">
        <f>($E303-$C303)*100</f>
        <v/>
      </c>
      <c r="P303" s="15">
        <f>($G303-$E303)*100</f>
        <v/>
      </c>
      <c r="Q303" s="15">
        <f>($G303-$C303)*100</f>
        <v/>
      </c>
      <c r="R303" s="15">
        <f>IF($H303="","",($H303-$F303)*100)</f>
        <v/>
      </c>
      <c r="S303" s="15">
        <f>IF($H303="","",($H303-$G303)*100)</f>
        <v/>
      </c>
    </row>
    <row r="304">
      <c r="A304" s="11" t="n">
        <v>38611</v>
      </c>
      <c r="B304" s="22" t="n">
        <v>0.029</v>
      </c>
      <c r="C304" s="22" t="n">
        <v>0.164</v>
      </c>
      <c r="D304" s="22" t="n">
        <v>0.624</v>
      </c>
      <c r="E304" s="22" t="n">
        <v>1.346</v>
      </c>
      <c r="F304" s="22" t="n">
        <v>2.013</v>
      </c>
      <c r="G304" s="22" t="n">
        <v>2.393</v>
      </c>
      <c r="H304" s="22" t="n"/>
      <c r="I304" s="22" t="n">
        <v>4.56</v>
      </c>
      <c r="J304" s="22" t="n">
        <v>3.86</v>
      </c>
      <c r="K304" s="22" t="n">
        <v>4.26</v>
      </c>
      <c r="L304" s="17">
        <f>$J304-$B304</f>
        <v/>
      </c>
      <c r="M304" s="17">
        <f>$I304-$L304</f>
        <v/>
      </c>
      <c r="N304" s="23">
        <f>($G304-$M304)*100</f>
        <v/>
      </c>
      <c r="O304" s="15">
        <f>($E304-$C304)*100</f>
        <v/>
      </c>
      <c r="P304" s="15">
        <f>($G304-$E304)*100</f>
        <v/>
      </c>
      <c r="Q304" s="15">
        <f>($G304-$C304)*100</f>
        <v/>
      </c>
      <c r="R304" s="15">
        <f>IF($H304="","",($H304-$F304)*100)</f>
        <v/>
      </c>
      <c r="S304" s="15">
        <f>IF($H304="","",($H304-$G304)*100)</f>
        <v/>
      </c>
    </row>
    <row r="305">
      <c r="A305" s="11" t="n">
        <v>38618</v>
      </c>
      <c r="B305" s="22" t="n">
        <v>0.03</v>
      </c>
      <c r="C305" s="22" t="n">
        <v>0.166</v>
      </c>
      <c r="D305" s="22" t="n">
        <v>0.652</v>
      </c>
      <c r="E305" s="22" t="n">
        <v>1.368</v>
      </c>
      <c r="F305" s="22" t="n">
        <v>2.014</v>
      </c>
      <c r="G305" s="22" t="n">
        <v>2.377</v>
      </c>
      <c r="H305" s="22" t="n"/>
      <c r="I305" s="22" t="n">
        <v>4.47</v>
      </c>
      <c r="J305" s="22" t="n">
        <v>3.89</v>
      </c>
      <c r="K305" s="22" t="n">
        <v>4.25</v>
      </c>
      <c r="L305" s="17">
        <f>$J305-$B305</f>
        <v/>
      </c>
      <c r="M305" s="17">
        <f>$I305-$L305</f>
        <v/>
      </c>
      <c r="N305" s="23">
        <f>($G305-$M305)*100</f>
        <v/>
      </c>
      <c r="O305" s="15">
        <f>($E305-$C305)*100</f>
        <v/>
      </c>
      <c r="P305" s="15">
        <f>($G305-$E305)*100</f>
        <v/>
      </c>
      <c r="Q305" s="15">
        <f>($G305-$C305)*100</f>
        <v/>
      </c>
      <c r="R305" s="15">
        <f>IF($H305="","",($H305-$F305)*100)</f>
        <v/>
      </c>
      <c r="S305" s="15">
        <f>IF($H305="","",($H305-$G305)*100)</f>
        <v/>
      </c>
    </row>
    <row r="306">
      <c r="A306" s="11" t="n">
        <v>38625</v>
      </c>
      <c r="B306" s="22" t="n">
        <v>0.044</v>
      </c>
      <c r="C306" s="22" t="n">
        <v>0.221</v>
      </c>
      <c r="D306" s="22" t="n">
        <v>0.773</v>
      </c>
      <c r="E306" s="22" t="n">
        <v>1.472</v>
      </c>
      <c r="F306" s="22" t="n">
        <v>2.056</v>
      </c>
      <c r="G306" s="22" t="n">
        <v>2.408</v>
      </c>
      <c r="H306" s="22" t="n"/>
      <c r="I306" s="22" t="n">
        <v>4.53</v>
      </c>
      <c r="J306" s="22" t="n">
        <v>4.01</v>
      </c>
      <c r="K306" s="22" t="n">
        <v>4.34</v>
      </c>
      <c r="L306" s="17">
        <f>$J306-$B306</f>
        <v/>
      </c>
      <c r="M306" s="17">
        <f>$I306-$L306</f>
        <v/>
      </c>
      <c r="N306" s="23">
        <f>($G306-$M306)*100</f>
        <v/>
      </c>
      <c r="O306" s="15">
        <f>($E306-$C306)*100</f>
        <v/>
      </c>
      <c r="P306" s="15">
        <f>($G306-$E306)*100</f>
        <v/>
      </c>
      <c r="Q306" s="15">
        <f>($G306-$C306)*100</f>
        <v/>
      </c>
      <c r="R306" s="15">
        <f>IF($H306="","",($H306-$F306)*100)</f>
        <v/>
      </c>
      <c r="S306" s="15">
        <f>IF($H306="","",($H306-$G306)*100)</f>
        <v/>
      </c>
    </row>
    <row r="307">
      <c r="A307" s="11" t="n">
        <v>38632</v>
      </c>
      <c r="B307" s="22" t="n">
        <v>0.053</v>
      </c>
      <c r="C307" s="22" t="n">
        <v>0.217</v>
      </c>
      <c r="D307" s="22" t="n">
        <v>0.792</v>
      </c>
      <c r="E307" s="22" t="n">
        <v>1.512</v>
      </c>
      <c r="F307" s="22" t="n">
        <v>2.077</v>
      </c>
      <c r="G307" s="22" t="n">
        <v>2.423</v>
      </c>
      <c r="H307" s="22" t="n"/>
      <c r="I307" s="22" t="n">
        <v>4.53</v>
      </c>
      <c r="J307" s="22" t="n">
        <v>4.06</v>
      </c>
      <c r="K307" s="22" t="n">
        <v>4.35</v>
      </c>
      <c r="L307" s="17">
        <f>$J307-$B307</f>
        <v/>
      </c>
      <c r="M307" s="17">
        <f>$I307-$L307</f>
        <v/>
      </c>
      <c r="N307" s="23">
        <f>($G307-$M307)*100</f>
        <v/>
      </c>
      <c r="O307" s="15">
        <f>($E307-$C307)*100</f>
        <v/>
      </c>
      <c r="P307" s="15">
        <f>($G307-$E307)*100</f>
        <v/>
      </c>
      <c r="Q307" s="15">
        <f>($G307-$C307)*100</f>
        <v/>
      </c>
      <c r="R307" s="15">
        <f>IF($H307="","",($H307-$F307)*100)</f>
        <v/>
      </c>
      <c r="S307" s="15">
        <f>IF($H307="","",($H307-$G307)*100)</f>
        <v/>
      </c>
    </row>
    <row r="308">
      <c r="A308" s="11" t="n">
        <v>38639</v>
      </c>
      <c r="B308" s="22" t="n">
        <v>0.064</v>
      </c>
      <c r="C308" s="22" t="n">
        <v>0.26</v>
      </c>
      <c r="D308" s="22" t="n">
        <v>0.863</v>
      </c>
      <c r="E308" s="22" t="n">
        <v>1.564</v>
      </c>
      <c r="F308" s="22" t="n">
        <v>2.155</v>
      </c>
      <c r="G308" s="22" t="n">
        <v>2.519</v>
      </c>
      <c r="H308" s="22" t="n"/>
      <c r="I308" s="22" t="n">
        <v>4.67</v>
      </c>
      <c r="J308" s="22" t="n">
        <v>4.15</v>
      </c>
      <c r="K308" s="22" t="n">
        <v>4.48</v>
      </c>
      <c r="L308" s="17">
        <f>$J308-$B308</f>
        <v/>
      </c>
      <c r="M308" s="17">
        <f>$I308-$L308</f>
        <v/>
      </c>
      <c r="N308" s="23">
        <f>($G308-$M308)*100</f>
        <v/>
      </c>
      <c r="O308" s="15">
        <f>($E308-$C308)*100</f>
        <v/>
      </c>
      <c r="P308" s="15">
        <f>($G308-$E308)*100</f>
        <v/>
      </c>
      <c r="Q308" s="15">
        <f>($G308-$C308)*100</f>
        <v/>
      </c>
      <c r="R308" s="15">
        <f>IF($H308="","",($H308-$F308)*100)</f>
        <v/>
      </c>
      <c r="S308" s="15">
        <f>IF($H308="","",($H308-$G308)*100)</f>
        <v/>
      </c>
    </row>
    <row r="309">
      <c r="A309" s="11" t="n">
        <v>38646</v>
      </c>
      <c r="B309" s="22" t="n">
        <v>0.08</v>
      </c>
      <c r="C309" s="22" t="n">
        <v>0.264</v>
      </c>
      <c r="D309" s="22" t="n">
        <v>0.84</v>
      </c>
      <c r="E309" s="22" t="n">
        <v>1.513</v>
      </c>
      <c r="F309" s="22" t="n">
        <v>2.075</v>
      </c>
      <c r="G309" s="22" t="n">
        <v>2.406</v>
      </c>
      <c r="H309" s="22" t="n"/>
      <c r="I309" s="22" t="n">
        <v>4.58</v>
      </c>
      <c r="J309" s="22" t="n">
        <v>4.18</v>
      </c>
      <c r="K309" s="22" t="n">
        <v>4.39</v>
      </c>
      <c r="L309" s="17">
        <f>$J309-$B309</f>
        <v/>
      </c>
      <c r="M309" s="17">
        <f>$I309-$L309</f>
        <v/>
      </c>
      <c r="N309" s="23">
        <f>($G309-$M309)*100</f>
        <v/>
      </c>
      <c r="O309" s="15">
        <f>($E309-$C309)*100</f>
        <v/>
      </c>
      <c r="P309" s="15">
        <f>($G309-$E309)*100</f>
        <v/>
      </c>
      <c r="Q309" s="15">
        <f>($G309-$C309)*100</f>
        <v/>
      </c>
      <c r="R309" s="15">
        <f>IF($H309="","",($H309-$F309)*100)</f>
        <v/>
      </c>
      <c r="S309" s="15">
        <f>IF($H309="","",($H309-$G309)*100)</f>
        <v/>
      </c>
    </row>
    <row r="310">
      <c r="A310" s="11" t="n">
        <v>38653</v>
      </c>
      <c r="B310" s="22" t="n">
        <v>0.101</v>
      </c>
      <c r="C310" s="22" t="n">
        <v>0.262</v>
      </c>
      <c r="D310" s="22" t="n">
        <v>0.8179999999999999</v>
      </c>
      <c r="E310" s="22" t="n">
        <v>1.519</v>
      </c>
      <c r="F310" s="22" t="n">
        <v>2.072</v>
      </c>
      <c r="G310" s="22" t="n">
        <v>2.42</v>
      </c>
      <c r="H310" s="22" t="n"/>
      <c r="I310" s="22" t="n">
        <v>4.74</v>
      </c>
      <c r="J310" s="22" t="n">
        <v>4.28</v>
      </c>
      <c r="K310" s="22" t="n">
        <v>4.58</v>
      </c>
      <c r="L310" s="17">
        <f>$J310-$B310</f>
        <v/>
      </c>
      <c r="M310" s="17">
        <f>$I310-$L310</f>
        <v/>
      </c>
      <c r="N310" s="23">
        <f>($G310-$M310)*100</f>
        <v/>
      </c>
      <c r="O310" s="15">
        <f>($E310-$C310)*100</f>
        <v/>
      </c>
      <c r="P310" s="15">
        <f>($G310-$E310)*100</f>
        <v/>
      </c>
      <c r="Q310" s="15">
        <f>($G310-$C310)*100</f>
        <v/>
      </c>
      <c r="R310" s="15">
        <f>IF($H310="","",($H310-$F310)*100)</f>
        <v/>
      </c>
      <c r="S310" s="15">
        <f>IF($H310="","",($H310-$G310)*100)</f>
        <v/>
      </c>
    </row>
    <row r="311">
      <c r="A311" s="11" t="n">
        <v>38660</v>
      </c>
      <c r="B311" s="22" t="n">
        <v>0.129</v>
      </c>
      <c r="C311" s="22" t="n">
        <v>0.323</v>
      </c>
      <c r="D311" s="22" t="n">
        <v>0.985</v>
      </c>
      <c r="E311" s="22" t="n">
        <v>1.605</v>
      </c>
      <c r="F311" s="22" t="n">
        <v>2.077</v>
      </c>
      <c r="G311" s="22" t="n">
        <v>2.368</v>
      </c>
      <c r="H311" s="22" t="n"/>
      <c r="I311" s="22" t="n">
        <v>4.84</v>
      </c>
      <c r="J311" s="22" t="n">
        <v>4.34</v>
      </c>
      <c r="K311" s="22" t="n">
        <v>4.66</v>
      </c>
      <c r="L311" s="17">
        <f>$J311-$B311</f>
        <v/>
      </c>
      <c r="M311" s="17">
        <f>$I311-$L311</f>
        <v/>
      </c>
      <c r="N311" s="23">
        <f>($G311-$M311)*100</f>
        <v/>
      </c>
      <c r="O311" s="15">
        <f>($E311-$C311)*100</f>
        <v/>
      </c>
      <c r="P311" s="15">
        <f>($G311-$E311)*100</f>
        <v/>
      </c>
      <c r="Q311" s="15">
        <f>($G311-$C311)*100</f>
        <v/>
      </c>
      <c r="R311" s="15">
        <f>IF($H311="","",($H311-$F311)*100)</f>
        <v/>
      </c>
      <c r="S311" s="15">
        <f>IF($H311="","",($H311-$G311)*100)</f>
        <v/>
      </c>
    </row>
    <row r="312">
      <c r="A312" s="11" t="n">
        <v>38667</v>
      </c>
      <c r="B312" s="22" t="n">
        <v>0.12</v>
      </c>
      <c r="C312" s="22" t="n">
        <v>0.288</v>
      </c>
      <c r="D312" s="22" t="n">
        <v>0.91</v>
      </c>
      <c r="E312" s="22" t="n">
        <v>1.57</v>
      </c>
      <c r="F312" s="22" t="n">
        <v>2.075</v>
      </c>
      <c r="G312" s="22" t="n">
        <v>2.41</v>
      </c>
      <c r="H312" s="22" t="n"/>
      <c r="I312" s="22" t="n">
        <v>4.74</v>
      </c>
      <c r="J312" s="22" t="n">
        <v>4.34</v>
      </c>
      <c r="K312" s="22" t="n">
        <v>4.55</v>
      </c>
      <c r="L312" s="17">
        <f>$J312-$B312</f>
        <v/>
      </c>
      <c r="M312" s="17">
        <f>$I312-$L312</f>
        <v/>
      </c>
      <c r="N312" s="23">
        <f>($G312-$M312)*100</f>
        <v/>
      </c>
      <c r="O312" s="15">
        <f>($E312-$C312)*100</f>
        <v/>
      </c>
      <c r="P312" s="15">
        <f>($G312-$E312)*100</f>
        <v/>
      </c>
      <c r="Q312" s="15">
        <f>($G312-$C312)*100</f>
        <v/>
      </c>
      <c r="R312" s="15">
        <f>IF($H312="","",($H312-$F312)*100)</f>
        <v/>
      </c>
      <c r="S312" s="15">
        <f>IF($H312="","",($H312-$G312)*100)</f>
        <v/>
      </c>
    </row>
    <row r="313">
      <c r="A313" s="11" t="n">
        <v>38674</v>
      </c>
      <c r="B313" s="22" t="n">
        <v>0.09</v>
      </c>
      <c r="C313" s="22" t="n">
        <v>0.246</v>
      </c>
      <c r="D313" s="22" t="n">
        <v>0.793</v>
      </c>
      <c r="E313" s="22" t="n">
        <v>1.469</v>
      </c>
      <c r="F313" s="22" t="n">
        <v>2.039</v>
      </c>
      <c r="G313" s="22" t="n">
        <v>2.388</v>
      </c>
      <c r="H313" s="22" t="n"/>
      <c r="I313" s="22" t="n">
        <v>4.68</v>
      </c>
      <c r="J313" s="22" t="n">
        <v>4.34</v>
      </c>
      <c r="K313" s="22" t="n">
        <v>4.5</v>
      </c>
      <c r="L313" s="17">
        <f>$J313-$B313</f>
        <v/>
      </c>
      <c r="M313" s="17">
        <f>$I313-$L313</f>
        <v/>
      </c>
      <c r="N313" s="23">
        <f>($G313-$M313)*100</f>
        <v/>
      </c>
      <c r="O313" s="15">
        <f>($E313-$C313)*100</f>
        <v/>
      </c>
      <c r="P313" s="15">
        <f>($G313-$E313)*100</f>
        <v/>
      </c>
      <c r="Q313" s="15">
        <f>($G313-$C313)*100</f>
        <v/>
      </c>
      <c r="R313" s="15">
        <f>IF($H313="","",($H313-$F313)*100)</f>
        <v/>
      </c>
      <c r="S313" s="15">
        <f>IF($H313="","",($H313-$G313)*100)</f>
        <v/>
      </c>
    </row>
    <row r="314">
      <c r="A314" s="11" t="n">
        <v>38681</v>
      </c>
      <c r="B314" s="22" t="n">
        <v>0.08</v>
      </c>
      <c r="C314" s="22" t="n">
        <v>0.229</v>
      </c>
      <c r="D314" s="22" t="n">
        <v>0.779</v>
      </c>
      <c r="E314" s="22" t="n">
        <v>1.453</v>
      </c>
      <c r="F314" s="22" t="n">
        <v>2.009</v>
      </c>
      <c r="G314" s="22" t="n">
        <v>2.375</v>
      </c>
      <c r="H314" s="22" t="n"/>
      <c r="I314" s="22" t="n">
        <v>4.66</v>
      </c>
      <c r="J314" s="22" t="n">
        <v>4.29</v>
      </c>
      <c r="K314" s="22" t="n">
        <v>4.43</v>
      </c>
      <c r="L314" s="17">
        <f>$J314-$B314</f>
        <v/>
      </c>
      <c r="M314" s="17">
        <f>$I314-$L314</f>
        <v/>
      </c>
      <c r="N314" s="23">
        <f>($G314-$M314)*100</f>
        <v/>
      </c>
      <c r="O314" s="15">
        <f>($E314-$C314)*100</f>
        <v/>
      </c>
      <c r="P314" s="15">
        <f>($G314-$E314)*100</f>
        <v/>
      </c>
      <c r="Q314" s="15">
        <f>($G314-$C314)*100</f>
        <v/>
      </c>
      <c r="R314" s="15">
        <f>IF($H314="","",($H314-$F314)*100)</f>
        <v/>
      </c>
      <c r="S314" s="15">
        <f>IF($H314="","",($H314-$G314)*100)</f>
        <v/>
      </c>
    </row>
    <row r="315">
      <c r="A315" s="11" t="n">
        <v>38688</v>
      </c>
      <c r="B315" s="22" t="n">
        <v>0.083</v>
      </c>
      <c r="C315" s="22" t="n">
        <v>0.242</v>
      </c>
      <c r="D315" s="22" t="n">
        <v>0.825</v>
      </c>
      <c r="E315" s="22" t="n">
        <v>1.491</v>
      </c>
      <c r="F315" s="22" t="n">
        <v>2.037</v>
      </c>
      <c r="G315" s="22" t="n">
        <v>2.406</v>
      </c>
      <c r="H315" s="22" t="n"/>
      <c r="I315" s="22" t="n">
        <v>4.68</v>
      </c>
      <c r="J315" s="22" t="n">
        <v>4.35</v>
      </c>
      <c r="K315" s="22" t="n">
        <v>4.52</v>
      </c>
      <c r="L315" s="17">
        <f>$J315-$B315</f>
        <v/>
      </c>
      <c r="M315" s="17">
        <f>$I315-$L315</f>
        <v/>
      </c>
      <c r="N315" s="23">
        <f>($G315-$M315)*100</f>
        <v/>
      </c>
      <c r="O315" s="15">
        <f>($E315-$C315)*100</f>
        <v/>
      </c>
      <c r="P315" s="15">
        <f>($G315-$E315)*100</f>
        <v/>
      </c>
      <c r="Q315" s="15">
        <f>($G315-$C315)*100</f>
        <v/>
      </c>
      <c r="R315" s="15">
        <f>IF($H315="","",($H315-$F315)*100)</f>
        <v/>
      </c>
      <c r="S315" s="15">
        <f>IF($H315="","",($H315-$G315)*100)</f>
        <v/>
      </c>
    </row>
    <row r="316">
      <c r="A316" s="11" t="n">
        <v>38695</v>
      </c>
      <c r="B316" s="22" t="n">
        <v>0.08599999999999999</v>
      </c>
      <c r="C316" s="22" t="n">
        <v>0.251</v>
      </c>
      <c r="D316" s="22" t="n">
        <v>0.858</v>
      </c>
      <c r="E316" s="22" t="n">
        <v>1.538</v>
      </c>
      <c r="F316" s="22" t="n">
        <v>2.09</v>
      </c>
      <c r="G316" s="22" t="n">
        <v>2.42</v>
      </c>
      <c r="H316" s="22" t="n"/>
      <c r="I316" s="22" t="n">
        <v>4.72</v>
      </c>
      <c r="J316" s="22" t="n">
        <v>4.33</v>
      </c>
      <c r="K316" s="22" t="n">
        <v>4.54</v>
      </c>
      <c r="L316" s="17">
        <f>$J316-$B316</f>
        <v/>
      </c>
      <c r="M316" s="17">
        <f>$I316-$L316</f>
        <v/>
      </c>
      <c r="N316" s="23">
        <f>($G316-$M316)*100</f>
        <v/>
      </c>
      <c r="O316" s="15">
        <f>($E316-$C316)*100</f>
        <v/>
      </c>
      <c r="P316" s="15">
        <f>($G316-$E316)*100</f>
        <v/>
      </c>
      <c r="Q316" s="15">
        <f>($G316-$C316)*100</f>
        <v/>
      </c>
      <c r="R316" s="15">
        <f>IF($H316="","",($H316-$F316)*100)</f>
        <v/>
      </c>
      <c r="S316" s="15">
        <f>IF($H316="","",($H316-$G316)*100)</f>
        <v/>
      </c>
    </row>
    <row r="317">
      <c r="A317" s="11" t="n">
        <v>38702</v>
      </c>
      <c r="B317" s="22" t="n">
        <v>0.08699999999999999</v>
      </c>
      <c r="C317" s="22" t="n">
        <v>0.251</v>
      </c>
      <c r="D317" s="22" t="n">
        <v>0.857</v>
      </c>
      <c r="E317" s="22" t="n">
        <v>1.514</v>
      </c>
      <c r="F317" s="22" t="n">
        <v>2.044</v>
      </c>
      <c r="G317" s="22" t="n">
        <v>2.396</v>
      </c>
      <c r="H317" s="22" t="n"/>
      <c r="I317" s="22" t="n">
        <v>4.63</v>
      </c>
      <c r="J317" s="22" t="n">
        <v>4.32</v>
      </c>
      <c r="K317" s="22" t="n">
        <v>4.45</v>
      </c>
      <c r="L317" s="17">
        <f>$J317-$B317</f>
        <v/>
      </c>
      <c r="M317" s="17">
        <f>$I317-$L317</f>
        <v/>
      </c>
      <c r="N317" s="23">
        <f>($G317-$M317)*100</f>
        <v/>
      </c>
      <c r="O317" s="15">
        <f>($E317-$C317)*100</f>
        <v/>
      </c>
      <c r="P317" s="15">
        <f>($G317-$E317)*100</f>
        <v/>
      </c>
      <c r="Q317" s="15">
        <f>($G317-$C317)*100</f>
        <v/>
      </c>
      <c r="R317" s="15">
        <f>IF($H317="","",($H317-$F317)*100)</f>
        <v/>
      </c>
      <c r="S317" s="15">
        <f>IF($H317="","",($H317-$G317)*100)</f>
        <v/>
      </c>
    </row>
    <row r="318">
      <c r="A318" s="11" t="n">
        <v>38709</v>
      </c>
      <c r="B318" s="22" t="n">
        <v>0.091</v>
      </c>
      <c r="C318" s="22" t="n">
        <v>0.275</v>
      </c>
      <c r="D318" s="22" t="n">
        <v>0.906</v>
      </c>
      <c r="E318" s="22" t="n">
        <v>1.546</v>
      </c>
      <c r="F318" s="22" t="n">
        <v>2.044</v>
      </c>
      <c r="G318" s="22" t="n">
        <v>2.388</v>
      </c>
      <c r="H318" s="22" t="n"/>
      <c r="I318" s="22" t="n">
        <v>4.52</v>
      </c>
      <c r="J318" s="22" t="n">
        <v>4.33</v>
      </c>
      <c r="K318" s="22" t="n">
        <v>4.38</v>
      </c>
      <c r="L318" s="17">
        <f>$J318-$B318</f>
        <v/>
      </c>
      <c r="M318" s="17">
        <f>$I318-$L318</f>
        <v/>
      </c>
      <c r="N318" s="23">
        <f>($G318-$M318)*100</f>
        <v/>
      </c>
      <c r="O318" s="15">
        <f>($E318-$C318)*100</f>
        <v/>
      </c>
      <c r="P318" s="15">
        <f>($G318-$E318)*100</f>
        <v/>
      </c>
      <c r="Q318" s="15">
        <f>($G318-$C318)*100</f>
        <v/>
      </c>
      <c r="R318" s="15">
        <f>IF($H318="","",($H318-$F318)*100)</f>
        <v/>
      </c>
      <c r="S318" s="15">
        <f>IF($H318="","",($H318-$G318)*100)</f>
        <v/>
      </c>
    </row>
    <row r="319">
      <c r="A319" s="11" t="n">
        <v>38716</v>
      </c>
      <c r="B319" s="22" t="n">
        <v>0.09</v>
      </c>
      <c r="C319" s="22" t="n">
        <v>0.281</v>
      </c>
      <c r="D319" s="22" t="n">
        <v>0.854</v>
      </c>
      <c r="E319" s="22" t="n">
        <v>1.473</v>
      </c>
      <c r="F319" s="22" t="n">
        <v>1.989</v>
      </c>
      <c r="G319" s="22" t="n">
        <v>2.306</v>
      </c>
      <c r="H319" s="22" t="n"/>
      <c r="I319" s="22" t="n">
        <v>4.51</v>
      </c>
      <c r="J319" s="22" t="n">
        <v>4.38</v>
      </c>
      <c r="K319" s="22" t="n">
        <v>4.39</v>
      </c>
      <c r="L319" s="17">
        <f>$J319-$B319</f>
        <v/>
      </c>
      <c r="M319" s="17">
        <f>$I319-$L319</f>
        <v/>
      </c>
      <c r="N319" s="23">
        <f>($G319-$M319)*100</f>
        <v/>
      </c>
      <c r="O319" s="15">
        <f>($E319-$C319)*100</f>
        <v/>
      </c>
      <c r="P319" s="15">
        <f>($G319-$E319)*100</f>
        <v/>
      </c>
      <c r="Q319" s="15">
        <f>($G319-$C319)*100</f>
        <v/>
      </c>
      <c r="R319" s="15">
        <f>IF($H319="","",($H319-$F319)*100)</f>
        <v/>
      </c>
      <c r="S319" s="15">
        <f>IF($H319="","",($H319-$G319)*100)</f>
        <v/>
      </c>
    </row>
    <row r="320">
      <c r="A320" s="11" t="n">
        <v>38723</v>
      </c>
      <c r="B320" s="22" t="n">
        <v>0.09</v>
      </c>
      <c r="C320" s="22" t="n">
        <v>0.27</v>
      </c>
      <c r="D320" s="22" t="n">
        <v>0.8090000000000001</v>
      </c>
      <c r="E320" s="22" t="n">
        <v>1.445</v>
      </c>
      <c r="F320" s="22" t="n">
        <v>1.992</v>
      </c>
      <c r="G320" s="22" t="n">
        <v>2.315</v>
      </c>
      <c r="H320" s="22" t="n"/>
      <c r="I320" s="22" t="n">
        <v>4.53</v>
      </c>
      <c r="J320" s="22" t="n">
        <v>4.38</v>
      </c>
      <c r="K320" s="22" t="n">
        <v>4.38</v>
      </c>
      <c r="L320" s="17">
        <f>$J320-$B320</f>
        <v/>
      </c>
      <c r="M320" s="17">
        <f>$I320-$L320</f>
        <v/>
      </c>
      <c r="N320" s="23">
        <f>($G320-$M320)*100</f>
        <v/>
      </c>
      <c r="O320" s="15">
        <f>($E320-$C320)*100</f>
        <v/>
      </c>
      <c r="P320" s="15">
        <f>($G320-$E320)*100</f>
        <v/>
      </c>
      <c r="Q320" s="15">
        <f>($G320-$C320)*100</f>
        <v/>
      </c>
      <c r="R320" s="15">
        <f>IF($H320="","",($H320-$F320)*100)</f>
        <v/>
      </c>
      <c r="S320" s="15">
        <f>IF($H320="","",($H320-$G320)*100)</f>
        <v/>
      </c>
    </row>
    <row r="321">
      <c r="A321" s="11" t="n">
        <v>38730</v>
      </c>
      <c r="B321" s="22" t="n">
        <v>0.08</v>
      </c>
      <c r="C321" s="22" t="n">
        <v>0.258</v>
      </c>
      <c r="D321" s="22" t="n">
        <v>0.831</v>
      </c>
      <c r="E321" s="22" t="n">
        <v>1.441</v>
      </c>
      <c r="F321" s="22" t="n">
        <v>1.958</v>
      </c>
      <c r="G321" s="22" t="n">
        <v>2.302</v>
      </c>
      <c r="H321" s="22" t="n"/>
      <c r="I321" s="22" t="n">
        <v>4.49</v>
      </c>
      <c r="J321" s="22" t="n">
        <v>4.4</v>
      </c>
      <c r="K321" s="22" t="n">
        <v>4.36</v>
      </c>
      <c r="L321" s="17">
        <f>$J321-$B321</f>
        <v/>
      </c>
      <c r="M321" s="17">
        <f>$I321-$L321</f>
        <v/>
      </c>
      <c r="N321" s="23">
        <f>($G321-$M321)*100</f>
        <v/>
      </c>
      <c r="O321" s="15">
        <f>($E321-$C321)*100</f>
        <v/>
      </c>
      <c r="P321" s="15">
        <f>($G321-$E321)*100</f>
        <v/>
      </c>
      <c r="Q321" s="15">
        <f>($G321-$C321)*100</f>
        <v/>
      </c>
      <c r="R321" s="15">
        <f>IF($H321="","",($H321-$F321)*100)</f>
        <v/>
      </c>
      <c r="S321" s="15">
        <f>IF($H321="","",($H321-$G321)*100)</f>
        <v/>
      </c>
    </row>
    <row r="322">
      <c r="A322" s="11" t="n">
        <v>38737</v>
      </c>
      <c r="B322" s="22" t="n">
        <v>0.08</v>
      </c>
      <c r="C322" s="22" t="n">
        <v>0.252</v>
      </c>
      <c r="D322" s="22" t="n">
        <v>0.826</v>
      </c>
      <c r="E322" s="22" t="n">
        <v>1.471</v>
      </c>
      <c r="F322" s="22" t="n">
        <v>2.014</v>
      </c>
      <c r="G322" s="22" t="n">
        <v>2.348</v>
      </c>
      <c r="H322" s="22" t="n"/>
      <c r="I322" s="22" t="n">
        <v>4.54</v>
      </c>
      <c r="J322" s="22" t="n">
        <v>4.44</v>
      </c>
      <c r="K322" s="22" t="n">
        <v>4.37</v>
      </c>
      <c r="L322" s="17">
        <f>$J322-$B322</f>
        <v/>
      </c>
      <c r="M322" s="17">
        <f>$I322-$L322</f>
        <v/>
      </c>
      <c r="N322" s="23">
        <f>($G322-$M322)*100</f>
        <v/>
      </c>
      <c r="O322" s="15">
        <f>($E322-$C322)*100</f>
        <v/>
      </c>
      <c r="P322" s="15">
        <f>($G322-$E322)*100</f>
        <v/>
      </c>
      <c r="Q322" s="15">
        <f>($G322-$C322)*100</f>
        <v/>
      </c>
      <c r="R322" s="15">
        <f>IF($H322="","",($H322-$F322)*100)</f>
        <v/>
      </c>
      <c r="S322" s="15">
        <f>IF($H322="","",($H322-$G322)*100)</f>
        <v/>
      </c>
    </row>
    <row r="323">
      <c r="A323" s="11" t="n">
        <v>38744</v>
      </c>
      <c r="B323" s="22" t="n">
        <v>0.094</v>
      </c>
      <c r="C323" s="22" t="n">
        <v>0.296</v>
      </c>
      <c r="D323" s="22" t="n">
        <v>0.897</v>
      </c>
      <c r="E323" s="22" t="n">
        <v>1.536</v>
      </c>
      <c r="F323" s="22" t="n">
        <v>2.043</v>
      </c>
      <c r="G323" s="22" t="n">
        <v>2.371</v>
      </c>
      <c r="H323" s="22" t="n"/>
      <c r="I323" s="22" t="n">
        <v>4.7</v>
      </c>
      <c r="J323" s="22" t="n">
        <v>4.54</v>
      </c>
      <c r="K323" s="22" t="n">
        <v>4.52</v>
      </c>
      <c r="L323" s="17">
        <f>$J323-$B323</f>
        <v/>
      </c>
      <c r="M323" s="17">
        <f>$I323-$L323</f>
        <v/>
      </c>
      <c r="N323" s="23">
        <f>($G323-$M323)*100</f>
        <v/>
      </c>
      <c r="O323" s="15">
        <f>($E323-$C323)*100</f>
        <v/>
      </c>
      <c r="P323" s="15">
        <f>($G323-$E323)*100</f>
        <v/>
      </c>
      <c r="Q323" s="15">
        <f>($G323-$C323)*100</f>
        <v/>
      </c>
      <c r="R323" s="15">
        <f>IF($H323="","",($H323-$F323)*100)</f>
        <v/>
      </c>
      <c r="S323" s="15">
        <f>IF($H323="","",($H323-$G323)*100)</f>
        <v/>
      </c>
    </row>
    <row r="324">
      <c r="A324" s="11" t="n">
        <v>38751</v>
      </c>
      <c r="B324" s="22" t="n">
        <v>0.098</v>
      </c>
      <c r="C324" s="22" t="n">
        <v>0.309</v>
      </c>
      <c r="D324" s="22" t="n">
        <v>0.964</v>
      </c>
      <c r="E324" s="22" t="n">
        <v>1.582</v>
      </c>
      <c r="F324" s="22" t="n">
        <v>2.065</v>
      </c>
      <c r="G324" s="22" t="n">
        <v>2.374</v>
      </c>
      <c r="H324" s="22" t="n"/>
      <c r="I324" s="22" t="n">
        <v>4.64</v>
      </c>
      <c r="J324" s="22" t="n">
        <v>4.62</v>
      </c>
      <c r="K324" s="22" t="n">
        <v>4.54</v>
      </c>
      <c r="L324" s="17">
        <f>$J324-$B324</f>
        <v/>
      </c>
      <c r="M324" s="17">
        <f>$I324-$L324</f>
        <v/>
      </c>
      <c r="N324" s="23">
        <f>($G324-$M324)*100</f>
        <v/>
      </c>
      <c r="O324" s="15">
        <f>($E324-$C324)*100</f>
        <v/>
      </c>
      <c r="P324" s="15">
        <f>($G324-$E324)*100</f>
        <v/>
      </c>
      <c r="Q324" s="15">
        <f>($G324-$C324)*100</f>
        <v/>
      </c>
      <c r="R324" s="15">
        <f>IF($H324="","",($H324-$F324)*100)</f>
        <v/>
      </c>
      <c r="S324" s="15">
        <f>IF($H324="","",($H324-$G324)*100)</f>
        <v/>
      </c>
    </row>
    <row r="325">
      <c r="A325" s="11" t="n">
        <v>38758</v>
      </c>
      <c r="B325" s="22" t="n">
        <v>0.12</v>
      </c>
      <c r="C325" s="22" t="n">
        <v>0.361</v>
      </c>
      <c r="D325" s="22" t="n">
        <v>1.041</v>
      </c>
      <c r="E325" s="22" t="n">
        <v>1.597</v>
      </c>
      <c r="F325" s="22" t="n">
        <v>2.061</v>
      </c>
      <c r="G325" s="22" t="n">
        <v>2.341</v>
      </c>
      <c r="H325" s="22" t="n"/>
      <c r="I325" s="22" t="n">
        <v>4.55</v>
      </c>
      <c r="J325" s="22" t="n">
        <v>4.7</v>
      </c>
      <c r="K325" s="22" t="n">
        <v>4.59</v>
      </c>
      <c r="L325" s="17">
        <f>$J325-$B325</f>
        <v/>
      </c>
      <c r="M325" s="17">
        <f>$I325-$L325</f>
        <v/>
      </c>
      <c r="N325" s="23">
        <f>($G325-$M325)*100</f>
        <v/>
      </c>
      <c r="O325" s="15">
        <f>($E325-$C325)*100</f>
        <v/>
      </c>
      <c r="P325" s="15">
        <f>($G325-$E325)*100</f>
        <v/>
      </c>
      <c r="Q325" s="15">
        <f>($G325-$C325)*100</f>
        <v/>
      </c>
      <c r="R325" s="15">
        <f>IF($H325="","",($H325-$F325)*100)</f>
        <v/>
      </c>
      <c r="S325" s="15">
        <f>IF($H325="","",($H325-$G325)*100)</f>
        <v/>
      </c>
    </row>
    <row r="326">
      <c r="A326" s="11" t="n">
        <v>38765</v>
      </c>
      <c r="B326" s="22" t="n">
        <v>0.157</v>
      </c>
      <c r="C326" s="22" t="n">
        <v>0.422</v>
      </c>
      <c r="D326" s="22" t="n">
        <v>1.042</v>
      </c>
      <c r="E326" s="22" t="n">
        <v>1.53</v>
      </c>
      <c r="F326" s="22" t="n">
        <v>1.946</v>
      </c>
      <c r="G326" s="22" t="n">
        <v>2.171</v>
      </c>
      <c r="H326" s="22" t="n"/>
      <c r="I326" s="22" t="n">
        <v>4.51</v>
      </c>
      <c r="J326" s="22" t="n">
        <v>4.68</v>
      </c>
      <c r="K326" s="22" t="n">
        <v>4.54</v>
      </c>
      <c r="L326" s="17">
        <f>$J326-$B326</f>
        <v/>
      </c>
      <c r="M326" s="17">
        <f>$I326-$L326</f>
        <v/>
      </c>
      <c r="N326" s="23">
        <f>($G326-$M326)*100</f>
        <v/>
      </c>
      <c r="O326" s="15">
        <f>($E326-$C326)*100</f>
        <v/>
      </c>
      <c r="P326" s="15">
        <f>($G326-$E326)*100</f>
        <v/>
      </c>
      <c r="Q326" s="15">
        <f>($G326-$C326)*100</f>
        <v/>
      </c>
      <c r="R326" s="15">
        <f>IF($H326="","",($H326-$F326)*100)</f>
        <v/>
      </c>
      <c r="S326" s="15">
        <f>IF($H326="","",($H326-$G326)*100)</f>
        <v/>
      </c>
    </row>
    <row r="327">
      <c r="A327" s="11" t="n">
        <v>38772</v>
      </c>
      <c r="B327" s="22" t="n">
        <v>0.176</v>
      </c>
      <c r="C327" s="22" t="n">
        <v>0.479</v>
      </c>
      <c r="D327" s="22" t="n">
        <v>1.122</v>
      </c>
      <c r="E327" s="22" t="n">
        <v>1.6</v>
      </c>
      <c r="F327" s="22" t="n">
        <v>2.009</v>
      </c>
      <c r="G327" s="22" t="n">
        <v>2.248</v>
      </c>
      <c r="H327" s="22" t="n"/>
      <c r="I327" s="22" t="n">
        <v>4.52</v>
      </c>
      <c r="J327" s="22" t="n">
        <v>4.73</v>
      </c>
      <c r="K327" s="22" t="n">
        <v>4.58</v>
      </c>
      <c r="L327" s="17">
        <f>$J327-$B327</f>
        <v/>
      </c>
      <c r="M327" s="17">
        <f>$I327-$L327</f>
        <v/>
      </c>
      <c r="N327" s="23">
        <f>($G327-$M327)*100</f>
        <v/>
      </c>
      <c r="O327" s="15">
        <f>($E327-$C327)*100</f>
        <v/>
      </c>
      <c r="P327" s="15">
        <f>($G327-$E327)*100</f>
        <v/>
      </c>
      <c r="Q327" s="15">
        <f>($G327-$C327)*100</f>
        <v/>
      </c>
      <c r="R327" s="15">
        <f>IF($H327="","",($H327-$F327)*100)</f>
        <v/>
      </c>
      <c r="S327" s="15">
        <f>IF($H327="","",($H327-$G327)*100)</f>
        <v/>
      </c>
    </row>
    <row r="328">
      <c r="A328" s="11" t="n">
        <v>38779</v>
      </c>
      <c r="B328" s="22" t="n">
        <v>0.189</v>
      </c>
      <c r="C328" s="22" t="n">
        <v>0.492</v>
      </c>
      <c r="D328" s="22" t="n">
        <v>1.098</v>
      </c>
      <c r="E328" s="22" t="n">
        <v>1.603</v>
      </c>
      <c r="F328" s="22" t="n">
        <v>2.009</v>
      </c>
      <c r="G328" s="22" t="n">
        <v>2.264</v>
      </c>
      <c r="H328" s="22" t="n"/>
      <c r="I328" s="22" t="n">
        <v>4.66</v>
      </c>
      <c r="J328" s="22" t="n">
        <v>4.75</v>
      </c>
      <c r="K328" s="22" t="n">
        <v>4.68</v>
      </c>
      <c r="L328" s="17">
        <f>$J328-$B328</f>
        <v/>
      </c>
      <c r="M328" s="17">
        <f>$I328-$L328</f>
        <v/>
      </c>
      <c r="N328" s="23">
        <f>($G328-$M328)*100</f>
        <v/>
      </c>
      <c r="O328" s="15">
        <f>($E328-$C328)*100</f>
        <v/>
      </c>
      <c r="P328" s="15">
        <f>($G328-$E328)*100</f>
        <v/>
      </c>
      <c r="Q328" s="15">
        <f>($G328-$C328)*100</f>
        <v/>
      </c>
      <c r="R328" s="15">
        <f>IF($H328="","",($H328-$F328)*100)</f>
        <v/>
      </c>
      <c r="S328" s="15">
        <f>IF($H328="","",($H328-$G328)*100)</f>
        <v/>
      </c>
    </row>
    <row r="329">
      <c r="A329" s="11" t="n">
        <v>38786</v>
      </c>
      <c r="B329" s="22" t="n">
        <v>0.202</v>
      </c>
      <c r="C329" s="22" t="n">
        <v>0.471</v>
      </c>
      <c r="D329" s="22" t="n">
        <v>1.106</v>
      </c>
      <c r="E329" s="22" t="n">
        <v>1.644</v>
      </c>
      <c r="F329" s="22" t="n">
        <v>2.035</v>
      </c>
      <c r="G329" s="22" t="n">
        <v>2.275</v>
      </c>
      <c r="H329" s="22" t="n"/>
      <c r="I329" s="22" t="n">
        <v>4.74</v>
      </c>
      <c r="J329" s="22" t="n">
        <v>4.77</v>
      </c>
      <c r="K329" s="22" t="n">
        <v>4.76</v>
      </c>
      <c r="L329" s="17">
        <f>$J329-$B329</f>
        <v/>
      </c>
      <c r="M329" s="17">
        <f>$I329-$L329</f>
        <v/>
      </c>
      <c r="N329" s="23">
        <f>($G329-$M329)*100</f>
        <v/>
      </c>
      <c r="O329" s="15">
        <f>($E329-$C329)*100</f>
        <v/>
      </c>
      <c r="P329" s="15">
        <f>($G329-$E329)*100</f>
        <v/>
      </c>
      <c r="Q329" s="15">
        <f>($G329-$C329)*100</f>
        <v/>
      </c>
      <c r="R329" s="15">
        <f>IF($H329="","",($H329-$F329)*100)</f>
        <v/>
      </c>
      <c r="S329" s="15">
        <f>IF($H329="","",($H329-$G329)*100)</f>
        <v/>
      </c>
    </row>
    <row r="330">
      <c r="A330" s="11" t="n">
        <v>38793</v>
      </c>
      <c r="B330" s="22" t="n">
        <v>0.245</v>
      </c>
      <c r="C330" s="22" t="n">
        <v>0.547</v>
      </c>
      <c r="D330" s="22" t="n">
        <v>1.184</v>
      </c>
      <c r="E330" s="22" t="n">
        <v>1.702</v>
      </c>
      <c r="F330" s="22" t="n">
        <v>2.087</v>
      </c>
      <c r="G330" s="22" t="n">
        <v>2.311</v>
      </c>
      <c r="H330" s="22" t="n"/>
      <c r="I330" s="22" t="n">
        <v>4.72</v>
      </c>
      <c r="J330" s="22" t="n">
        <v>4.74</v>
      </c>
      <c r="K330" s="22" t="n">
        <v>4.68</v>
      </c>
      <c r="L330" s="17">
        <f>$J330-$B330</f>
        <v/>
      </c>
      <c r="M330" s="17">
        <f>$I330-$L330</f>
        <v/>
      </c>
      <c r="N330" s="23">
        <f>($G330-$M330)*100</f>
        <v/>
      </c>
      <c r="O330" s="15">
        <f>($E330-$C330)*100</f>
        <v/>
      </c>
      <c r="P330" s="15">
        <f>($G330-$E330)*100</f>
        <v/>
      </c>
      <c r="Q330" s="15">
        <f>($G330-$C330)*100</f>
        <v/>
      </c>
      <c r="R330" s="15">
        <f>IF($H330="","",($H330-$F330)*100)</f>
        <v/>
      </c>
      <c r="S330" s="15">
        <f>IF($H330="","",($H330-$G330)*100)</f>
        <v/>
      </c>
    </row>
    <row r="331">
      <c r="A331" s="11" t="n">
        <v>38800</v>
      </c>
      <c r="B331" s="22" t="n">
        <v>0.258</v>
      </c>
      <c r="C331" s="22" t="n">
        <v>0.588</v>
      </c>
      <c r="D331" s="22" t="n">
        <v>1.23</v>
      </c>
      <c r="E331" s="22" t="n">
        <v>1.718</v>
      </c>
      <c r="F331" s="22" t="n">
        <v>2.04</v>
      </c>
      <c r="G331" s="22" t="n">
        <v>2.253</v>
      </c>
      <c r="H331" s="22" t="n"/>
      <c r="I331" s="22" t="n">
        <v>4.7</v>
      </c>
      <c r="J331" s="22" t="n">
        <v>4.76</v>
      </c>
      <c r="K331" s="22" t="n">
        <v>4.67</v>
      </c>
      <c r="L331" s="17">
        <f>$J331-$B331</f>
        <v/>
      </c>
      <c r="M331" s="17">
        <f>$I331-$L331</f>
        <v/>
      </c>
      <c r="N331" s="23">
        <f>($G331-$M331)*100</f>
        <v/>
      </c>
      <c r="O331" s="15">
        <f>($E331-$C331)*100</f>
        <v/>
      </c>
      <c r="P331" s="15">
        <f>($G331-$E331)*100</f>
        <v/>
      </c>
      <c r="Q331" s="15">
        <f>($G331-$C331)*100</f>
        <v/>
      </c>
      <c r="R331" s="15">
        <f>IF($H331="","",($H331-$F331)*100)</f>
        <v/>
      </c>
      <c r="S331" s="15">
        <f>IF($H331="","",($H331-$G331)*100)</f>
        <v/>
      </c>
    </row>
    <row r="332">
      <c r="A332" s="11" t="n">
        <v>38807</v>
      </c>
      <c r="B332" s="22" t="n">
        <v>0.301</v>
      </c>
      <c r="C332" s="22" t="n">
        <v>0.667</v>
      </c>
      <c r="D332" s="22" t="n">
        <v>1.303</v>
      </c>
      <c r="E332" s="22" t="n">
        <v>1.754</v>
      </c>
      <c r="F332" s="22" t="n">
        <v>2.048</v>
      </c>
      <c r="G332" s="22" t="n">
        <v>2.247</v>
      </c>
      <c r="H332" s="22" t="n"/>
      <c r="I332" s="22" t="n">
        <v>4.9</v>
      </c>
      <c r="J332" s="22" t="n">
        <v>4.82</v>
      </c>
      <c r="K332" s="22" t="n">
        <v>4.86</v>
      </c>
      <c r="L332" s="17">
        <f>$J332-$B332</f>
        <v/>
      </c>
      <c r="M332" s="17">
        <f>$I332-$L332</f>
        <v/>
      </c>
      <c r="N332" s="23">
        <f>($G332-$M332)*100</f>
        <v/>
      </c>
      <c r="O332" s="15">
        <f>($E332-$C332)*100</f>
        <v/>
      </c>
      <c r="P332" s="15">
        <f>($G332-$E332)*100</f>
        <v/>
      </c>
      <c r="Q332" s="15">
        <f>($G332-$C332)*100</f>
        <v/>
      </c>
      <c r="R332" s="15">
        <f>IF($H332="","",($H332-$F332)*100)</f>
        <v/>
      </c>
      <c r="S332" s="15">
        <f>IF($H332="","",($H332-$G332)*100)</f>
        <v/>
      </c>
    </row>
    <row r="333">
      <c r="A333" s="11" t="n">
        <v>38814</v>
      </c>
      <c r="B333" s="22" t="n">
        <v>0.316</v>
      </c>
      <c r="C333" s="22" t="n">
        <v>0.667</v>
      </c>
      <c r="D333" s="22" t="n">
        <v>1.385</v>
      </c>
      <c r="E333" s="22" t="n">
        <v>1.867</v>
      </c>
      <c r="F333" s="22" t="n">
        <v>2.201</v>
      </c>
      <c r="G333" s="22" t="n">
        <v>2.425</v>
      </c>
      <c r="H333" s="22" t="n"/>
      <c r="I333" s="22" t="n">
        <v>5.04</v>
      </c>
      <c r="J333" s="22" t="n">
        <v>4.86</v>
      </c>
      <c r="K333" s="22" t="n">
        <v>4.97</v>
      </c>
      <c r="L333" s="17">
        <f>$J333-$B333</f>
        <v/>
      </c>
      <c r="M333" s="17">
        <f>$I333-$L333</f>
        <v/>
      </c>
      <c r="N333" s="23">
        <f>($G333-$M333)*100</f>
        <v/>
      </c>
      <c r="O333" s="15">
        <f>($E333-$C333)*100</f>
        <v/>
      </c>
      <c r="P333" s="15">
        <f>($G333-$E333)*100</f>
        <v/>
      </c>
      <c r="Q333" s="15">
        <f>($G333-$C333)*100</f>
        <v/>
      </c>
      <c r="R333" s="15">
        <f>IF($H333="","",($H333-$F333)*100)</f>
        <v/>
      </c>
      <c r="S333" s="15">
        <f>IF($H333="","",($H333-$G333)*100)</f>
        <v/>
      </c>
    </row>
    <row r="334">
      <c r="A334" s="11" t="n">
        <v>38821</v>
      </c>
      <c r="B334" s="22" t="n">
        <v>0.325</v>
      </c>
      <c r="C334" s="22" t="n">
        <v>0.67</v>
      </c>
      <c r="D334" s="22" t="n">
        <v>1.409</v>
      </c>
      <c r="E334" s="22" t="n">
        <v>1.952</v>
      </c>
      <c r="F334" s="22" t="n">
        <v>2.318</v>
      </c>
      <c r="G334" s="22" t="n">
        <v>2.571</v>
      </c>
      <c r="H334" s="22" t="n"/>
      <c r="I334" s="22" t="n">
        <v>5.11</v>
      </c>
      <c r="J334" s="22" t="n">
        <v>4.95</v>
      </c>
      <c r="K334" s="22" t="n">
        <v>5.05</v>
      </c>
      <c r="L334" s="17">
        <f>$J334-$B334</f>
        <v/>
      </c>
      <c r="M334" s="17">
        <f>$I334-$L334</f>
        <v/>
      </c>
      <c r="N334" s="23">
        <f>($G334-$M334)*100</f>
        <v/>
      </c>
      <c r="O334" s="15">
        <f>($E334-$C334)*100</f>
        <v/>
      </c>
      <c r="P334" s="15">
        <f>($G334-$E334)*100</f>
        <v/>
      </c>
      <c r="Q334" s="15">
        <f>($G334-$C334)*100</f>
        <v/>
      </c>
      <c r="R334" s="15">
        <f>IF($H334="","",($H334-$F334)*100)</f>
        <v/>
      </c>
      <c r="S334" s="15">
        <f>IF($H334="","",($H334-$G334)*100)</f>
        <v/>
      </c>
    </row>
    <row r="335">
      <c r="A335" s="11" t="n">
        <v>38828</v>
      </c>
      <c r="B335" s="22" t="n">
        <v>0.312</v>
      </c>
      <c r="C335" s="22" t="n">
        <v>0.625</v>
      </c>
      <c r="D335" s="22" t="n">
        <v>1.364</v>
      </c>
      <c r="E335" s="22" t="n">
        <v>1.9</v>
      </c>
      <c r="F335" s="22" t="n">
        <v>2.26</v>
      </c>
      <c r="G335" s="22" t="n">
        <v>2.468</v>
      </c>
      <c r="H335" s="22" t="n"/>
      <c r="I335" s="22" t="n">
        <v>5.1</v>
      </c>
      <c r="J335" s="22" t="n">
        <v>4.9</v>
      </c>
      <c r="K335" s="22" t="n">
        <v>5.01</v>
      </c>
      <c r="L335" s="17">
        <f>$J335-$B335</f>
        <v/>
      </c>
      <c r="M335" s="17">
        <f>$I335-$L335</f>
        <v/>
      </c>
      <c r="N335" s="23">
        <f>($G335-$M335)*100</f>
        <v/>
      </c>
      <c r="O335" s="15">
        <f>($E335-$C335)*100</f>
        <v/>
      </c>
      <c r="P335" s="15">
        <f>($G335-$E335)*100</f>
        <v/>
      </c>
      <c r="Q335" s="15">
        <f>($G335-$C335)*100</f>
        <v/>
      </c>
      <c r="R335" s="15">
        <f>IF($H335="","",($H335-$F335)*100)</f>
        <v/>
      </c>
      <c r="S335" s="15">
        <f>IF($H335="","",($H335-$G335)*100)</f>
        <v/>
      </c>
    </row>
    <row r="336">
      <c r="A336" s="11" t="n">
        <v>38835</v>
      </c>
      <c r="B336" s="22" t="n">
        <v>0.304</v>
      </c>
      <c r="C336" s="22" t="n">
        <v>0.649</v>
      </c>
      <c r="D336" s="22" t="n">
        <v>1.375</v>
      </c>
      <c r="E336" s="22" t="n">
        <v>1.913</v>
      </c>
      <c r="F336" s="22" t="n">
        <v>2.237</v>
      </c>
      <c r="G336" s="22" t="n">
        <v>2.452</v>
      </c>
      <c r="H336" s="22" t="n"/>
      <c r="I336" s="22" t="n">
        <v>5.17</v>
      </c>
      <c r="J336" s="22" t="n">
        <v>4.9</v>
      </c>
      <c r="K336" s="22" t="n">
        <v>5.07</v>
      </c>
      <c r="L336" s="17">
        <f>$J336-$B336</f>
        <v/>
      </c>
      <c r="M336" s="17">
        <f>$I336-$L336</f>
        <v/>
      </c>
      <c r="N336" s="23">
        <f>($G336-$M336)*100</f>
        <v/>
      </c>
      <c r="O336" s="15">
        <f>($E336-$C336)*100</f>
        <v/>
      </c>
      <c r="P336" s="15">
        <f>($G336-$E336)*100</f>
        <v/>
      </c>
      <c r="Q336" s="15">
        <f>($G336-$C336)*100</f>
        <v/>
      </c>
      <c r="R336" s="15">
        <f>IF($H336="","",($H336-$F336)*100)</f>
        <v/>
      </c>
      <c r="S336" s="15">
        <f>IF($H336="","",($H336-$G336)*100)</f>
        <v/>
      </c>
    </row>
    <row r="337">
      <c r="A337" s="11" t="n">
        <v>38842</v>
      </c>
      <c r="B337" s="22" t="n">
        <v>0.29</v>
      </c>
      <c r="C337" s="22" t="n">
        <v>0.641</v>
      </c>
      <c r="D337" s="22" t="n">
        <v>1.354</v>
      </c>
      <c r="E337" s="22" t="n">
        <v>1.912</v>
      </c>
      <c r="F337" s="22" t="n">
        <v>2.238</v>
      </c>
      <c r="G337" s="22" t="n">
        <v>2.457</v>
      </c>
      <c r="H337" s="22" t="n"/>
      <c r="I337" s="22" t="n">
        <v>5.2</v>
      </c>
      <c r="J337" s="22" t="n">
        <v>4.98</v>
      </c>
      <c r="K337" s="22" t="n">
        <v>5.12</v>
      </c>
      <c r="L337" s="17">
        <f>$J337-$B337</f>
        <v/>
      </c>
      <c r="M337" s="17">
        <f>$I337-$L337</f>
        <v/>
      </c>
      <c r="N337" s="23">
        <f>($G337-$M337)*100</f>
        <v/>
      </c>
      <c r="O337" s="15">
        <f>($E337-$C337)*100</f>
        <v/>
      </c>
      <c r="P337" s="15">
        <f>($G337-$E337)*100</f>
        <v/>
      </c>
      <c r="Q337" s="15">
        <f>($G337-$C337)*100</f>
        <v/>
      </c>
      <c r="R337" s="15">
        <f>IF($H337="","",($H337-$F337)*100)</f>
        <v/>
      </c>
      <c r="S337" s="15">
        <f>IF($H337="","",($H337-$G337)*100)</f>
        <v/>
      </c>
    </row>
    <row r="338">
      <c r="A338" s="11" t="n">
        <v>38849</v>
      </c>
      <c r="B338" s="22" t="n">
        <v>0.405</v>
      </c>
      <c r="C338" s="22" t="n">
        <v>0.794</v>
      </c>
      <c r="D338" s="22" t="n">
        <v>1.504</v>
      </c>
      <c r="E338" s="22" t="n">
        <v>1.988</v>
      </c>
      <c r="F338" s="22" t="n">
        <v>2.29</v>
      </c>
      <c r="G338" s="22" t="n">
        <v>2.461</v>
      </c>
      <c r="H338" s="22" t="n"/>
      <c r="I338" s="22" t="n">
        <v>5.29</v>
      </c>
      <c r="J338" s="22" t="n">
        <v>5</v>
      </c>
      <c r="K338" s="22" t="n">
        <v>5.19</v>
      </c>
      <c r="L338" s="17">
        <f>$J338-$B338</f>
        <v/>
      </c>
      <c r="M338" s="17">
        <f>$I338-$L338</f>
        <v/>
      </c>
      <c r="N338" s="23">
        <f>($G338-$M338)*100</f>
        <v/>
      </c>
      <c r="O338" s="15">
        <f>($E338-$C338)*100</f>
        <v/>
      </c>
      <c r="P338" s="15">
        <f>($G338-$E338)*100</f>
        <v/>
      </c>
      <c r="Q338" s="15">
        <f>($G338-$C338)*100</f>
        <v/>
      </c>
      <c r="R338" s="15">
        <f>IF($H338="","",($H338-$F338)*100)</f>
        <v/>
      </c>
      <c r="S338" s="15">
        <f>IF($H338="","",($H338-$G338)*100)</f>
        <v/>
      </c>
    </row>
    <row r="339">
      <c r="A339" s="11" t="n">
        <v>38856</v>
      </c>
      <c r="B339" s="22" t="n">
        <v>0.429</v>
      </c>
      <c r="C339" s="22" t="n">
        <v>0.759</v>
      </c>
      <c r="D339" s="22" t="n">
        <v>1.414</v>
      </c>
      <c r="E339" s="22" t="n">
        <v>1.918</v>
      </c>
      <c r="F339" s="22" t="n">
        <v>2.237</v>
      </c>
      <c r="G339" s="22" t="n">
        <v>2.426</v>
      </c>
      <c r="H339" s="22" t="n"/>
      <c r="I339" s="22" t="n">
        <v>5.14</v>
      </c>
      <c r="J339" s="22" t="n">
        <v>4.98</v>
      </c>
      <c r="K339" s="22" t="n">
        <v>5.05</v>
      </c>
      <c r="L339" s="17">
        <f>$J339-$B339</f>
        <v/>
      </c>
      <c r="M339" s="17">
        <f>$I339-$L339</f>
        <v/>
      </c>
      <c r="N339" s="23">
        <f>($G339-$M339)*100</f>
        <v/>
      </c>
      <c r="O339" s="15">
        <f>($E339-$C339)*100</f>
        <v/>
      </c>
      <c r="P339" s="15">
        <f>($G339-$E339)*100</f>
        <v/>
      </c>
      <c r="Q339" s="15">
        <f>($G339-$C339)*100</f>
        <v/>
      </c>
      <c r="R339" s="15">
        <f>IF($H339="","",($H339-$F339)*100)</f>
        <v/>
      </c>
      <c r="S339" s="15">
        <f>IF($H339="","",($H339-$G339)*100)</f>
        <v/>
      </c>
    </row>
    <row r="340">
      <c r="A340" s="11" t="n">
        <v>38863</v>
      </c>
      <c r="B340" s="22" t="n">
        <v>0.527</v>
      </c>
      <c r="C340" s="22" t="n">
        <v>0.845</v>
      </c>
      <c r="D340" s="22" t="n">
        <v>1.385</v>
      </c>
      <c r="E340" s="22" t="n">
        <v>1.867</v>
      </c>
      <c r="F340" s="22" t="n">
        <v>2.176</v>
      </c>
      <c r="G340" s="22" t="n">
        <v>2.389</v>
      </c>
      <c r="H340" s="22" t="n"/>
      <c r="I340" s="22" t="n">
        <v>5.16</v>
      </c>
      <c r="J340" s="22" t="n">
        <v>5</v>
      </c>
      <c r="K340" s="22" t="n">
        <v>5.06</v>
      </c>
      <c r="L340" s="17">
        <f>$J340-$B340</f>
        <v/>
      </c>
      <c r="M340" s="17">
        <f>$I340-$L340</f>
        <v/>
      </c>
      <c r="N340" s="23">
        <f>($G340-$M340)*100</f>
        <v/>
      </c>
      <c r="O340" s="15">
        <f>($E340-$C340)*100</f>
        <v/>
      </c>
      <c r="P340" s="15">
        <f>($G340-$E340)*100</f>
        <v/>
      </c>
      <c r="Q340" s="15">
        <f>($G340-$C340)*100</f>
        <v/>
      </c>
      <c r="R340" s="15">
        <f>IF($H340="","",($H340-$F340)*100)</f>
        <v/>
      </c>
      <c r="S340" s="15">
        <f>IF($H340="","",($H340-$G340)*100)</f>
        <v/>
      </c>
    </row>
    <row r="341">
      <c r="A341" s="11" t="n">
        <v>38870</v>
      </c>
      <c r="B341" s="22" t="n">
        <v>0.571</v>
      </c>
      <c r="C341" s="22" t="n">
        <v>0.848</v>
      </c>
      <c r="D341" s="22" t="n">
        <v>1.416</v>
      </c>
      <c r="E341" s="22" t="n">
        <v>1.902</v>
      </c>
      <c r="F341" s="22" t="n">
        <v>2.234</v>
      </c>
      <c r="G341" s="22" t="n">
        <v>2.44</v>
      </c>
      <c r="H341" s="22" t="n"/>
      <c r="I341" s="22" t="n">
        <v>5.1</v>
      </c>
      <c r="J341" s="22" t="n">
        <v>4.98</v>
      </c>
      <c r="K341" s="22" t="n">
        <v>5</v>
      </c>
      <c r="L341" s="17">
        <f>$J341-$B341</f>
        <v/>
      </c>
      <c r="M341" s="17">
        <f>$I341-$L341</f>
        <v/>
      </c>
      <c r="N341" s="23">
        <f>($G341-$M341)*100</f>
        <v/>
      </c>
      <c r="O341" s="15">
        <f>($E341-$C341)*100</f>
        <v/>
      </c>
      <c r="P341" s="15">
        <f>($G341-$E341)*100</f>
        <v/>
      </c>
      <c r="Q341" s="15">
        <f>($G341-$C341)*100</f>
        <v/>
      </c>
      <c r="R341" s="15">
        <f>IF($H341="","",($H341-$F341)*100)</f>
        <v/>
      </c>
      <c r="S341" s="15">
        <f>IF($H341="","",($H341-$G341)*100)</f>
        <v/>
      </c>
    </row>
    <row r="342">
      <c r="A342" s="11" t="n">
        <v>38877</v>
      </c>
      <c r="B342" s="22" t="n">
        <v>0.459</v>
      </c>
      <c r="C342" s="22" t="n">
        <v>0.73</v>
      </c>
      <c r="D342" s="22" t="n">
        <v>1.3</v>
      </c>
      <c r="E342" s="22" t="n">
        <v>1.837</v>
      </c>
      <c r="F342" s="22" t="n">
        <v>2.228</v>
      </c>
      <c r="G342" s="22" t="n">
        <v>2.451</v>
      </c>
      <c r="H342" s="22" t="n"/>
      <c r="I342" s="22" t="n">
        <v>5.03</v>
      </c>
      <c r="J342" s="22" t="n">
        <v>5.05</v>
      </c>
      <c r="K342" s="22" t="n">
        <v>4.98</v>
      </c>
      <c r="L342" s="17">
        <f>$J342-$B342</f>
        <v/>
      </c>
      <c r="M342" s="17">
        <f>$I342-$L342</f>
        <v/>
      </c>
      <c r="N342" s="23">
        <f>($G342-$M342)*100</f>
        <v/>
      </c>
      <c r="O342" s="15">
        <f>($E342-$C342)*100</f>
        <v/>
      </c>
      <c r="P342" s="15">
        <f>($G342-$E342)*100</f>
        <v/>
      </c>
      <c r="Q342" s="15">
        <f>($G342-$C342)*100</f>
        <v/>
      </c>
      <c r="R342" s="15">
        <f>IF($H342="","",($H342-$F342)*100)</f>
        <v/>
      </c>
      <c r="S342" s="15">
        <f>IF($H342="","",($H342-$G342)*100)</f>
        <v/>
      </c>
    </row>
    <row r="343">
      <c r="A343" s="11" t="n">
        <v>38884</v>
      </c>
      <c r="B343" s="22" t="n">
        <v>0.502</v>
      </c>
      <c r="C343" s="22" t="n">
        <v>0.754</v>
      </c>
      <c r="D343" s="22" t="n">
        <v>1.285</v>
      </c>
      <c r="E343" s="22" t="n">
        <v>1.812</v>
      </c>
      <c r="F343" s="22" t="n">
        <v>2.24</v>
      </c>
      <c r="G343" s="22" t="n">
        <v>2.484</v>
      </c>
      <c r="H343" s="22" t="n"/>
      <c r="I343" s="22" t="n">
        <v>5.17</v>
      </c>
      <c r="J343" s="22" t="n">
        <v>5.18</v>
      </c>
      <c r="K343" s="22" t="n">
        <v>5.13</v>
      </c>
      <c r="L343" s="17">
        <f>$J343-$B343</f>
        <v/>
      </c>
      <c r="M343" s="17">
        <f>$I343-$L343</f>
        <v/>
      </c>
      <c r="N343" s="23">
        <f>($G343-$M343)*100</f>
        <v/>
      </c>
      <c r="O343" s="15">
        <f>($E343-$C343)*100</f>
        <v/>
      </c>
      <c r="P343" s="15">
        <f>($G343-$E343)*100</f>
        <v/>
      </c>
      <c r="Q343" s="15">
        <f>($G343-$C343)*100</f>
        <v/>
      </c>
      <c r="R343" s="15">
        <f>IF($H343="","",($H343-$F343)*100)</f>
        <v/>
      </c>
      <c r="S343" s="15">
        <f>IF($H343="","",($H343-$G343)*100)</f>
        <v/>
      </c>
    </row>
    <row r="344">
      <c r="A344" s="11" t="n">
        <v>38891</v>
      </c>
      <c r="B344" s="22" t="n">
        <v>0.538</v>
      </c>
      <c r="C344" s="22" t="n">
        <v>0.797</v>
      </c>
      <c r="D344" s="22" t="n">
        <v>1.358</v>
      </c>
      <c r="E344" s="22" t="n">
        <v>1.873</v>
      </c>
      <c r="F344" s="22" t="n">
        <v>2.261</v>
      </c>
      <c r="G344" s="22" t="n">
        <v>2.493</v>
      </c>
      <c r="H344" s="22" t="n"/>
      <c r="I344" s="22" t="n">
        <v>5.26</v>
      </c>
      <c r="J344" s="22" t="n">
        <v>5.27</v>
      </c>
      <c r="K344" s="22" t="n">
        <v>5.23</v>
      </c>
      <c r="L344" s="17">
        <f>$J344-$B344</f>
        <v/>
      </c>
      <c r="M344" s="17">
        <f>$I344-$L344</f>
        <v/>
      </c>
      <c r="N344" s="23">
        <f>($G344-$M344)*100</f>
        <v/>
      </c>
      <c r="O344" s="15">
        <f>($E344-$C344)*100</f>
        <v/>
      </c>
      <c r="P344" s="15">
        <f>($G344-$E344)*100</f>
        <v/>
      </c>
      <c r="Q344" s="15">
        <f>($G344-$C344)*100</f>
        <v/>
      </c>
      <c r="R344" s="15">
        <f>IF($H344="","",($H344-$F344)*100)</f>
        <v/>
      </c>
      <c r="S344" s="15">
        <f>IF($H344="","",($H344-$G344)*100)</f>
        <v/>
      </c>
    </row>
    <row r="345">
      <c r="A345" s="11" t="n">
        <v>38898</v>
      </c>
      <c r="B345" s="22" t="n">
        <v>0.582</v>
      </c>
      <c r="C345" s="22" t="n">
        <v>0.825</v>
      </c>
      <c r="D345" s="22" t="n">
        <v>1.411</v>
      </c>
      <c r="E345" s="22" t="n">
        <v>1.914</v>
      </c>
      <c r="F345" s="22" t="n">
        <v>2.291</v>
      </c>
      <c r="G345" s="22" t="n">
        <v>2.52</v>
      </c>
      <c r="H345" s="22" t="n"/>
      <c r="I345" s="22" t="n">
        <v>5.19</v>
      </c>
      <c r="J345" s="22" t="n">
        <v>5.21</v>
      </c>
      <c r="K345" s="22" t="n">
        <v>5.15</v>
      </c>
      <c r="L345" s="17">
        <f>$J345-$B345</f>
        <v/>
      </c>
      <c r="M345" s="17">
        <f>$I345-$L345</f>
        <v/>
      </c>
      <c r="N345" s="23">
        <f>($G345-$M345)*100</f>
        <v/>
      </c>
      <c r="O345" s="15">
        <f>($E345-$C345)*100</f>
        <v/>
      </c>
      <c r="P345" s="15">
        <f>($G345-$E345)*100</f>
        <v/>
      </c>
      <c r="Q345" s="15">
        <f>($G345-$C345)*100</f>
        <v/>
      </c>
      <c r="R345" s="15">
        <f>IF($H345="","",($H345-$F345)*100)</f>
        <v/>
      </c>
      <c r="S345" s="15">
        <f>IF($H345="","",($H345-$G345)*100)</f>
        <v/>
      </c>
    </row>
    <row r="346">
      <c r="A346" s="11" t="n">
        <v>38905</v>
      </c>
      <c r="B346" s="22" t="n">
        <v>0.657</v>
      </c>
      <c r="C346" s="22" t="n">
        <v>0.894</v>
      </c>
      <c r="D346" s="22" t="n">
        <v>1.494</v>
      </c>
      <c r="E346" s="22" t="n">
        <v>1.958</v>
      </c>
      <c r="F346" s="22" t="n">
        <v>2.315</v>
      </c>
      <c r="G346" s="22" t="n">
        <v>2.568</v>
      </c>
      <c r="H346" s="22" t="n"/>
      <c r="I346" s="22" t="n">
        <v>5.18</v>
      </c>
      <c r="J346" s="22" t="n">
        <v>5.25</v>
      </c>
      <c r="K346" s="22" t="n">
        <v>5.14</v>
      </c>
      <c r="L346" s="17">
        <f>$J346-$B346</f>
        <v/>
      </c>
      <c r="M346" s="17">
        <f>$I346-$L346</f>
        <v/>
      </c>
      <c r="N346" s="23">
        <f>($G346-$M346)*100</f>
        <v/>
      </c>
      <c r="O346" s="15">
        <f>($E346-$C346)*100</f>
        <v/>
      </c>
      <c r="P346" s="15">
        <f>($G346-$E346)*100</f>
        <v/>
      </c>
      <c r="Q346" s="15">
        <f>($G346-$C346)*100</f>
        <v/>
      </c>
      <c r="R346" s="15">
        <f>IF($H346="","",($H346-$F346)*100)</f>
        <v/>
      </c>
      <c r="S346" s="15">
        <f>IF($H346="","",($H346-$G346)*100)</f>
        <v/>
      </c>
    </row>
    <row r="347">
      <c r="A347" s="11" t="n">
        <v>38912</v>
      </c>
      <c r="B347" s="22" t="n">
        <v>0.598</v>
      </c>
      <c r="C347" s="22" t="n">
        <v>0.78</v>
      </c>
      <c r="D347" s="22" t="n">
        <v>1.353</v>
      </c>
      <c r="E347" s="22" t="n">
        <v>1.851</v>
      </c>
      <c r="F347" s="22" t="n">
        <v>2.251</v>
      </c>
      <c r="G347" s="22" t="n">
        <v>2.487</v>
      </c>
      <c r="H347" s="22" t="n"/>
      <c r="I347" s="22" t="n">
        <v>5.11</v>
      </c>
      <c r="J347" s="22" t="n">
        <v>5.2</v>
      </c>
      <c r="K347" s="22" t="n">
        <v>5.07</v>
      </c>
      <c r="L347" s="17">
        <f>$J347-$B347</f>
        <v/>
      </c>
      <c r="M347" s="17">
        <f>$I347-$L347</f>
        <v/>
      </c>
      <c r="N347" s="23">
        <f>($G347-$M347)*100</f>
        <v/>
      </c>
      <c r="O347" s="15">
        <f>($E347-$C347)*100</f>
        <v/>
      </c>
      <c r="P347" s="15">
        <f>($G347-$E347)*100</f>
        <v/>
      </c>
      <c r="Q347" s="15">
        <f>($G347-$C347)*100</f>
        <v/>
      </c>
      <c r="R347" s="15">
        <f>IF($H347="","",($H347-$F347)*100)</f>
        <v/>
      </c>
      <c r="S347" s="15">
        <f>IF($H347="","",($H347-$G347)*100)</f>
        <v/>
      </c>
    </row>
    <row r="348">
      <c r="A348" s="11" t="n">
        <v>38919</v>
      </c>
      <c r="B348" s="22" t="n">
        <v>0.574</v>
      </c>
      <c r="C348" s="22" t="n">
        <v>0.75</v>
      </c>
      <c r="D348" s="22" t="n">
        <v>1.328</v>
      </c>
      <c r="E348" s="22" t="n">
        <v>1.829</v>
      </c>
      <c r="F348" s="22" t="n">
        <v>2.255</v>
      </c>
      <c r="G348" s="22" t="n">
        <v>2.498</v>
      </c>
      <c r="H348" s="22" t="n"/>
      <c r="I348" s="22" t="n">
        <v>5.1</v>
      </c>
      <c r="J348" s="22" t="n">
        <v>5.19</v>
      </c>
      <c r="K348" s="22" t="n">
        <v>5.05</v>
      </c>
      <c r="L348" s="17">
        <f>$J348-$B348</f>
        <v/>
      </c>
      <c r="M348" s="17">
        <f>$I348-$L348</f>
        <v/>
      </c>
      <c r="N348" s="23">
        <f>($G348-$M348)*100</f>
        <v/>
      </c>
      <c r="O348" s="15">
        <f>($E348-$C348)*100</f>
        <v/>
      </c>
      <c r="P348" s="15">
        <f>($G348-$E348)*100</f>
        <v/>
      </c>
      <c r="Q348" s="15">
        <f>($G348-$C348)*100</f>
        <v/>
      </c>
      <c r="R348" s="15">
        <f>IF($H348="","",($H348-$F348)*100)</f>
        <v/>
      </c>
      <c r="S348" s="15">
        <f>IF($H348="","",($H348-$G348)*100)</f>
        <v/>
      </c>
    </row>
    <row r="349">
      <c r="A349" s="11" t="n">
        <v>38926</v>
      </c>
      <c r="B349" s="22" t="n">
        <v>0.57</v>
      </c>
      <c r="C349" s="22" t="n">
        <v>0.8070000000000001</v>
      </c>
      <c r="D349" s="22" t="n">
        <v>1.405</v>
      </c>
      <c r="E349" s="22" t="n">
        <v>1.932</v>
      </c>
      <c r="F349" s="22" t="n">
        <v>2.333</v>
      </c>
      <c r="G349" s="22" t="n">
        <v>2.56</v>
      </c>
      <c r="H349" s="22" t="n"/>
      <c r="I349" s="22" t="n">
        <v>5.07</v>
      </c>
      <c r="J349" s="22" t="n">
        <v>5.1</v>
      </c>
      <c r="K349" s="22" t="n">
        <v>5</v>
      </c>
      <c r="L349" s="17">
        <f>$J349-$B349</f>
        <v/>
      </c>
      <c r="M349" s="17">
        <f>$I349-$L349</f>
        <v/>
      </c>
      <c r="N349" s="23">
        <f>($G349-$M349)*100</f>
        <v/>
      </c>
      <c r="O349" s="15">
        <f>($E349-$C349)*100</f>
        <v/>
      </c>
      <c r="P349" s="15">
        <f>($G349-$E349)*100</f>
        <v/>
      </c>
      <c r="Q349" s="15">
        <f>($G349-$C349)*100</f>
        <v/>
      </c>
      <c r="R349" s="15">
        <f>IF($H349="","",($H349-$F349)*100)</f>
        <v/>
      </c>
      <c r="S349" s="15">
        <f>IF($H349="","",($H349-$G349)*100)</f>
        <v/>
      </c>
    </row>
    <row r="350">
      <c r="A350" s="11" t="n">
        <v>38933</v>
      </c>
      <c r="B350" s="22" t="n">
        <v>0.571</v>
      </c>
      <c r="C350" s="22" t="n">
        <v>0.804</v>
      </c>
      <c r="D350" s="22" t="n">
        <v>1.384</v>
      </c>
      <c r="E350" s="22" t="n">
        <v>1.882</v>
      </c>
      <c r="F350" s="22" t="n">
        <v>2.266</v>
      </c>
      <c r="G350" s="22" t="n">
        <v>2.492</v>
      </c>
      <c r="H350" s="22" t="n"/>
      <c r="I350" s="22" t="n">
        <v>5</v>
      </c>
      <c r="J350" s="22" t="n">
        <v>5.07</v>
      </c>
      <c r="K350" s="22" t="n">
        <v>4.91</v>
      </c>
      <c r="L350" s="17">
        <f>$J350-$B350</f>
        <v/>
      </c>
      <c r="M350" s="17">
        <f>$I350-$L350</f>
        <v/>
      </c>
      <c r="N350" s="23">
        <f>($G350-$M350)*100</f>
        <v/>
      </c>
      <c r="O350" s="15">
        <f>($E350-$C350)*100</f>
        <v/>
      </c>
      <c r="P350" s="15">
        <f>($G350-$E350)*100</f>
        <v/>
      </c>
      <c r="Q350" s="15">
        <f>($G350-$C350)*100</f>
        <v/>
      </c>
      <c r="R350" s="15">
        <f>IF($H350="","",($H350-$F350)*100)</f>
        <v/>
      </c>
      <c r="S350" s="15">
        <f>IF($H350="","",($H350-$G350)*100)</f>
        <v/>
      </c>
    </row>
    <row r="351">
      <c r="A351" s="11" t="n">
        <v>38940</v>
      </c>
      <c r="B351" s="22" t="n">
        <v>0.5620000000000001</v>
      </c>
      <c r="C351" s="22" t="n">
        <v>0.789</v>
      </c>
      <c r="D351" s="22" t="n">
        <v>1.374</v>
      </c>
      <c r="E351" s="22" t="n">
        <v>1.851</v>
      </c>
      <c r="F351" s="22" t="n">
        <v>2.249</v>
      </c>
      <c r="G351" s="22" t="n">
        <v>2.465</v>
      </c>
      <c r="H351" s="22" t="n"/>
      <c r="I351" s="22" t="n">
        <v>5.09</v>
      </c>
      <c r="J351" s="22" t="n">
        <v>5.12</v>
      </c>
      <c r="K351" s="22" t="n">
        <v>4.97</v>
      </c>
      <c r="L351" s="17">
        <f>$J351-$B351</f>
        <v/>
      </c>
      <c r="M351" s="17">
        <f>$I351-$L351</f>
        <v/>
      </c>
      <c r="N351" s="23">
        <f>($G351-$M351)*100</f>
        <v/>
      </c>
      <c r="O351" s="15">
        <f>($E351-$C351)*100</f>
        <v/>
      </c>
      <c r="P351" s="15">
        <f>($G351-$E351)*100</f>
        <v/>
      </c>
      <c r="Q351" s="15">
        <f>($G351-$C351)*100</f>
        <v/>
      </c>
      <c r="R351" s="15">
        <f>IF($H351="","",($H351-$F351)*100)</f>
        <v/>
      </c>
      <c r="S351" s="15">
        <f>IF($H351="","",($H351-$G351)*100)</f>
        <v/>
      </c>
    </row>
    <row r="352">
      <c r="A352" s="11" t="n">
        <v>38947</v>
      </c>
      <c r="B352" s="22" t="n">
        <v>0.5580000000000001</v>
      </c>
      <c r="C352" s="22" t="n">
        <v>0.796</v>
      </c>
      <c r="D352" s="22" t="n">
        <v>1.379</v>
      </c>
      <c r="E352" s="22" t="n">
        <v>1.857</v>
      </c>
      <c r="F352" s="22" t="n">
        <v>2.262</v>
      </c>
      <c r="G352" s="22" t="n">
        <v>2.474</v>
      </c>
      <c r="H352" s="22" t="n"/>
      <c r="I352" s="22" t="n">
        <v>4.97</v>
      </c>
      <c r="J352" s="22" t="n">
        <v>5.08</v>
      </c>
      <c r="K352" s="22" t="n">
        <v>4.84</v>
      </c>
      <c r="L352" s="17">
        <f>$J352-$B352</f>
        <v/>
      </c>
      <c r="M352" s="17">
        <f>$I352-$L352</f>
        <v/>
      </c>
      <c r="N352" s="23">
        <f>($G352-$M352)*100</f>
        <v/>
      </c>
      <c r="O352" s="15">
        <f>($E352-$C352)*100</f>
        <v/>
      </c>
      <c r="P352" s="15">
        <f>($G352-$E352)*100</f>
        <v/>
      </c>
      <c r="Q352" s="15">
        <f>($G352-$C352)*100</f>
        <v/>
      </c>
      <c r="R352" s="15">
        <f>IF($H352="","",($H352-$F352)*100)</f>
        <v/>
      </c>
      <c r="S352" s="15">
        <f>IF($H352="","",($H352-$G352)*100)</f>
        <v/>
      </c>
    </row>
    <row r="353">
      <c r="A353" s="11" t="n">
        <v>38954</v>
      </c>
      <c r="B353" s="22" t="n">
        <v>0.431</v>
      </c>
      <c r="C353" s="22" t="n">
        <v>0.656</v>
      </c>
      <c r="D353" s="22" t="n">
        <v>1.198</v>
      </c>
      <c r="E353" s="22" t="n">
        <v>1.717</v>
      </c>
      <c r="F353" s="22" t="n">
        <v>2.134</v>
      </c>
      <c r="G353" s="22" t="n">
        <v>2.377</v>
      </c>
      <c r="H353" s="22" t="n"/>
      <c r="I353" s="22" t="n">
        <v>4.93</v>
      </c>
      <c r="J353" s="22" t="n">
        <v>5.06</v>
      </c>
      <c r="K353" s="22" t="n">
        <v>4.79</v>
      </c>
      <c r="L353" s="17">
        <f>$J353-$B353</f>
        <v/>
      </c>
      <c r="M353" s="17">
        <f>$I353-$L353</f>
        <v/>
      </c>
      <c r="N353" s="23">
        <f>($G353-$M353)*100</f>
        <v/>
      </c>
      <c r="O353" s="15">
        <f>($E353-$C353)*100</f>
        <v/>
      </c>
      <c r="P353" s="15">
        <f>($G353-$E353)*100</f>
        <v/>
      </c>
      <c r="Q353" s="15">
        <f>($G353-$C353)*100</f>
        <v/>
      </c>
      <c r="R353" s="15">
        <f>IF($H353="","",($H353-$F353)*100)</f>
        <v/>
      </c>
      <c r="S353" s="15">
        <f>IF($H353="","",($H353-$G353)*100)</f>
        <v/>
      </c>
    </row>
    <row r="354">
      <c r="A354" s="11" t="n">
        <v>38961</v>
      </c>
      <c r="B354" s="22" t="n">
        <v>0.436</v>
      </c>
      <c r="C354" s="22" t="n">
        <v>0.628</v>
      </c>
      <c r="D354" s="22" t="n">
        <v>1.122</v>
      </c>
      <c r="E354" s="22" t="n">
        <v>1.663</v>
      </c>
      <c r="F354" s="22" t="n">
        <v>2.142</v>
      </c>
      <c r="G354" s="22" t="n">
        <v>2.407</v>
      </c>
      <c r="H354" s="22" t="n"/>
      <c r="I354" s="22" t="n">
        <v>4.87</v>
      </c>
      <c r="J354" s="22" t="n">
        <v>4.99</v>
      </c>
      <c r="K354" s="22" t="n">
        <v>4.73</v>
      </c>
      <c r="L354" s="17">
        <f>$J354-$B354</f>
        <v/>
      </c>
      <c r="M354" s="17">
        <f>$I354-$L354</f>
        <v/>
      </c>
      <c r="N354" s="23">
        <f>($G354-$M354)*100</f>
        <v/>
      </c>
      <c r="O354" s="15">
        <f>($E354-$C354)*100</f>
        <v/>
      </c>
      <c r="P354" s="15">
        <f>($G354-$E354)*100</f>
        <v/>
      </c>
      <c r="Q354" s="15">
        <f>($G354-$C354)*100</f>
        <v/>
      </c>
      <c r="R354" s="15">
        <f>IF($H354="","",($H354-$F354)*100)</f>
        <v/>
      </c>
      <c r="S354" s="15">
        <f>IF($H354="","",($H354-$G354)*100)</f>
        <v/>
      </c>
    </row>
    <row r="355">
      <c r="A355" s="11" t="n">
        <v>38968</v>
      </c>
      <c r="B355" s="22" t="n">
        <v>0.465</v>
      </c>
      <c r="C355" s="22" t="n">
        <v>0.6889999999999999</v>
      </c>
      <c r="D355" s="22" t="n">
        <v>1.209</v>
      </c>
      <c r="E355" s="22" t="n">
        <v>1.716</v>
      </c>
      <c r="F355" s="22" t="n">
        <v>2.156</v>
      </c>
      <c r="G355" s="22" t="n">
        <v>2.401</v>
      </c>
      <c r="H355" s="22" t="n"/>
      <c r="I355" s="22" t="n">
        <v>4.92</v>
      </c>
      <c r="J355" s="22" t="n">
        <v>5</v>
      </c>
      <c r="K355" s="22" t="n">
        <v>4.78</v>
      </c>
      <c r="L355" s="17">
        <f>$J355-$B355</f>
        <v/>
      </c>
      <c r="M355" s="17">
        <f>$I355-$L355</f>
        <v/>
      </c>
      <c r="N355" s="23">
        <f>($G355-$M355)*100</f>
        <v/>
      </c>
      <c r="O355" s="15">
        <f>($E355-$C355)*100</f>
        <v/>
      </c>
      <c r="P355" s="15">
        <f>($G355-$E355)*100</f>
        <v/>
      </c>
      <c r="Q355" s="15">
        <f>($G355-$C355)*100</f>
        <v/>
      </c>
      <c r="R355" s="15">
        <f>IF($H355="","",($H355-$F355)*100)</f>
        <v/>
      </c>
      <c r="S355" s="15">
        <f>IF($H355="","",($H355-$G355)*100)</f>
        <v/>
      </c>
    </row>
    <row r="356">
      <c r="A356" s="11" t="n">
        <v>38975</v>
      </c>
      <c r="B356" s="22" t="n">
        <v>0.41</v>
      </c>
      <c r="C356" s="22" t="n">
        <v>0.64</v>
      </c>
      <c r="D356" s="22" t="n">
        <v>1.135</v>
      </c>
      <c r="E356" s="22" t="n">
        <v>1.658</v>
      </c>
      <c r="F356" s="22" t="n">
        <v>2.14</v>
      </c>
      <c r="G356" s="22" t="n">
        <v>2.382</v>
      </c>
      <c r="H356" s="22" t="n"/>
      <c r="I356" s="22" t="n">
        <v>4.92</v>
      </c>
      <c r="J356" s="22" t="n">
        <v>5.03</v>
      </c>
      <c r="K356" s="22" t="n">
        <v>4.8</v>
      </c>
      <c r="L356" s="17">
        <f>$J356-$B356</f>
        <v/>
      </c>
      <c r="M356" s="17">
        <f>$I356-$L356</f>
        <v/>
      </c>
      <c r="N356" s="23">
        <f>($G356-$M356)*100</f>
        <v/>
      </c>
      <c r="O356" s="15">
        <f>($E356-$C356)*100</f>
        <v/>
      </c>
      <c r="P356" s="15">
        <f>($G356-$E356)*100</f>
        <v/>
      </c>
      <c r="Q356" s="15">
        <f>($G356-$C356)*100</f>
        <v/>
      </c>
      <c r="R356" s="15">
        <f>IF($H356="","",($H356-$F356)*100)</f>
        <v/>
      </c>
      <c r="S356" s="15">
        <f>IF($H356="","",($H356-$G356)*100)</f>
        <v/>
      </c>
    </row>
    <row r="357">
      <c r="A357" s="11" t="n">
        <v>38982</v>
      </c>
      <c r="B357" s="22" t="n">
        <v>0.387</v>
      </c>
      <c r="C357" s="22" t="n">
        <v>0.617</v>
      </c>
      <c r="D357" s="22" t="n">
        <v>1.094</v>
      </c>
      <c r="E357" s="22" t="n">
        <v>1.628</v>
      </c>
      <c r="F357" s="22" t="n">
        <v>2.128</v>
      </c>
      <c r="G357" s="22" t="n">
        <v>2.381</v>
      </c>
      <c r="H357" s="22" t="n"/>
      <c r="I357" s="22" t="n">
        <v>4.74</v>
      </c>
      <c r="J357" s="22" t="n">
        <v>4.9</v>
      </c>
      <c r="K357" s="22" t="n">
        <v>4.6</v>
      </c>
      <c r="L357" s="17">
        <f>$J357-$B357</f>
        <v/>
      </c>
      <c r="M357" s="17">
        <f>$I357-$L357</f>
        <v/>
      </c>
      <c r="N357" s="23">
        <f>($G357-$M357)*100</f>
        <v/>
      </c>
      <c r="O357" s="15">
        <f>($E357-$C357)*100</f>
        <v/>
      </c>
      <c r="P357" s="15">
        <f>($G357-$E357)*100</f>
        <v/>
      </c>
      <c r="Q357" s="15">
        <f>($G357-$C357)*100</f>
        <v/>
      </c>
      <c r="R357" s="15">
        <f>IF($H357="","",($H357-$F357)*100)</f>
        <v/>
      </c>
      <c r="S357" s="15">
        <f>IF($H357="","",($H357-$G357)*100)</f>
        <v/>
      </c>
    </row>
    <row r="358">
      <c r="A358" s="11" t="n">
        <v>38989</v>
      </c>
      <c r="B358" s="22" t="n">
        <v>0.408</v>
      </c>
      <c r="C358" s="22" t="n">
        <v>0.635</v>
      </c>
      <c r="D358" s="22" t="n">
        <v>1.133</v>
      </c>
      <c r="E358" s="22" t="n">
        <v>1.671</v>
      </c>
      <c r="F358" s="22" t="n">
        <v>2.172</v>
      </c>
      <c r="G358" s="22" t="n">
        <v>2.445</v>
      </c>
      <c r="H358" s="22" t="n"/>
      <c r="I358" s="22" t="n">
        <v>4.77</v>
      </c>
      <c r="J358" s="22" t="n">
        <v>4.91</v>
      </c>
      <c r="K358" s="22" t="n">
        <v>4.64</v>
      </c>
      <c r="L358" s="17">
        <f>$J358-$B358</f>
        <v/>
      </c>
      <c r="M358" s="17">
        <f>$I358-$L358</f>
        <v/>
      </c>
      <c r="N358" s="23">
        <f>($G358-$M358)*100</f>
        <v/>
      </c>
      <c r="O358" s="15">
        <f>($E358-$C358)*100</f>
        <v/>
      </c>
      <c r="P358" s="15">
        <f>($G358-$E358)*100</f>
        <v/>
      </c>
      <c r="Q358" s="15">
        <f>($G358-$C358)*100</f>
        <v/>
      </c>
      <c r="R358" s="15">
        <f>IF($H358="","",($H358-$F358)*100)</f>
        <v/>
      </c>
      <c r="S358" s="15">
        <f>IF($H358="","",($H358-$G358)*100)</f>
        <v/>
      </c>
    </row>
    <row r="359">
      <c r="A359" s="11" t="n">
        <v>38996</v>
      </c>
      <c r="B359" s="22" t="n">
        <v>0.44</v>
      </c>
      <c r="C359" s="22" t="n">
        <v>0.658</v>
      </c>
      <c r="D359" s="22" t="n">
        <v>1.158</v>
      </c>
      <c r="E359" s="22" t="n">
        <v>1.701</v>
      </c>
      <c r="F359" s="22" t="n">
        <v>2.215</v>
      </c>
      <c r="G359" s="22" t="n">
        <v>2.495</v>
      </c>
      <c r="H359" s="22" t="n"/>
      <c r="I359" s="22" t="n">
        <v>4.84</v>
      </c>
      <c r="J359" s="22" t="n">
        <v>4.94</v>
      </c>
      <c r="K359" s="22" t="n">
        <v>4.7</v>
      </c>
      <c r="L359" s="17">
        <f>$J359-$B359</f>
        <v/>
      </c>
      <c r="M359" s="17">
        <f>$I359-$L359</f>
        <v/>
      </c>
      <c r="N359" s="23">
        <f>($G359-$M359)*100</f>
        <v/>
      </c>
      <c r="O359" s="15">
        <f>($E359-$C359)*100</f>
        <v/>
      </c>
      <c r="P359" s="15">
        <f>($G359-$E359)*100</f>
        <v/>
      </c>
      <c r="Q359" s="15">
        <f>($G359-$C359)*100</f>
        <v/>
      </c>
      <c r="R359" s="15">
        <f>IF($H359="","",($H359-$F359)*100)</f>
        <v/>
      </c>
      <c r="S359" s="15">
        <f>IF($H359="","",($H359-$G359)*100)</f>
        <v/>
      </c>
    </row>
    <row r="360">
      <c r="A360" s="11" t="n">
        <v>39003</v>
      </c>
      <c r="B360" s="22" t="n">
        <v>0.513</v>
      </c>
      <c r="C360" s="22" t="n">
        <v>0.703</v>
      </c>
      <c r="D360" s="22" t="n">
        <v>1.235</v>
      </c>
      <c r="E360" s="22" t="n">
        <v>1.763</v>
      </c>
      <c r="F360" s="22" t="n">
        <v>2.238</v>
      </c>
      <c r="G360" s="22" t="n">
        <v>2.508</v>
      </c>
      <c r="H360" s="22" t="n"/>
      <c r="I360" s="22" t="n">
        <v>4.94</v>
      </c>
      <c r="J360" s="22" t="n">
        <v>5.05</v>
      </c>
      <c r="K360" s="22" t="n">
        <v>4.81</v>
      </c>
      <c r="L360" s="17">
        <f>$J360-$B360</f>
        <v/>
      </c>
      <c r="M360" s="17">
        <f>$I360-$L360</f>
        <v/>
      </c>
      <c r="N360" s="23">
        <f>($G360-$M360)*100</f>
        <v/>
      </c>
      <c r="O360" s="15">
        <f>($E360-$C360)*100</f>
        <v/>
      </c>
      <c r="P360" s="15">
        <f>($G360-$E360)*100</f>
        <v/>
      </c>
      <c r="Q360" s="15">
        <f>($G360-$C360)*100</f>
        <v/>
      </c>
      <c r="R360" s="15">
        <f>IF($H360="","",($H360-$F360)*100)</f>
        <v/>
      </c>
      <c r="S360" s="15">
        <f>IF($H360="","",($H360-$G360)*100)</f>
        <v/>
      </c>
    </row>
    <row r="361">
      <c r="A361" s="11" t="n">
        <v>39010</v>
      </c>
      <c r="B361" s="22" t="n">
        <v>0.592</v>
      </c>
      <c r="C361" s="22" t="n">
        <v>0.783</v>
      </c>
      <c r="D361" s="22" t="n">
        <v>1.3</v>
      </c>
      <c r="E361" s="22" t="n">
        <v>1.798</v>
      </c>
      <c r="F361" s="22" t="n">
        <v>2.254</v>
      </c>
      <c r="G361" s="22" t="n">
        <v>2.5</v>
      </c>
      <c r="H361" s="22" t="n"/>
      <c r="I361" s="22" t="n">
        <v>4.91</v>
      </c>
      <c r="J361" s="22" t="n">
        <v>5.05</v>
      </c>
      <c r="K361" s="22" t="n">
        <v>4.79</v>
      </c>
      <c r="L361" s="17">
        <f>$J361-$B361</f>
        <v/>
      </c>
      <c r="M361" s="17">
        <f>$I361-$L361</f>
        <v/>
      </c>
      <c r="N361" s="23">
        <f>($G361-$M361)*100</f>
        <v/>
      </c>
      <c r="O361" s="15">
        <f>($E361-$C361)*100</f>
        <v/>
      </c>
      <c r="P361" s="15">
        <f>($G361-$E361)*100</f>
        <v/>
      </c>
      <c r="Q361" s="15">
        <f>($G361-$C361)*100</f>
        <v/>
      </c>
      <c r="R361" s="15">
        <f>IF($H361="","",($H361-$F361)*100)</f>
        <v/>
      </c>
      <c r="S361" s="15">
        <f>IF($H361="","",($H361-$G361)*100)</f>
        <v/>
      </c>
    </row>
    <row r="362">
      <c r="A362" s="11" t="n">
        <v>39017</v>
      </c>
      <c r="B362" s="22" t="n">
        <v>0.5659999999999999</v>
      </c>
      <c r="C362" s="22" t="n">
        <v>0.742</v>
      </c>
      <c r="D362" s="22" t="n">
        <v>1.234</v>
      </c>
      <c r="E362" s="22" t="n">
        <v>1.74</v>
      </c>
      <c r="F362" s="22" t="n">
        <v>2.194</v>
      </c>
      <c r="G362" s="22" t="n">
        <v>2.454</v>
      </c>
      <c r="H362" s="22" t="n"/>
      <c r="I362" s="22" t="n">
        <v>4.8</v>
      </c>
      <c r="J362" s="22" t="n">
        <v>5.02</v>
      </c>
      <c r="K362" s="22" t="n">
        <v>4.68</v>
      </c>
      <c r="L362" s="17">
        <f>$J362-$B362</f>
        <v/>
      </c>
      <c r="M362" s="17">
        <f>$I362-$L362</f>
        <v/>
      </c>
      <c r="N362" s="23">
        <f>($G362-$M362)*100</f>
        <v/>
      </c>
      <c r="O362" s="15">
        <f>($E362-$C362)*100</f>
        <v/>
      </c>
      <c r="P362" s="15">
        <f>($G362-$E362)*100</f>
        <v/>
      </c>
      <c r="Q362" s="15">
        <f>($G362-$C362)*100</f>
        <v/>
      </c>
      <c r="R362" s="15">
        <f>IF($H362="","",($H362-$F362)*100)</f>
        <v/>
      </c>
      <c r="S362" s="15">
        <f>IF($H362="","",($H362-$G362)*100)</f>
        <v/>
      </c>
    </row>
    <row r="363">
      <c r="A363" s="11" t="n">
        <v>39024</v>
      </c>
      <c r="B363" s="22" t="n">
        <v>0.5570000000000001</v>
      </c>
      <c r="C363" s="22" t="n">
        <v>0.731</v>
      </c>
      <c r="D363" s="22" t="n">
        <v>1.206</v>
      </c>
      <c r="E363" s="22" t="n">
        <v>1.716</v>
      </c>
      <c r="F363" s="22" t="n">
        <v>2.166</v>
      </c>
      <c r="G363" s="22" t="n">
        <v>2.422</v>
      </c>
      <c r="H363" s="22" t="n"/>
      <c r="I363" s="22" t="n">
        <v>4.81</v>
      </c>
      <c r="J363" s="22" t="n">
        <v>5.06</v>
      </c>
      <c r="K363" s="22" t="n">
        <v>4.72</v>
      </c>
      <c r="L363" s="17">
        <f>$J363-$B363</f>
        <v/>
      </c>
      <c r="M363" s="17">
        <f>$I363-$L363</f>
        <v/>
      </c>
      <c r="N363" s="23">
        <f>($G363-$M363)*100</f>
        <v/>
      </c>
      <c r="O363" s="15">
        <f>($E363-$C363)*100</f>
        <v/>
      </c>
      <c r="P363" s="15">
        <f>($G363-$E363)*100</f>
        <v/>
      </c>
      <c r="Q363" s="15">
        <f>($G363-$C363)*100</f>
        <v/>
      </c>
      <c r="R363" s="15">
        <f>IF($H363="","",($H363-$F363)*100)</f>
        <v/>
      </c>
      <c r="S363" s="15">
        <f>IF($H363="","",($H363-$G363)*100)</f>
        <v/>
      </c>
    </row>
    <row r="364">
      <c r="A364" s="11" t="n">
        <v>39031</v>
      </c>
      <c r="B364" s="22" t="n">
        <v>0.582</v>
      </c>
      <c r="C364" s="22" t="n">
        <v>0.755</v>
      </c>
      <c r="D364" s="22" t="n">
        <v>1.205</v>
      </c>
      <c r="E364" s="22" t="n">
        <v>1.702</v>
      </c>
      <c r="F364" s="22" t="n">
        <v>2.161</v>
      </c>
      <c r="G364" s="22" t="n">
        <v>2.419</v>
      </c>
      <c r="H364" s="22" t="n"/>
      <c r="I364" s="22" t="n">
        <v>4.69</v>
      </c>
      <c r="J364" s="22" t="n">
        <v>5.01</v>
      </c>
      <c r="K364" s="22" t="n">
        <v>4.59</v>
      </c>
      <c r="L364" s="17">
        <f>$J364-$B364</f>
        <v/>
      </c>
      <c r="M364" s="17">
        <f>$I364-$L364</f>
        <v/>
      </c>
      <c r="N364" s="23">
        <f>($G364-$M364)*100</f>
        <v/>
      </c>
      <c r="O364" s="15">
        <f>($E364-$C364)*100</f>
        <v/>
      </c>
      <c r="P364" s="15">
        <f>($G364-$E364)*100</f>
        <v/>
      </c>
      <c r="Q364" s="15">
        <f>($G364-$C364)*100</f>
        <v/>
      </c>
      <c r="R364" s="15">
        <f>IF($H364="","",($H364-$F364)*100)</f>
        <v/>
      </c>
      <c r="S364" s="15">
        <f>IF($H364="","",($H364-$G364)*100)</f>
        <v/>
      </c>
    </row>
    <row r="365">
      <c r="A365" s="11" t="n">
        <v>39038</v>
      </c>
      <c r="B365" s="22" t="n">
        <v>0.635</v>
      </c>
      <c r="C365" s="22" t="n">
        <v>0.806</v>
      </c>
      <c r="D365" s="22" t="n">
        <v>1.259</v>
      </c>
      <c r="E365" s="22" t="n">
        <v>1.73</v>
      </c>
      <c r="F365" s="22" t="n">
        <v>2.188</v>
      </c>
      <c r="G365" s="22" t="n">
        <v>2.43</v>
      </c>
      <c r="H365" s="22" t="n"/>
      <c r="I365" s="22" t="n">
        <v>4.69</v>
      </c>
      <c r="J365" s="22" t="n">
        <v>5.02</v>
      </c>
      <c r="K365" s="22" t="n">
        <v>4.61</v>
      </c>
      <c r="L365" s="17">
        <f>$J365-$B365</f>
        <v/>
      </c>
      <c r="M365" s="17">
        <f>$I365-$L365</f>
        <v/>
      </c>
      <c r="N365" s="23">
        <f>($G365-$M365)*100</f>
        <v/>
      </c>
      <c r="O365" s="15">
        <f>($E365-$C365)*100</f>
        <v/>
      </c>
      <c r="P365" s="15">
        <f>($G365-$E365)*100</f>
        <v/>
      </c>
      <c r="Q365" s="15">
        <f>($G365-$C365)*100</f>
        <v/>
      </c>
      <c r="R365" s="15">
        <f>IF($H365="","",($H365-$F365)*100)</f>
        <v/>
      </c>
      <c r="S365" s="15">
        <f>IF($H365="","",($H365-$G365)*100)</f>
        <v/>
      </c>
    </row>
    <row r="366">
      <c r="A366" s="11" t="n">
        <v>39045</v>
      </c>
      <c r="B366" s="22" t="n">
        <v>0.618</v>
      </c>
      <c r="C366" s="22" t="n">
        <v>0.803</v>
      </c>
      <c r="D366" s="22" t="n">
        <v>1.219</v>
      </c>
      <c r="E366" s="22" t="n">
        <v>1.68</v>
      </c>
      <c r="F366" s="22" t="n">
        <v>2.137</v>
      </c>
      <c r="G366" s="22" t="n">
        <v>2.369</v>
      </c>
      <c r="H366" s="22" t="n"/>
      <c r="I366" s="22" t="n">
        <v>4.63</v>
      </c>
      <c r="J366" s="22" t="n">
        <v>5</v>
      </c>
      <c r="K366" s="22" t="n">
        <v>4.55</v>
      </c>
      <c r="L366" s="17">
        <f>$J366-$B366</f>
        <v/>
      </c>
      <c r="M366" s="17">
        <f>$I366-$L366</f>
        <v/>
      </c>
      <c r="N366" s="23">
        <f>($G366-$M366)*100</f>
        <v/>
      </c>
      <c r="O366" s="15">
        <f>($E366-$C366)*100</f>
        <v/>
      </c>
      <c r="P366" s="15">
        <f>($G366-$E366)*100</f>
        <v/>
      </c>
      <c r="Q366" s="15">
        <f>($G366-$C366)*100</f>
        <v/>
      </c>
      <c r="R366" s="15">
        <f>IF($H366="","",($H366-$F366)*100)</f>
        <v/>
      </c>
      <c r="S366" s="15">
        <f>IF($H366="","",($H366-$G366)*100)</f>
        <v/>
      </c>
    </row>
    <row r="367">
      <c r="A367" s="11" t="n">
        <v>39052</v>
      </c>
      <c r="B367" s="22" t="n">
        <v>0.621</v>
      </c>
      <c r="C367" s="22" t="n">
        <v>0.79</v>
      </c>
      <c r="D367" s="22" t="n">
        <v>1.18</v>
      </c>
      <c r="E367" s="22" t="n">
        <v>1.627</v>
      </c>
      <c r="F367" s="22" t="n">
        <v>2.06</v>
      </c>
      <c r="G367" s="22" t="n">
        <v>2.29</v>
      </c>
      <c r="H367" s="22" t="n"/>
      <c r="I367" s="22" t="n">
        <v>4.54</v>
      </c>
      <c r="J367" s="22" t="n">
        <v>4.87</v>
      </c>
      <c r="K367" s="22" t="n">
        <v>4.43</v>
      </c>
      <c r="L367" s="17">
        <f>$J367-$B367</f>
        <v/>
      </c>
      <c r="M367" s="17">
        <f>$I367-$L367</f>
        <v/>
      </c>
      <c r="N367" s="23">
        <f>($G367-$M367)*100</f>
        <v/>
      </c>
      <c r="O367" s="15">
        <f>($E367-$C367)*100</f>
        <v/>
      </c>
      <c r="P367" s="15">
        <f>($G367-$E367)*100</f>
        <v/>
      </c>
      <c r="Q367" s="15">
        <f>($G367-$C367)*100</f>
        <v/>
      </c>
      <c r="R367" s="15">
        <f>IF($H367="","",($H367-$F367)*100)</f>
        <v/>
      </c>
      <c r="S367" s="15">
        <f>IF($H367="","",($H367-$G367)*100)</f>
        <v/>
      </c>
    </row>
    <row r="368">
      <c r="A368" s="11" t="n">
        <v>39059</v>
      </c>
      <c r="B368" s="22" t="n">
        <v>0.664</v>
      </c>
      <c r="C368" s="22" t="n">
        <v>0.839</v>
      </c>
      <c r="D368" s="22" t="n">
        <v>1.273</v>
      </c>
      <c r="E368" s="22" t="n">
        <v>1.689</v>
      </c>
      <c r="F368" s="22" t="n">
        <v>2.085</v>
      </c>
      <c r="G368" s="22" t="n">
        <v>2.284</v>
      </c>
      <c r="H368" s="22" t="n"/>
      <c r="I368" s="22" t="n">
        <v>4.66</v>
      </c>
      <c r="J368" s="22" t="n">
        <v>4.95</v>
      </c>
      <c r="K368" s="22" t="n">
        <v>4.56</v>
      </c>
      <c r="L368" s="17">
        <f>$J368-$B368</f>
        <v/>
      </c>
      <c r="M368" s="17">
        <f>$I368-$L368</f>
        <v/>
      </c>
      <c r="N368" s="23">
        <f>($G368-$M368)*100</f>
        <v/>
      </c>
      <c r="O368" s="15">
        <f>($E368-$C368)*100</f>
        <v/>
      </c>
      <c r="P368" s="15">
        <f>($G368-$E368)*100</f>
        <v/>
      </c>
      <c r="Q368" s="15">
        <f>($G368-$C368)*100</f>
        <v/>
      </c>
      <c r="R368" s="15">
        <f>IF($H368="","",($H368-$F368)*100)</f>
        <v/>
      </c>
      <c r="S368" s="15">
        <f>IF($H368="","",($H368-$G368)*100)</f>
        <v/>
      </c>
    </row>
    <row r="369">
      <c r="A369" s="11" t="n">
        <v>39066</v>
      </c>
      <c r="B369" s="22" t="n">
        <v>0.642</v>
      </c>
      <c r="C369" s="22" t="n">
        <v>0.8149999999999999</v>
      </c>
      <c r="D369" s="22" t="n">
        <v>1.244</v>
      </c>
      <c r="E369" s="22" t="n">
        <v>1.662</v>
      </c>
      <c r="F369" s="22" t="n">
        <v>2.08</v>
      </c>
      <c r="G369" s="22" t="n">
        <v>2.297</v>
      </c>
      <c r="H369" s="22" t="n"/>
      <c r="I369" s="22" t="n">
        <v>4.72</v>
      </c>
      <c r="J369" s="22" t="n">
        <v>4.96</v>
      </c>
      <c r="K369" s="22" t="n">
        <v>4.6</v>
      </c>
      <c r="L369" s="17">
        <f>$J369-$B369</f>
        <v/>
      </c>
      <c r="M369" s="17">
        <f>$I369-$L369</f>
        <v/>
      </c>
      <c r="N369" s="23">
        <f>($G369-$M369)*100</f>
        <v/>
      </c>
      <c r="O369" s="15">
        <f>($E369-$C369)*100</f>
        <v/>
      </c>
      <c r="P369" s="15">
        <f>($G369-$E369)*100</f>
        <v/>
      </c>
      <c r="Q369" s="15">
        <f>($G369-$C369)*100</f>
        <v/>
      </c>
      <c r="R369" s="15">
        <f>IF($H369="","",($H369-$F369)*100)</f>
        <v/>
      </c>
      <c r="S369" s="15">
        <f>IF($H369="","",($H369-$G369)*100)</f>
        <v/>
      </c>
    </row>
    <row r="370">
      <c r="A370" s="11" t="n">
        <v>39073</v>
      </c>
      <c r="B370" s="22" t="n">
        <v>0.593</v>
      </c>
      <c r="C370" s="22" t="n">
        <v>0.75</v>
      </c>
      <c r="D370" s="22" t="n">
        <v>1.172</v>
      </c>
      <c r="E370" s="22" t="n">
        <v>1.598</v>
      </c>
      <c r="F370" s="22" t="n">
        <v>2.014</v>
      </c>
      <c r="G370" s="22" t="n">
        <v>2.24</v>
      </c>
      <c r="H370" s="22" t="n"/>
      <c r="I370" s="22" t="n">
        <v>4.76</v>
      </c>
      <c r="J370" s="22" t="n">
        <v>4.96</v>
      </c>
      <c r="K370" s="22" t="n">
        <v>4.63</v>
      </c>
      <c r="L370" s="17">
        <f>$J370-$B370</f>
        <v/>
      </c>
      <c r="M370" s="17">
        <f>$I370-$L370</f>
        <v/>
      </c>
      <c r="N370" s="23">
        <f>($G370-$M370)*100</f>
        <v/>
      </c>
      <c r="O370" s="15">
        <f>($E370-$C370)*100</f>
        <v/>
      </c>
      <c r="P370" s="15">
        <f>($G370-$E370)*100</f>
        <v/>
      </c>
      <c r="Q370" s="15">
        <f>($G370-$C370)*100</f>
        <v/>
      </c>
      <c r="R370" s="15">
        <f>IF($H370="","",($H370-$F370)*100)</f>
        <v/>
      </c>
      <c r="S370" s="15">
        <f>IF($H370="","",($H370-$G370)*100)</f>
        <v/>
      </c>
    </row>
    <row r="371">
      <c r="A371" s="11" t="n">
        <v>39080</v>
      </c>
      <c r="B371" s="22" t="n">
        <v>0.61</v>
      </c>
      <c r="C371" s="22" t="n">
        <v>0.78</v>
      </c>
      <c r="D371" s="22" t="n">
        <v>1.242</v>
      </c>
      <c r="E371" s="22" t="n">
        <v>1.678</v>
      </c>
      <c r="F371" s="22" t="n">
        <v>2.067</v>
      </c>
      <c r="G371" s="22" t="n">
        <v>2.299</v>
      </c>
      <c r="H371" s="22" t="n"/>
      <c r="I371" s="22" t="n">
        <v>4.81</v>
      </c>
      <c r="J371" s="22" t="n">
        <v>5</v>
      </c>
      <c r="K371" s="22" t="n">
        <v>4.71</v>
      </c>
      <c r="L371" s="17">
        <f>$J371-$B371</f>
        <v/>
      </c>
      <c r="M371" s="17">
        <f>$I371-$L371</f>
        <v/>
      </c>
      <c r="N371" s="23">
        <f>($G371-$M371)*100</f>
        <v/>
      </c>
      <c r="O371" s="15">
        <f>($E371-$C371)*100</f>
        <v/>
      </c>
      <c r="P371" s="15">
        <f>($G371-$E371)*100</f>
        <v/>
      </c>
      <c r="Q371" s="15">
        <f>($G371-$C371)*100</f>
        <v/>
      </c>
      <c r="R371" s="15">
        <f>IF($H371="","",($H371-$F371)*100)</f>
        <v/>
      </c>
      <c r="S371" s="15">
        <f>IF($H371="","",($H371-$G371)*100)</f>
        <v/>
      </c>
    </row>
    <row r="372">
      <c r="A372" s="11" t="n">
        <v>39087</v>
      </c>
      <c r="B372" s="22" t="n">
        <v>0.644</v>
      </c>
      <c r="C372" s="22" t="n">
        <v>0.8159999999999999</v>
      </c>
      <c r="D372" s="22" t="n">
        <v>1.284</v>
      </c>
      <c r="E372" s="22" t="n">
        <v>1.712</v>
      </c>
      <c r="F372" s="22" t="n">
        <v>2.092</v>
      </c>
      <c r="G372" s="22" t="n">
        <v>2.324</v>
      </c>
      <c r="H372" s="22" t="n"/>
      <c r="I372" s="22" t="n">
        <v>4.74</v>
      </c>
      <c r="J372" s="22" t="n">
        <v>4.98</v>
      </c>
      <c r="K372" s="22" t="n">
        <v>4.65</v>
      </c>
      <c r="L372" s="17">
        <f>$J372-$B372</f>
        <v/>
      </c>
      <c r="M372" s="17">
        <f>$I372-$L372</f>
        <v/>
      </c>
      <c r="N372" s="23">
        <f>($G372-$M372)*100</f>
        <v/>
      </c>
      <c r="O372" s="15">
        <f>($E372-$C372)*100</f>
        <v/>
      </c>
      <c r="P372" s="15">
        <f>($G372-$E372)*100</f>
        <v/>
      </c>
      <c r="Q372" s="15">
        <f>($G372-$C372)*100</f>
        <v/>
      </c>
      <c r="R372" s="15">
        <f>IF($H372="","",($H372-$F372)*100)</f>
        <v/>
      </c>
      <c r="S372" s="15">
        <f>IF($H372="","",($H372-$G372)*100)</f>
        <v/>
      </c>
    </row>
    <row r="373">
      <c r="A373" s="11" t="n">
        <v>39094</v>
      </c>
      <c r="B373" s="22" t="n">
        <v>0.646</v>
      </c>
      <c r="C373" s="22" t="n">
        <v>0.8120000000000001</v>
      </c>
      <c r="D373" s="22" t="n">
        <v>1.3</v>
      </c>
      <c r="E373" s="22" t="n">
        <v>1.738</v>
      </c>
      <c r="F373" s="22" t="n">
        <v>2.149</v>
      </c>
      <c r="G373" s="22" t="n">
        <v>2.374</v>
      </c>
      <c r="H373" s="22" t="n"/>
      <c r="I373" s="22" t="n">
        <v>4.86</v>
      </c>
      <c r="J373" s="22" t="n">
        <v>5.06</v>
      </c>
      <c r="K373" s="22" t="n">
        <v>4.77</v>
      </c>
      <c r="L373" s="17">
        <f>$J373-$B373</f>
        <v/>
      </c>
      <c r="M373" s="17">
        <f>$I373-$L373</f>
        <v/>
      </c>
      <c r="N373" s="23">
        <f>($G373-$M373)*100</f>
        <v/>
      </c>
      <c r="O373" s="15">
        <f>($E373-$C373)*100</f>
        <v/>
      </c>
      <c r="P373" s="15">
        <f>($G373-$E373)*100</f>
        <v/>
      </c>
      <c r="Q373" s="15">
        <f>($G373-$C373)*100</f>
        <v/>
      </c>
      <c r="R373" s="15">
        <f>IF($H373="","",($H373-$F373)*100)</f>
        <v/>
      </c>
      <c r="S373" s="15">
        <f>IF($H373="","",($H373-$G373)*100)</f>
        <v/>
      </c>
    </row>
    <row r="374">
      <c r="A374" s="11" t="n">
        <v>39101</v>
      </c>
      <c r="B374" s="22" t="n">
        <v>0.586</v>
      </c>
      <c r="C374" s="22" t="n">
        <v>0.757</v>
      </c>
      <c r="D374" s="22" t="n">
        <v>1.195</v>
      </c>
      <c r="E374" s="22" t="n">
        <v>1.666</v>
      </c>
      <c r="F374" s="22" t="n">
        <v>2.117</v>
      </c>
      <c r="G374" s="22" t="n">
        <v>2.342</v>
      </c>
      <c r="H374" s="22" t="n"/>
      <c r="I374" s="22" t="n">
        <v>4.87</v>
      </c>
      <c r="J374" s="22" t="n">
        <v>5.09</v>
      </c>
      <c r="K374" s="22" t="n">
        <v>4.78</v>
      </c>
      <c r="L374" s="17">
        <f>$J374-$B374</f>
        <v/>
      </c>
      <c r="M374" s="17">
        <f>$I374-$L374</f>
        <v/>
      </c>
      <c r="N374" s="23">
        <f>($G374-$M374)*100</f>
        <v/>
      </c>
      <c r="O374" s="15">
        <f>($E374-$C374)*100</f>
        <v/>
      </c>
      <c r="P374" s="15">
        <f>($G374-$E374)*100</f>
        <v/>
      </c>
      <c r="Q374" s="15">
        <f>($G374-$C374)*100</f>
        <v/>
      </c>
      <c r="R374" s="15">
        <f>IF($H374="","",($H374-$F374)*100)</f>
        <v/>
      </c>
      <c r="S374" s="15">
        <f>IF($H374="","",($H374-$G374)*100)</f>
        <v/>
      </c>
    </row>
    <row r="375">
      <c r="A375" s="11" t="n">
        <v>39108</v>
      </c>
      <c r="B375" s="22" t="n">
        <v>0.546</v>
      </c>
      <c r="C375" s="22" t="n">
        <v>0.723</v>
      </c>
      <c r="D375" s="22" t="n">
        <v>1.182</v>
      </c>
      <c r="E375" s="22" t="n">
        <v>1.691</v>
      </c>
      <c r="F375" s="22" t="n">
        <v>2.139</v>
      </c>
      <c r="G375" s="22" t="n">
        <v>2.379</v>
      </c>
      <c r="H375" s="22" t="n"/>
      <c r="I375" s="22" t="n">
        <v>4.98</v>
      </c>
      <c r="J375" s="22" t="n">
        <v>5.12</v>
      </c>
      <c r="K375" s="22" t="n">
        <v>4.88</v>
      </c>
      <c r="L375" s="17">
        <f>$J375-$B375</f>
        <v/>
      </c>
      <c r="M375" s="17">
        <f>$I375-$L375</f>
        <v/>
      </c>
      <c r="N375" s="23">
        <f>($G375-$M375)*100</f>
        <v/>
      </c>
      <c r="O375" s="15">
        <f>($E375-$C375)*100</f>
        <v/>
      </c>
      <c r="P375" s="15">
        <f>($G375-$E375)*100</f>
        <v/>
      </c>
      <c r="Q375" s="15">
        <f>($G375-$C375)*100</f>
        <v/>
      </c>
      <c r="R375" s="15">
        <f>IF($H375="","",($H375-$F375)*100)</f>
        <v/>
      </c>
      <c r="S375" s="15">
        <f>IF($H375="","",($H375-$G375)*100)</f>
        <v/>
      </c>
    </row>
    <row r="376">
      <c r="A376" s="11" t="n">
        <v>39115</v>
      </c>
      <c r="B376" s="22" t="n">
        <v>0.55</v>
      </c>
      <c r="C376" s="22" t="n">
        <v>0.74</v>
      </c>
      <c r="D376" s="22" t="n">
        <v>1.238</v>
      </c>
      <c r="E376" s="22" t="n">
        <v>1.728</v>
      </c>
      <c r="F376" s="22" t="n">
        <v>2.146</v>
      </c>
      <c r="G376" s="22" t="n">
        <v>2.374</v>
      </c>
      <c r="H376" s="22" t="n"/>
      <c r="I376" s="22" t="n">
        <v>4.93</v>
      </c>
      <c r="J376" s="22" t="n">
        <v>5.08</v>
      </c>
      <c r="K376" s="22" t="n">
        <v>4.83</v>
      </c>
      <c r="L376" s="17">
        <f>$J376-$B376</f>
        <v/>
      </c>
      <c r="M376" s="17">
        <f>$I376-$L376</f>
        <v/>
      </c>
      <c r="N376" s="23">
        <f>($G376-$M376)*100</f>
        <v/>
      </c>
      <c r="O376" s="15">
        <f>($E376-$C376)*100</f>
        <v/>
      </c>
      <c r="P376" s="15">
        <f>($G376-$E376)*100</f>
        <v/>
      </c>
      <c r="Q376" s="15">
        <f>($G376-$C376)*100</f>
        <v/>
      </c>
      <c r="R376" s="15">
        <f>IF($H376="","",($H376-$F376)*100)</f>
        <v/>
      </c>
      <c r="S376" s="15">
        <f>IF($H376="","",($H376-$G376)*100)</f>
        <v/>
      </c>
    </row>
    <row r="377">
      <c r="A377" s="11" t="n">
        <v>39122</v>
      </c>
      <c r="B377" s="22" t="n">
        <v>0.553</v>
      </c>
      <c r="C377" s="22" t="n">
        <v>0.735</v>
      </c>
      <c r="D377" s="22" t="n">
        <v>1.207</v>
      </c>
      <c r="E377" s="22" t="n">
        <v>1.702</v>
      </c>
      <c r="F377" s="22" t="n">
        <v>2.138</v>
      </c>
      <c r="G377" s="22" t="n">
        <v>2.363</v>
      </c>
      <c r="H377" s="22" t="n"/>
      <c r="I377" s="22" t="n">
        <v>4.87</v>
      </c>
      <c r="J377" s="22" t="n">
        <v>5.08</v>
      </c>
      <c r="K377" s="22" t="n">
        <v>4.79</v>
      </c>
      <c r="L377" s="17">
        <f>$J377-$B377</f>
        <v/>
      </c>
      <c r="M377" s="17">
        <f>$I377-$L377</f>
        <v/>
      </c>
      <c r="N377" s="23">
        <f>($G377-$M377)*100</f>
        <v/>
      </c>
      <c r="O377" s="15">
        <f>($E377-$C377)*100</f>
        <v/>
      </c>
      <c r="P377" s="15">
        <f>($G377-$E377)*100</f>
        <v/>
      </c>
      <c r="Q377" s="15">
        <f>($G377-$C377)*100</f>
        <v/>
      </c>
      <c r="R377" s="15">
        <f>IF($H377="","",($H377-$F377)*100)</f>
        <v/>
      </c>
      <c r="S377" s="15">
        <f>IF($H377="","",($H377-$G377)*100)</f>
        <v/>
      </c>
    </row>
    <row r="378">
      <c r="A378" s="11" t="n">
        <v>39129</v>
      </c>
      <c r="B378" s="22" t="n">
        <v>0.603</v>
      </c>
      <c r="C378" s="22" t="n">
        <v>0.775</v>
      </c>
      <c r="D378" s="22" t="n">
        <v>1.241</v>
      </c>
      <c r="E378" s="22" t="n">
        <v>1.714</v>
      </c>
      <c r="F378" s="22" t="n">
        <v>2.151</v>
      </c>
      <c r="G378" s="22" t="n">
        <v>2.376</v>
      </c>
      <c r="H378" s="22" t="n"/>
      <c r="I378" s="22" t="n">
        <v>4.79</v>
      </c>
      <c r="J378" s="22" t="n">
        <v>5.05</v>
      </c>
      <c r="K378" s="22" t="n">
        <v>4.69</v>
      </c>
      <c r="L378" s="17">
        <f>$J378-$B378</f>
        <v/>
      </c>
      <c r="M378" s="17">
        <f>$I378-$L378</f>
        <v/>
      </c>
      <c r="N378" s="23">
        <f>($G378-$M378)*100</f>
        <v/>
      </c>
      <c r="O378" s="15">
        <f>($E378-$C378)*100</f>
        <v/>
      </c>
      <c r="P378" s="15">
        <f>($G378-$E378)*100</f>
        <v/>
      </c>
      <c r="Q378" s="15">
        <f>($G378-$C378)*100</f>
        <v/>
      </c>
      <c r="R378" s="15">
        <f>IF($H378="","",($H378-$F378)*100)</f>
        <v/>
      </c>
      <c r="S378" s="15">
        <f>IF($H378="","",($H378-$G378)*100)</f>
        <v/>
      </c>
    </row>
    <row r="379">
      <c r="A379" s="11" t="n">
        <v>39136</v>
      </c>
      <c r="B379" s="22" t="n">
        <v>0.675</v>
      </c>
      <c r="C379" s="22" t="n">
        <v>0.839</v>
      </c>
      <c r="D379" s="22" t="n">
        <v>1.245</v>
      </c>
      <c r="E379" s="22" t="n">
        <v>1.684</v>
      </c>
      <c r="F379" s="22" t="n">
        <v>2.086</v>
      </c>
      <c r="G379" s="22" t="n">
        <v>2.316</v>
      </c>
      <c r="H379" s="22" t="n"/>
      <c r="I379" s="22" t="n">
        <v>4.79</v>
      </c>
      <c r="J379" s="22" t="n">
        <v>5.05</v>
      </c>
      <c r="K379" s="22" t="n">
        <v>4.68</v>
      </c>
      <c r="L379" s="17">
        <f>$J379-$B379</f>
        <v/>
      </c>
      <c r="M379" s="17">
        <f>$I379-$L379</f>
        <v/>
      </c>
      <c r="N379" s="23">
        <f>($G379-$M379)*100</f>
        <v/>
      </c>
      <c r="O379" s="15">
        <f>($E379-$C379)*100</f>
        <v/>
      </c>
      <c r="P379" s="15">
        <f>($G379-$E379)*100</f>
        <v/>
      </c>
      <c r="Q379" s="15">
        <f>($G379-$C379)*100</f>
        <v/>
      </c>
      <c r="R379" s="15">
        <f>IF($H379="","",($H379-$F379)*100)</f>
        <v/>
      </c>
      <c r="S379" s="15">
        <f>IF($H379="","",($H379-$G379)*100)</f>
        <v/>
      </c>
    </row>
    <row r="380">
      <c r="A380" s="11" t="n">
        <v>39143</v>
      </c>
      <c r="B380" s="22" t="n">
        <v>0.6830000000000001</v>
      </c>
      <c r="C380" s="22" t="n">
        <v>0.8139999999999999</v>
      </c>
      <c r="D380" s="22" t="n">
        <v>1.216</v>
      </c>
      <c r="E380" s="22" t="n">
        <v>1.665</v>
      </c>
      <c r="F380" s="22" t="n">
        <v>2.087</v>
      </c>
      <c r="G380" s="22" t="n">
        <v>2.309</v>
      </c>
      <c r="H380" s="22" t="n"/>
      <c r="I380" s="22" t="n">
        <v>4.65</v>
      </c>
      <c r="J380" s="22" t="n">
        <v>4.9</v>
      </c>
      <c r="K380" s="22" t="n">
        <v>4.52</v>
      </c>
      <c r="L380" s="17">
        <f>$J380-$B380</f>
        <v/>
      </c>
      <c r="M380" s="17">
        <f>$I380-$L380</f>
        <v/>
      </c>
      <c r="N380" s="23">
        <f>($G380-$M380)*100</f>
        <v/>
      </c>
      <c r="O380" s="15">
        <f>($E380-$C380)*100</f>
        <v/>
      </c>
      <c r="P380" s="15">
        <f>($G380-$E380)*100</f>
        <v/>
      </c>
      <c r="Q380" s="15">
        <f>($G380-$C380)*100</f>
        <v/>
      </c>
      <c r="R380" s="15">
        <f>IF($H380="","",($H380-$F380)*100)</f>
        <v/>
      </c>
      <c r="S380" s="15">
        <f>IF($H380="","",($H380-$G380)*100)</f>
        <v/>
      </c>
    </row>
    <row r="381">
      <c r="A381" s="11" t="n">
        <v>39150</v>
      </c>
      <c r="B381" s="22" t="n">
        <v>0.657</v>
      </c>
      <c r="C381" s="22" t="n">
        <v>0.788</v>
      </c>
      <c r="D381" s="22" t="n">
        <v>1.169</v>
      </c>
      <c r="E381" s="22" t="n">
        <v>1.61</v>
      </c>
      <c r="F381" s="22" t="n">
        <v>2.035</v>
      </c>
      <c r="G381" s="22" t="n">
        <v>2.269</v>
      </c>
      <c r="H381" s="22" t="n"/>
      <c r="I381" s="22" t="n">
        <v>4.72</v>
      </c>
      <c r="J381" s="22" t="n">
        <v>4.98</v>
      </c>
      <c r="K381" s="22" t="n">
        <v>4.59</v>
      </c>
      <c r="L381" s="17">
        <f>$J381-$B381</f>
        <v/>
      </c>
      <c r="M381" s="17">
        <f>$I381-$L381</f>
        <v/>
      </c>
      <c r="N381" s="23">
        <f>($G381-$M381)*100</f>
        <v/>
      </c>
      <c r="O381" s="15">
        <f>($E381-$C381)*100</f>
        <v/>
      </c>
      <c r="P381" s="15">
        <f>($G381-$E381)*100</f>
        <v/>
      </c>
      <c r="Q381" s="15">
        <f>($G381-$C381)*100</f>
        <v/>
      </c>
      <c r="R381" s="15">
        <f>IF($H381="","",($H381-$F381)*100)</f>
        <v/>
      </c>
      <c r="S381" s="15">
        <f>IF($H381="","",($H381-$G381)*100)</f>
        <v/>
      </c>
    </row>
    <row r="382">
      <c r="A382" s="11" t="n">
        <v>39157</v>
      </c>
      <c r="B382" s="22" t="n">
        <v>0.619</v>
      </c>
      <c r="C382" s="22" t="n">
        <v>0.775</v>
      </c>
      <c r="D382" s="22" t="n">
        <v>1.132</v>
      </c>
      <c r="E382" s="22" t="n">
        <v>1.584</v>
      </c>
      <c r="F382" s="22" t="n">
        <v>2.049</v>
      </c>
      <c r="G382" s="22" t="n">
        <v>2.294</v>
      </c>
      <c r="H382" s="22" t="n"/>
      <c r="I382" s="22" t="n">
        <v>4.7</v>
      </c>
      <c r="J382" s="22" t="n">
        <v>4.95</v>
      </c>
      <c r="K382" s="22" t="n">
        <v>4.55</v>
      </c>
      <c r="L382" s="17">
        <f>$J382-$B382</f>
        <v/>
      </c>
      <c r="M382" s="17">
        <f>$I382-$L382</f>
        <v/>
      </c>
      <c r="N382" s="23">
        <f>($G382-$M382)*100</f>
        <v/>
      </c>
      <c r="O382" s="15">
        <f>($E382-$C382)*100</f>
        <v/>
      </c>
      <c r="P382" s="15">
        <f>($G382-$E382)*100</f>
        <v/>
      </c>
      <c r="Q382" s="15">
        <f>($G382-$C382)*100</f>
        <v/>
      </c>
      <c r="R382" s="15">
        <f>IF($H382="","",($H382-$F382)*100)</f>
        <v/>
      </c>
      <c r="S382" s="15">
        <f>IF($H382="","",($H382-$G382)*100)</f>
        <v/>
      </c>
    </row>
    <row r="383">
      <c r="A383" s="11" t="n">
        <v>39164</v>
      </c>
      <c r="B383" s="22" t="n">
        <v>0.629</v>
      </c>
      <c r="C383" s="22" t="n">
        <v>0.804</v>
      </c>
      <c r="D383" s="22" t="n">
        <v>1.172</v>
      </c>
      <c r="E383" s="22" t="n">
        <v>1.611</v>
      </c>
      <c r="F383" s="22" t="n">
        <v>2.047</v>
      </c>
      <c r="G383" s="22" t="n">
        <v>2.281</v>
      </c>
      <c r="H383" s="22" t="n"/>
      <c r="I383" s="22" t="n">
        <v>4.8</v>
      </c>
      <c r="J383" s="22" t="n">
        <v>4.93</v>
      </c>
      <c r="K383" s="22" t="n">
        <v>4.62</v>
      </c>
      <c r="L383" s="17">
        <f>$J383-$B383</f>
        <v/>
      </c>
      <c r="M383" s="17">
        <f>$I383-$L383</f>
        <v/>
      </c>
      <c r="N383" s="23">
        <f>($G383-$M383)*100</f>
        <v/>
      </c>
      <c r="O383" s="15">
        <f>($E383-$C383)*100</f>
        <v/>
      </c>
      <c r="P383" s="15">
        <f>($G383-$E383)*100</f>
        <v/>
      </c>
      <c r="Q383" s="15">
        <f>($G383-$C383)*100</f>
        <v/>
      </c>
      <c r="R383" s="15">
        <f>IF($H383="","",($H383-$F383)*100)</f>
        <v/>
      </c>
      <c r="S383" s="15">
        <f>IF($H383="","",($H383-$G383)*100)</f>
        <v/>
      </c>
    </row>
    <row r="384">
      <c r="A384" s="11" t="n">
        <v>39171</v>
      </c>
      <c r="B384" s="22" t="n">
        <v>0.629</v>
      </c>
      <c r="C384" s="22" t="n">
        <v>0.8070000000000001</v>
      </c>
      <c r="D384" s="22" t="n">
        <v>1.189</v>
      </c>
      <c r="E384" s="22" t="n">
        <v>1.655</v>
      </c>
      <c r="F384" s="22" t="n">
        <v>2.088</v>
      </c>
      <c r="G384" s="22" t="n">
        <v>2.338</v>
      </c>
      <c r="H384" s="22" t="n"/>
      <c r="I384" s="22" t="n">
        <v>4.84</v>
      </c>
      <c r="J384" s="22" t="n">
        <v>4.9</v>
      </c>
      <c r="K384" s="22" t="n">
        <v>4.65</v>
      </c>
      <c r="L384" s="17">
        <f>$J384-$B384</f>
        <v/>
      </c>
      <c r="M384" s="17">
        <f>$I384-$L384</f>
        <v/>
      </c>
      <c r="N384" s="23">
        <f>($G384-$M384)*100</f>
        <v/>
      </c>
      <c r="O384" s="15">
        <f>($E384-$C384)*100</f>
        <v/>
      </c>
      <c r="P384" s="15">
        <f>($G384-$E384)*100</f>
        <v/>
      </c>
      <c r="Q384" s="15">
        <f>($G384-$C384)*100</f>
        <v/>
      </c>
      <c r="R384" s="15">
        <f>IF($H384="","",($H384-$F384)*100)</f>
        <v/>
      </c>
      <c r="S384" s="15">
        <f>IF($H384="","",($H384-$G384)*100)</f>
        <v/>
      </c>
    </row>
    <row r="385">
      <c r="A385" s="11" t="n">
        <v>39178</v>
      </c>
      <c r="B385" s="22" t="n">
        <v>0.632</v>
      </c>
      <c r="C385" s="22" t="n">
        <v>0.799</v>
      </c>
      <c r="D385" s="22" t="n">
        <v>1.212</v>
      </c>
      <c r="E385" s="22" t="n">
        <v>1.671</v>
      </c>
      <c r="F385" s="22" t="n">
        <v>2.105</v>
      </c>
      <c r="G385" s="22" t="n">
        <v>2.354</v>
      </c>
      <c r="H385" s="22" t="n"/>
      <c r="I385" s="22" t="n">
        <v>4.92</v>
      </c>
      <c r="J385" s="22" t="n">
        <v>4.98</v>
      </c>
      <c r="K385" s="22" t="n">
        <v>4.76</v>
      </c>
      <c r="L385" s="17">
        <f>$J385-$B385</f>
        <v/>
      </c>
      <c r="M385" s="17">
        <f>$I385-$L385</f>
        <v/>
      </c>
      <c r="N385" s="23">
        <f>($G385-$M385)*100</f>
        <v/>
      </c>
      <c r="O385" s="15">
        <f>($E385-$C385)*100</f>
        <v/>
      </c>
      <c r="P385" s="15">
        <f>($G385-$E385)*100</f>
        <v/>
      </c>
      <c r="Q385" s="15">
        <f>($G385-$C385)*100</f>
        <v/>
      </c>
      <c r="R385" s="15">
        <f>IF($H385="","",($H385-$F385)*100)</f>
        <v/>
      </c>
      <c r="S385" s="15">
        <f>IF($H385="","",($H385-$G385)*100)</f>
        <v/>
      </c>
    </row>
    <row r="386">
      <c r="A386" s="11" t="n">
        <v>39185</v>
      </c>
      <c r="B386" s="22" t="n">
        <v>0.64</v>
      </c>
      <c r="C386" s="22" t="n">
        <v>0.8100000000000001</v>
      </c>
      <c r="D386" s="22" t="n">
        <v>1.204</v>
      </c>
      <c r="E386" s="22" t="n">
        <v>1.667</v>
      </c>
      <c r="F386" s="22" t="n">
        <v>2.117</v>
      </c>
      <c r="G386" s="22" t="n">
        <v>2.363</v>
      </c>
      <c r="H386" s="22" t="n"/>
      <c r="I386" s="22" t="n">
        <v>4.93</v>
      </c>
      <c r="J386" s="22" t="n">
        <v>4.98</v>
      </c>
      <c r="K386" s="22" t="n">
        <v>4.76</v>
      </c>
      <c r="L386" s="17">
        <f>$J386-$B386</f>
        <v/>
      </c>
      <c r="M386" s="17">
        <f>$I386-$L386</f>
        <v/>
      </c>
      <c r="N386" s="23">
        <f>($G386-$M386)*100</f>
        <v/>
      </c>
      <c r="O386" s="15">
        <f>($E386-$C386)*100</f>
        <v/>
      </c>
      <c r="P386" s="15">
        <f>($G386-$E386)*100</f>
        <v/>
      </c>
      <c r="Q386" s="15">
        <f>($G386-$C386)*100</f>
        <v/>
      </c>
      <c r="R386" s="15">
        <f>IF($H386="","",($H386-$F386)*100)</f>
        <v/>
      </c>
      <c r="S386" s="15">
        <f>IF($H386="","",($H386-$G386)*100)</f>
        <v/>
      </c>
    </row>
    <row r="387">
      <c r="A387" s="11" t="n">
        <v>39192</v>
      </c>
      <c r="B387" s="22" t="n">
        <v>0.654</v>
      </c>
      <c r="C387" s="22" t="n">
        <v>0.852</v>
      </c>
      <c r="D387" s="22" t="n">
        <v>1.259</v>
      </c>
      <c r="E387" s="22" t="n">
        <v>1.692</v>
      </c>
      <c r="F387" s="22" t="n">
        <v>2.118</v>
      </c>
      <c r="G387" s="22" t="n">
        <v>2.343</v>
      </c>
      <c r="H387" s="22" t="n"/>
      <c r="I387" s="22" t="n">
        <v>4.85</v>
      </c>
      <c r="J387" s="22" t="n">
        <v>4.91</v>
      </c>
      <c r="K387" s="22" t="n">
        <v>4.68</v>
      </c>
      <c r="L387" s="17">
        <f>$J387-$B387</f>
        <v/>
      </c>
      <c r="M387" s="17">
        <f>$I387-$L387</f>
        <v/>
      </c>
      <c r="N387" s="23">
        <f>($G387-$M387)*100</f>
        <v/>
      </c>
      <c r="O387" s="15">
        <f>($E387-$C387)*100</f>
        <v/>
      </c>
      <c r="P387" s="15">
        <f>($G387-$E387)*100</f>
        <v/>
      </c>
      <c r="Q387" s="15">
        <f>($G387-$C387)*100</f>
        <v/>
      </c>
      <c r="R387" s="15">
        <f>IF($H387="","",($H387-$F387)*100)</f>
        <v/>
      </c>
      <c r="S387" s="15">
        <f>IF($H387="","",($H387-$G387)*100)</f>
        <v/>
      </c>
    </row>
    <row r="388">
      <c r="A388" s="11" t="n">
        <v>39199</v>
      </c>
      <c r="B388" s="22" t="n">
        <v>0.672</v>
      </c>
      <c r="C388" s="22" t="n">
        <v>0.847</v>
      </c>
      <c r="D388" s="22" t="n">
        <v>1.215</v>
      </c>
      <c r="E388" s="22" t="n">
        <v>1.631</v>
      </c>
      <c r="F388" s="22" t="n">
        <v>2.064</v>
      </c>
      <c r="G388" s="22" t="n">
        <v>2.298</v>
      </c>
      <c r="H388" s="22" t="n"/>
      <c r="I388" s="22" t="n">
        <v>4.89</v>
      </c>
      <c r="J388" s="22" t="n">
        <v>4.91</v>
      </c>
      <c r="K388" s="22" t="n">
        <v>4.71</v>
      </c>
      <c r="L388" s="17">
        <f>$J388-$B388</f>
        <v/>
      </c>
      <c r="M388" s="17">
        <f>$I388-$L388</f>
        <v/>
      </c>
      <c r="N388" s="23">
        <f>($G388-$M388)*100</f>
        <v/>
      </c>
      <c r="O388" s="15">
        <f>($E388-$C388)*100</f>
        <v/>
      </c>
      <c r="P388" s="15">
        <f>($G388-$E388)*100</f>
        <v/>
      </c>
      <c r="Q388" s="15">
        <f>($G388-$C388)*100</f>
        <v/>
      </c>
      <c r="R388" s="15">
        <f>IF($H388="","",($H388-$F388)*100)</f>
        <v/>
      </c>
      <c r="S388" s="15">
        <f>IF($H388="","",($H388-$G388)*100)</f>
        <v/>
      </c>
    </row>
    <row r="389">
      <c r="A389" s="11" t="n">
        <v>39206</v>
      </c>
      <c r="B389" s="22" t="n">
        <v>0.678</v>
      </c>
      <c r="C389" s="22" t="n">
        <v>0.842</v>
      </c>
      <c r="D389" s="22" t="n">
        <v>1.2</v>
      </c>
      <c r="E389" s="22" t="n">
        <v>1.637</v>
      </c>
      <c r="F389" s="22" t="n">
        <v>2.069</v>
      </c>
      <c r="G389" s="22" t="n">
        <v>2.302</v>
      </c>
      <c r="H389" s="22" t="n"/>
      <c r="I389" s="22" t="n">
        <v>4.8</v>
      </c>
      <c r="J389" s="22" t="n">
        <v>4.91</v>
      </c>
      <c r="K389" s="22" t="n">
        <v>4.65</v>
      </c>
      <c r="L389" s="17">
        <f>$J389-$B389</f>
        <v/>
      </c>
      <c r="M389" s="17">
        <f>$I389-$L389</f>
        <v/>
      </c>
      <c r="N389" s="23">
        <f>($G389-$M389)*100</f>
        <v/>
      </c>
      <c r="O389" s="15">
        <f>($E389-$C389)*100</f>
        <v/>
      </c>
      <c r="P389" s="15">
        <f>($G389-$E389)*100</f>
        <v/>
      </c>
      <c r="Q389" s="15">
        <f>($G389-$C389)*100</f>
        <v/>
      </c>
      <c r="R389" s="15">
        <f>IF($H389="","",($H389-$F389)*100)</f>
        <v/>
      </c>
      <c r="S389" s="15">
        <f>IF($H389="","",($H389-$G389)*100)</f>
        <v/>
      </c>
    </row>
    <row r="390">
      <c r="A390" s="11" t="n">
        <v>39213</v>
      </c>
      <c r="B390" s="22" t="n">
        <v>0.679</v>
      </c>
      <c r="C390" s="22" t="n">
        <v>0.865</v>
      </c>
      <c r="D390" s="22" t="n">
        <v>1.242</v>
      </c>
      <c r="E390" s="22" t="n">
        <v>1.654</v>
      </c>
      <c r="F390" s="22" t="n">
        <v>2.091</v>
      </c>
      <c r="G390" s="22" t="n">
        <v>2.324</v>
      </c>
      <c r="H390" s="22" t="n"/>
      <c r="I390" s="22" t="n">
        <v>4.85</v>
      </c>
      <c r="J390" s="22" t="n">
        <v>4.85</v>
      </c>
      <c r="K390" s="22" t="n">
        <v>4.67</v>
      </c>
      <c r="L390" s="17">
        <f>$J390-$B390</f>
        <v/>
      </c>
      <c r="M390" s="17">
        <f>$I390-$L390</f>
        <v/>
      </c>
      <c r="N390" s="23">
        <f>($G390-$M390)*100</f>
        <v/>
      </c>
      <c r="O390" s="15">
        <f>($E390-$C390)*100</f>
        <v/>
      </c>
      <c r="P390" s="15">
        <f>($G390-$E390)*100</f>
        <v/>
      </c>
      <c r="Q390" s="15">
        <f>($G390-$C390)*100</f>
        <v/>
      </c>
      <c r="R390" s="15">
        <f>IF($H390="","",($H390-$F390)*100)</f>
        <v/>
      </c>
      <c r="S390" s="15">
        <f>IF($H390="","",($H390-$G390)*100)</f>
        <v/>
      </c>
    </row>
    <row r="391">
      <c r="A391" s="11" t="n">
        <v>39220</v>
      </c>
      <c r="B391" s="22" t="n">
        <v>0.68</v>
      </c>
      <c r="C391" s="22" t="n">
        <v>0.875</v>
      </c>
      <c r="D391" s="22" t="n">
        <v>1.234</v>
      </c>
      <c r="E391" s="22" t="n">
        <v>1.649</v>
      </c>
      <c r="F391" s="22" t="n">
        <v>2.079</v>
      </c>
      <c r="G391" s="22" t="n">
        <v>2.302</v>
      </c>
      <c r="H391" s="22" t="n"/>
      <c r="I391" s="22" t="n">
        <v>4.96</v>
      </c>
      <c r="J391" s="22" t="n">
        <v>4.92</v>
      </c>
      <c r="K391" s="22" t="n">
        <v>4.81</v>
      </c>
      <c r="L391" s="17">
        <f>$J391-$B391</f>
        <v/>
      </c>
      <c r="M391" s="17">
        <f>$I391-$L391</f>
        <v/>
      </c>
      <c r="N391" s="23">
        <f>($G391-$M391)*100</f>
        <v/>
      </c>
      <c r="O391" s="15">
        <f>($E391-$C391)*100</f>
        <v/>
      </c>
      <c r="P391" s="15">
        <f>($G391-$E391)*100</f>
        <v/>
      </c>
      <c r="Q391" s="15">
        <f>($G391-$C391)*100</f>
        <v/>
      </c>
      <c r="R391" s="15">
        <f>IF($H391="","",($H391-$F391)*100)</f>
        <v/>
      </c>
      <c r="S391" s="15">
        <f>IF($H391="","",($H391-$G391)*100)</f>
        <v/>
      </c>
    </row>
    <row r="392">
      <c r="A392" s="11" t="n">
        <v>39227</v>
      </c>
      <c r="B392" s="22" t="n">
        <v>0.717</v>
      </c>
      <c r="C392" s="22" t="n">
        <v>0.918</v>
      </c>
      <c r="D392" s="22" t="n">
        <v>1.317</v>
      </c>
      <c r="E392" s="22" t="n">
        <v>1.728</v>
      </c>
      <c r="F392" s="22" t="n">
        <v>2.136</v>
      </c>
      <c r="G392" s="22" t="n">
        <v>2.356</v>
      </c>
      <c r="H392" s="22" t="n"/>
      <c r="I392" s="22" t="n">
        <v>5.01</v>
      </c>
      <c r="J392" s="22" t="n">
        <v>4.93</v>
      </c>
      <c r="K392" s="22" t="n">
        <v>4.86</v>
      </c>
      <c r="L392" s="17">
        <f>$J392-$B392</f>
        <v/>
      </c>
      <c r="M392" s="17">
        <f>$I392-$L392</f>
        <v/>
      </c>
      <c r="N392" s="23">
        <f>($G392-$M392)*100</f>
        <v/>
      </c>
      <c r="O392" s="15">
        <f>($E392-$C392)*100</f>
        <v/>
      </c>
      <c r="P392" s="15">
        <f>($G392-$E392)*100</f>
        <v/>
      </c>
      <c r="Q392" s="15">
        <f>($G392-$C392)*100</f>
        <v/>
      </c>
      <c r="R392" s="15">
        <f>IF($H392="","",($H392-$F392)*100)</f>
        <v/>
      </c>
      <c r="S392" s="15">
        <f>IF($H392="","",($H392-$G392)*100)</f>
        <v/>
      </c>
    </row>
    <row r="393">
      <c r="A393" s="11" t="n">
        <v>39234</v>
      </c>
      <c r="B393" s="22" t="n">
        <v>0.779</v>
      </c>
      <c r="C393" s="22" t="n">
        <v>0.977</v>
      </c>
      <c r="D393" s="22" t="n">
        <v>1.387</v>
      </c>
      <c r="E393" s="22" t="n">
        <v>1.78</v>
      </c>
      <c r="F393" s="22" t="n">
        <v>2.152</v>
      </c>
      <c r="G393" s="22" t="n">
        <v>2.356</v>
      </c>
      <c r="H393" s="22" t="n"/>
      <c r="I393" s="22" t="n">
        <v>5.06</v>
      </c>
      <c r="J393" s="22" t="n">
        <v>4.98</v>
      </c>
      <c r="K393" s="22" t="n">
        <v>4.95</v>
      </c>
      <c r="L393" s="17">
        <f>$J393-$B393</f>
        <v/>
      </c>
      <c r="M393" s="17">
        <f>$I393-$L393</f>
        <v/>
      </c>
      <c r="N393" s="23">
        <f>($G393-$M393)*100</f>
        <v/>
      </c>
      <c r="O393" s="15">
        <f>($E393-$C393)*100</f>
        <v/>
      </c>
      <c r="P393" s="15">
        <f>($G393-$E393)*100</f>
        <v/>
      </c>
      <c r="Q393" s="15">
        <f>($G393-$C393)*100</f>
        <v/>
      </c>
      <c r="R393" s="15">
        <f>IF($H393="","",($H393-$F393)*100)</f>
        <v/>
      </c>
      <c r="S393" s="15">
        <f>IF($H393="","",($H393-$G393)*100)</f>
        <v/>
      </c>
    </row>
    <row r="394">
      <c r="A394" s="11" t="n">
        <v>39241</v>
      </c>
      <c r="B394" s="22" t="n">
        <v>0.829</v>
      </c>
      <c r="C394" s="22" t="n">
        <v>1.037</v>
      </c>
      <c r="D394" s="22" t="n">
        <v>1.515</v>
      </c>
      <c r="E394" s="22" t="n">
        <v>1.883</v>
      </c>
      <c r="F394" s="22" t="n">
        <v>2.213</v>
      </c>
      <c r="G394" s="22" t="n">
        <v>2.41</v>
      </c>
      <c r="H394" s="22" t="n"/>
      <c r="I394" s="22" t="n">
        <v>5.22</v>
      </c>
      <c r="J394" s="22" t="n">
        <v>4.96</v>
      </c>
      <c r="K394" s="22" t="n">
        <v>5.12</v>
      </c>
      <c r="L394" s="17">
        <f>$J394-$B394</f>
        <v/>
      </c>
      <c r="M394" s="17">
        <f>$I394-$L394</f>
        <v/>
      </c>
      <c r="N394" s="23">
        <f>($G394-$M394)*100</f>
        <v/>
      </c>
      <c r="O394" s="15">
        <f>($E394-$C394)*100</f>
        <v/>
      </c>
      <c r="P394" s="15">
        <f>($G394-$E394)*100</f>
        <v/>
      </c>
      <c r="Q394" s="15">
        <f>($G394-$C394)*100</f>
        <v/>
      </c>
      <c r="R394" s="15">
        <f>IF($H394="","",($H394-$F394)*100)</f>
        <v/>
      </c>
      <c r="S394" s="15">
        <f>IF($H394="","",($H394-$G394)*100)</f>
        <v/>
      </c>
    </row>
    <row r="395">
      <c r="A395" s="11" t="n">
        <v>39248</v>
      </c>
      <c r="B395" s="22" t="n">
        <v>0.84</v>
      </c>
      <c r="C395" s="22" t="n">
        <v>1.03</v>
      </c>
      <c r="D395" s="22" t="n">
        <v>1.515</v>
      </c>
      <c r="E395" s="22" t="n">
        <v>1.927</v>
      </c>
      <c r="F395" s="22" t="n">
        <v>2.317</v>
      </c>
      <c r="G395" s="22" t="n">
        <v>2.516</v>
      </c>
      <c r="H395" s="22" t="n"/>
      <c r="I395" s="22" t="n">
        <v>5.26</v>
      </c>
      <c r="J395" s="22" t="n">
        <v>4.93</v>
      </c>
      <c r="K395" s="22" t="n">
        <v>5.16</v>
      </c>
      <c r="L395" s="17">
        <f>$J395-$B395</f>
        <v/>
      </c>
      <c r="M395" s="17">
        <f>$I395-$L395</f>
        <v/>
      </c>
      <c r="N395" s="23">
        <f>($G395-$M395)*100</f>
        <v/>
      </c>
      <c r="O395" s="15">
        <f>($E395-$C395)*100</f>
        <v/>
      </c>
      <c r="P395" s="15">
        <f>($G395-$E395)*100</f>
        <v/>
      </c>
      <c r="Q395" s="15">
        <f>($G395-$C395)*100</f>
        <v/>
      </c>
      <c r="R395" s="15">
        <f>IF($H395="","",($H395-$F395)*100)</f>
        <v/>
      </c>
      <c r="S395" s="15">
        <f>IF($H395="","",($H395-$G395)*100)</f>
        <v/>
      </c>
    </row>
    <row r="396">
      <c r="A396" s="11" t="n">
        <v>39255</v>
      </c>
      <c r="B396" s="22" t="n">
        <v>0.831</v>
      </c>
      <c r="C396" s="22" t="n">
        <v>1.013</v>
      </c>
      <c r="D396" s="22" t="n">
        <v>1.496</v>
      </c>
      <c r="E396" s="22" t="n">
        <v>1.888</v>
      </c>
      <c r="F396" s="22" t="n">
        <v>2.278</v>
      </c>
      <c r="G396" s="22" t="n">
        <v>2.495</v>
      </c>
      <c r="H396" s="22" t="n"/>
      <c r="I396" s="22" t="n">
        <v>5.25</v>
      </c>
      <c r="J396" s="22" t="n">
        <v>4.94</v>
      </c>
      <c r="K396" s="22" t="n">
        <v>5.14</v>
      </c>
      <c r="L396" s="17">
        <f>$J396-$B396</f>
        <v/>
      </c>
      <c r="M396" s="17">
        <f>$I396-$L396</f>
        <v/>
      </c>
      <c r="N396" s="23">
        <f>($G396-$M396)*100</f>
        <v/>
      </c>
      <c r="O396" s="15">
        <f>($E396-$C396)*100</f>
        <v/>
      </c>
      <c r="P396" s="15">
        <f>($G396-$E396)*100</f>
        <v/>
      </c>
      <c r="Q396" s="15">
        <f>($G396-$C396)*100</f>
        <v/>
      </c>
      <c r="R396" s="15">
        <f>IF($H396="","",($H396-$F396)*100)</f>
        <v/>
      </c>
      <c r="S396" s="15">
        <f>IF($H396="","",($H396-$G396)*100)</f>
        <v/>
      </c>
    </row>
    <row r="397">
      <c r="A397" s="11" t="n">
        <v>39262</v>
      </c>
      <c r="B397" s="22" t="n">
        <v>0.828</v>
      </c>
      <c r="C397" s="22" t="n">
        <v>1.01</v>
      </c>
      <c r="D397" s="22" t="n">
        <v>1.474</v>
      </c>
      <c r="E397" s="22" t="n">
        <v>1.866</v>
      </c>
      <c r="F397" s="22" t="n">
        <v>2.245</v>
      </c>
      <c r="G397" s="22" t="n">
        <v>2.463</v>
      </c>
      <c r="H397" s="22" t="n"/>
      <c r="I397" s="22" t="n">
        <v>5.12</v>
      </c>
      <c r="J397" s="22" t="n">
        <v>4.91</v>
      </c>
      <c r="K397" s="22" t="n">
        <v>5.03</v>
      </c>
      <c r="L397" s="17">
        <f>$J397-$B397</f>
        <v/>
      </c>
      <c r="M397" s="17">
        <f>$I397-$L397</f>
        <v/>
      </c>
      <c r="N397" s="23">
        <f>($G397-$M397)*100</f>
        <v/>
      </c>
      <c r="O397" s="15">
        <f>($E397-$C397)*100</f>
        <v/>
      </c>
      <c r="P397" s="15">
        <f>($G397-$E397)*100</f>
        <v/>
      </c>
      <c r="Q397" s="15">
        <f>($G397-$C397)*100</f>
        <v/>
      </c>
      <c r="R397" s="15">
        <f>IF($H397="","",($H397-$F397)*100)</f>
        <v/>
      </c>
      <c r="S397" s="15">
        <f>IF($H397="","",($H397-$G397)*100)</f>
        <v/>
      </c>
    </row>
    <row r="398">
      <c r="A398" s="11" t="n">
        <v>39269</v>
      </c>
      <c r="B398" s="22" t="n">
        <v>0.852</v>
      </c>
      <c r="C398" s="22" t="n">
        <v>1.058</v>
      </c>
      <c r="D398" s="22" t="n">
        <v>1.539</v>
      </c>
      <c r="E398" s="22" t="n">
        <v>1.929</v>
      </c>
      <c r="F398" s="22" t="n">
        <v>2.305</v>
      </c>
      <c r="G398" s="22" t="n">
        <v>2.514</v>
      </c>
      <c r="H398" s="22" t="n"/>
      <c r="I398" s="22" t="n">
        <v>5.28</v>
      </c>
      <c r="J398" s="22" t="n">
        <v>5</v>
      </c>
      <c r="K398" s="22" t="n">
        <v>5.19</v>
      </c>
      <c r="L398" s="17">
        <f>$J398-$B398</f>
        <v/>
      </c>
      <c r="M398" s="17">
        <f>$I398-$L398</f>
        <v/>
      </c>
      <c r="N398" s="23">
        <f>($G398-$M398)*100</f>
        <v/>
      </c>
      <c r="O398" s="15">
        <f>($E398-$C398)*100</f>
        <v/>
      </c>
      <c r="P398" s="15">
        <f>($G398-$E398)*100</f>
        <v/>
      </c>
      <c r="Q398" s="15">
        <f>($G398-$C398)*100</f>
        <v/>
      </c>
      <c r="R398" s="15">
        <f>IF($H398="","",($H398-$F398)*100)</f>
        <v/>
      </c>
      <c r="S398" s="15">
        <f>IF($H398="","",($H398-$G398)*100)</f>
        <v/>
      </c>
    </row>
    <row r="399">
      <c r="A399" s="11" t="n">
        <v>39276</v>
      </c>
      <c r="B399" s="22" t="n">
        <v>0.852</v>
      </c>
      <c r="C399" s="22" t="n">
        <v>1.051</v>
      </c>
      <c r="D399" s="22" t="n">
        <v>1.533</v>
      </c>
      <c r="E399" s="22" t="n">
        <v>1.931</v>
      </c>
      <c r="F399" s="22" t="n">
        <v>2.328</v>
      </c>
      <c r="G399" s="22" t="n">
        <v>2.541</v>
      </c>
      <c r="H399" s="22" t="n"/>
      <c r="I399" s="22" t="n">
        <v>5.19</v>
      </c>
      <c r="J399" s="22" t="n">
        <v>5.01</v>
      </c>
      <c r="K399" s="22" t="n">
        <v>5.11</v>
      </c>
      <c r="L399" s="17">
        <f>$J399-$B399</f>
        <v/>
      </c>
      <c r="M399" s="17">
        <f>$I399-$L399</f>
        <v/>
      </c>
      <c r="N399" s="23">
        <f>($G399-$M399)*100</f>
        <v/>
      </c>
      <c r="O399" s="15">
        <f>($E399-$C399)*100</f>
        <v/>
      </c>
      <c r="P399" s="15">
        <f>($G399-$E399)*100</f>
        <v/>
      </c>
      <c r="Q399" s="15">
        <f>($G399-$C399)*100</f>
        <v/>
      </c>
      <c r="R399" s="15">
        <f>IF($H399="","",($H399-$F399)*100)</f>
        <v/>
      </c>
      <c r="S399" s="15">
        <f>IF($H399="","",($H399-$G399)*100)</f>
        <v/>
      </c>
    </row>
    <row r="400">
      <c r="A400" s="11" t="n">
        <v>39283</v>
      </c>
      <c r="B400" s="22" t="n">
        <v>0.84</v>
      </c>
      <c r="C400" s="22" t="n">
        <v>1.033</v>
      </c>
      <c r="D400" s="22" t="n">
        <v>1.491</v>
      </c>
      <c r="E400" s="22" t="n">
        <v>1.883</v>
      </c>
      <c r="F400" s="22" t="n">
        <v>2.293</v>
      </c>
      <c r="G400" s="22" t="n">
        <v>2.507</v>
      </c>
      <c r="H400" s="22" t="n"/>
      <c r="I400" s="22" t="n">
        <v>5.07</v>
      </c>
      <c r="J400" s="22" t="n">
        <v>4.96</v>
      </c>
      <c r="K400" s="22" t="n">
        <v>4.96</v>
      </c>
      <c r="L400" s="17">
        <f>$J400-$B400</f>
        <v/>
      </c>
      <c r="M400" s="17">
        <f>$I400-$L400</f>
        <v/>
      </c>
      <c r="N400" s="23">
        <f>($G400-$M400)*100</f>
        <v/>
      </c>
      <c r="O400" s="15">
        <f>($E400-$C400)*100</f>
        <v/>
      </c>
      <c r="P400" s="15">
        <f>($G400-$E400)*100</f>
        <v/>
      </c>
      <c r="Q400" s="15">
        <f>($G400-$C400)*100</f>
        <v/>
      </c>
      <c r="R400" s="15">
        <f>IF($H400="","",($H400-$F400)*100)</f>
        <v/>
      </c>
      <c r="S400" s="15">
        <f>IF($H400="","",($H400-$G400)*100)</f>
        <v/>
      </c>
    </row>
    <row r="401">
      <c r="A401" s="11" t="n">
        <v>39290</v>
      </c>
      <c r="B401" s="22" t="n">
        <v>0.804</v>
      </c>
      <c r="C401" s="22" t="n">
        <v>0.978</v>
      </c>
      <c r="D401" s="22" t="n">
        <v>1.383</v>
      </c>
      <c r="E401" s="22" t="n">
        <v>1.791</v>
      </c>
      <c r="F401" s="22" t="n">
        <v>2.194</v>
      </c>
      <c r="G401" s="22" t="n">
        <v>2.421</v>
      </c>
      <c r="H401" s="22" t="n"/>
      <c r="I401" s="22" t="n">
        <v>4.95</v>
      </c>
      <c r="J401" s="22" t="n">
        <v>4.82</v>
      </c>
      <c r="K401" s="22" t="n">
        <v>4.8</v>
      </c>
      <c r="L401" s="17">
        <f>$J401-$B401</f>
        <v/>
      </c>
      <c r="M401" s="17">
        <f>$I401-$L401</f>
        <v/>
      </c>
      <c r="N401" s="23">
        <f>($G401-$M401)*100</f>
        <v/>
      </c>
      <c r="O401" s="15">
        <f>($E401-$C401)*100</f>
        <v/>
      </c>
      <c r="P401" s="15">
        <f>($G401-$E401)*100</f>
        <v/>
      </c>
      <c r="Q401" s="15">
        <f>($G401-$C401)*100</f>
        <v/>
      </c>
      <c r="R401" s="15">
        <f>IF($H401="","",($H401-$F401)*100)</f>
        <v/>
      </c>
      <c r="S401" s="15">
        <f>IF($H401="","",($H401-$G401)*100)</f>
        <v/>
      </c>
    </row>
    <row r="402">
      <c r="A402" s="11" t="n">
        <v>39297</v>
      </c>
      <c r="B402" s="22" t="n">
        <v>0.795</v>
      </c>
      <c r="C402" s="22" t="n">
        <v>0.978</v>
      </c>
      <c r="D402" s="22" t="n">
        <v>1.359</v>
      </c>
      <c r="E402" s="22" t="n">
        <v>1.78</v>
      </c>
      <c r="F402" s="22" t="n">
        <v>2.203</v>
      </c>
      <c r="G402" s="22" t="n">
        <v>2.43</v>
      </c>
      <c r="H402" s="22" t="n"/>
      <c r="I402" s="22" t="n">
        <v>4.87</v>
      </c>
      <c r="J402" s="22" t="n">
        <v>4.76</v>
      </c>
      <c r="K402" s="22" t="n">
        <v>4.71</v>
      </c>
      <c r="L402" s="17">
        <f>$J402-$B402</f>
        <v/>
      </c>
      <c r="M402" s="17">
        <f>$I402-$L402</f>
        <v/>
      </c>
      <c r="N402" s="23">
        <f>($G402-$M402)*100</f>
        <v/>
      </c>
      <c r="O402" s="15">
        <f>($E402-$C402)*100</f>
        <v/>
      </c>
      <c r="P402" s="15">
        <f>($G402-$E402)*100</f>
        <v/>
      </c>
      <c r="Q402" s="15">
        <f>($G402-$C402)*100</f>
        <v/>
      </c>
      <c r="R402" s="15">
        <f>IF($H402="","",($H402-$F402)*100)</f>
        <v/>
      </c>
      <c r="S402" s="15">
        <f>IF($H402="","",($H402-$G402)*100)</f>
        <v/>
      </c>
    </row>
    <row r="403">
      <c r="A403" s="11" t="n">
        <v>39304</v>
      </c>
      <c r="B403" s="22" t="n">
        <v>0.761</v>
      </c>
      <c r="C403" s="22" t="n">
        <v>0.944</v>
      </c>
      <c r="D403" s="22" t="n">
        <v>1.302</v>
      </c>
      <c r="E403" s="22" t="n">
        <v>1.722</v>
      </c>
      <c r="F403" s="22" t="n">
        <v>2.159</v>
      </c>
      <c r="G403" s="22" t="n">
        <v>2.39</v>
      </c>
      <c r="H403" s="22" t="n"/>
      <c r="I403" s="22" t="n">
        <v>5.03</v>
      </c>
      <c r="J403" s="22" t="n">
        <v>4.69</v>
      </c>
      <c r="K403" s="22" t="n">
        <v>4.81</v>
      </c>
      <c r="L403" s="17">
        <f>$J403-$B403</f>
        <v/>
      </c>
      <c r="M403" s="17">
        <f>$I403-$L403</f>
        <v/>
      </c>
      <c r="N403" s="23">
        <f>($G403-$M403)*100</f>
        <v/>
      </c>
      <c r="O403" s="15">
        <f>($E403-$C403)*100</f>
        <v/>
      </c>
      <c r="P403" s="15">
        <f>($G403-$E403)*100</f>
        <v/>
      </c>
      <c r="Q403" s="15">
        <f>($G403-$C403)*100</f>
        <v/>
      </c>
      <c r="R403" s="15">
        <f>IF($H403="","",($H403-$F403)*100)</f>
        <v/>
      </c>
      <c r="S403" s="15">
        <f>IF($H403="","",($H403-$G403)*100)</f>
        <v/>
      </c>
    </row>
    <row r="404">
      <c r="A404" s="11" t="n">
        <v>39311</v>
      </c>
      <c r="B404" s="22" t="n">
        <v>0.667</v>
      </c>
      <c r="C404" s="22" t="n">
        <v>0.8179999999999999</v>
      </c>
      <c r="D404" s="22" t="n">
        <v>1.112</v>
      </c>
      <c r="E404" s="22" t="n">
        <v>1.589</v>
      </c>
      <c r="F404" s="22" t="n">
        <v>2.088</v>
      </c>
      <c r="G404" s="22" t="n">
        <v>2.369</v>
      </c>
      <c r="H404" s="22" t="n"/>
      <c r="I404" s="22" t="n">
        <v>5</v>
      </c>
      <c r="J404" s="22" t="n">
        <v>4.19</v>
      </c>
      <c r="K404" s="22" t="n">
        <v>4.68</v>
      </c>
      <c r="L404" s="17">
        <f>$J404-$B404</f>
        <v/>
      </c>
      <c r="M404" s="17">
        <f>$I404-$L404</f>
        <v/>
      </c>
      <c r="N404" s="23">
        <f>($G404-$M404)*100</f>
        <v/>
      </c>
      <c r="O404" s="15">
        <f>($E404-$C404)*100</f>
        <v/>
      </c>
      <c r="P404" s="15">
        <f>($G404-$E404)*100</f>
        <v/>
      </c>
      <c r="Q404" s="15">
        <f>($G404-$C404)*100</f>
        <v/>
      </c>
      <c r="R404" s="15">
        <f>IF($H404="","",($H404-$F404)*100)</f>
        <v/>
      </c>
      <c r="S404" s="15">
        <f>IF($H404="","",($H404-$G404)*100)</f>
        <v/>
      </c>
    </row>
    <row r="405">
      <c r="A405" s="11" t="n">
        <v>39318</v>
      </c>
      <c r="B405" s="22" t="n">
        <v>0.731</v>
      </c>
      <c r="C405" s="22" t="n">
        <v>0.884</v>
      </c>
      <c r="D405" s="22" t="n">
        <v>1.181</v>
      </c>
      <c r="E405" s="22" t="n">
        <v>1.603</v>
      </c>
      <c r="F405" s="22" t="n">
        <v>2.095</v>
      </c>
      <c r="G405" s="22" t="n">
        <v>2.342</v>
      </c>
      <c r="H405" s="22" t="n"/>
      <c r="I405" s="22" t="n">
        <v>4.88</v>
      </c>
      <c r="J405" s="22" t="n">
        <v>4.31</v>
      </c>
      <c r="K405" s="22" t="n">
        <v>4.63</v>
      </c>
      <c r="L405" s="17">
        <f>$J405-$B405</f>
        <v/>
      </c>
      <c r="M405" s="17">
        <f>$I405-$L405</f>
        <v/>
      </c>
      <c r="N405" s="23">
        <f>($G405-$M405)*100</f>
        <v/>
      </c>
      <c r="O405" s="15">
        <f>($E405-$C405)*100</f>
        <v/>
      </c>
      <c r="P405" s="15">
        <f>($G405-$E405)*100</f>
        <v/>
      </c>
      <c r="Q405" s="15">
        <f>($G405-$C405)*100</f>
        <v/>
      </c>
      <c r="R405" s="15">
        <f>IF($H405="","",($H405-$F405)*100)</f>
        <v/>
      </c>
      <c r="S405" s="15">
        <f>IF($H405="","",($H405-$G405)*100)</f>
        <v/>
      </c>
    </row>
    <row r="406">
      <c r="A406" s="11" t="n">
        <v>39325</v>
      </c>
      <c r="B406" s="22" t="n">
        <v>0.73</v>
      </c>
      <c r="C406" s="22" t="n">
        <v>0.87</v>
      </c>
      <c r="D406" s="22" t="n">
        <v>1.183</v>
      </c>
      <c r="E406" s="22" t="n">
        <v>1.616</v>
      </c>
      <c r="F406" s="22" t="n">
        <v>2.121</v>
      </c>
      <c r="G406" s="22" t="n">
        <v>2.361</v>
      </c>
      <c r="H406" s="22" t="n"/>
      <c r="I406" s="22" t="n">
        <v>4.83</v>
      </c>
      <c r="J406" s="22" t="n">
        <v>4.19</v>
      </c>
      <c r="K406" s="22" t="n">
        <v>4.54</v>
      </c>
      <c r="L406" s="17">
        <f>$J406-$B406</f>
        <v/>
      </c>
      <c r="M406" s="17">
        <f>$I406-$L406</f>
        <v/>
      </c>
      <c r="N406" s="23">
        <f>($G406-$M406)*100</f>
        <v/>
      </c>
      <c r="O406" s="15">
        <f>($E406-$C406)*100</f>
        <v/>
      </c>
      <c r="P406" s="15">
        <f>($G406-$E406)*100</f>
        <v/>
      </c>
      <c r="Q406" s="15">
        <f>($G406-$C406)*100</f>
        <v/>
      </c>
      <c r="R406" s="15">
        <f>IF($H406="","",($H406-$F406)*100)</f>
        <v/>
      </c>
      <c r="S406" s="15">
        <f>IF($H406="","",($H406-$G406)*100)</f>
        <v/>
      </c>
    </row>
    <row r="407">
      <c r="A407" s="11" t="n">
        <v>39332</v>
      </c>
      <c r="B407" s="22" t="n">
        <v>0.695</v>
      </c>
      <c r="C407" s="22" t="n">
        <v>0.8169999999999999</v>
      </c>
      <c r="D407" s="22" t="n">
        <v>1.146</v>
      </c>
      <c r="E407" s="22" t="n">
        <v>1.59</v>
      </c>
      <c r="F407" s="22" t="n">
        <v>2.092</v>
      </c>
      <c r="G407" s="22" t="n">
        <v>2.346</v>
      </c>
      <c r="H407" s="22" t="n"/>
      <c r="I407" s="22" t="n">
        <v>4.7</v>
      </c>
      <c r="J407" s="22" t="n">
        <v>4.1</v>
      </c>
      <c r="K407" s="22" t="n">
        <v>4.38</v>
      </c>
      <c r="L407" s="17">
        <f>$J407-$B407</f>
        <v/>
      </c>
      <c r="M407" s="17">
        <f>$I407-$L407</f>
        <v/>
      </c>
      <c r="N407" s="23">
        <f>($G407-$M407)*100</f>
        <v/>
      </c>
      <c r="O407" s="15">
        <f>($E407-$C407)*100</f>
        <v/>
      </c>
      <c r="P407" s="15">
        <f>($G407-$E407)*100</f>
        <v/>
      </c>
      <c r="Q407" s="15">
        <f>($G407-$C407)*100</f>
        <v/>
      </c>
      <c r="R407" s="15">
        <f>IF($H407="","",($H407-$F407)*100)</f>
        <v/>
      </c>
      <c r="S407" s="15">
        <f>IF($H407="","",($H407-$G407)*100)</f>
        <v/>
      </c>
    </row>
    <row r="408">
      <c r="A408" s="11" t="n">
        <v>39339</v>
      </c>
      <c r="B408" s="22" t="n">
        <v>0.678</v>
      </c>
      <c r="C408" s="22" t="n">
        <v>0.793</v>
      </c>
      <c r="D408" s="22" t="n">
        <v>1.102</v>
      </c>
      <c r="E408" s="22" t="n">
        <v>1.549</v>
      </c>
      <c r="F408" s="22" t="n">
        <v>2.094</v>
      </c>
      <c r="G408" s="22" t="n">
        <v>2.359</v>
      </c>
      <c r="H408" s="22" t="n"/>
      <c r="I408" s="22" t="n">
        <v>4.72</v>
      </c>
      <c r="J408" s="22" t="n">
        <v>4.16</v>
      </c>
      <c r="K408" s="22" t="n">
        <v>4.47</v>
      </c>
      <c r="L408" s="17">
        <f>$J408-$B408</f>
        <v/>
      </c>
      <c r="M408" s="17">
        <f>$I408-$L408</f>
        <v/>
      </c>
      <c r="N408" s="23">
        <f>($G408-$M408)*100</f>
        <v/>
      </c>
      <c r="O408" s="15">
        <f>($E408-$C408)*100</f>
        <v/>
      </c>
      <c r="P408" s="15">
        <f>($G408-$E408)*100</f>
        <v/>
      </c>
      <c r="Q408" s="15">
        <f>($G408-$C408)*100</f>
        <v/>
      </c>
      <c r="R408" s="15">
        <f>IF($H408="","",($H408-$F408)*100)</f>
        <v/>
      </c>
      <c r="S408" s="15">
        <f>IF($H408="","",($H408-$G408)*100)</f>
        <v/>
      </c>
    </row>
    <row r="409">
      <c r="A409" s="11" t="n">
        <v>39346</v>
      </c>
      <c r="B409" s="22" t="n">
        <v>0.6850000000000001</v>
      </c>
      <c r="C409" s="22" t="n">
        <v>0.843</v>
      </c>
      <c r="D409" s="22" t="n">
        <v>1.208</v>
      </c>
      <c r="E409" s="22" t="n">
        <v>1.679</v>
      </c>
      <c r="F409" s="22" t="n">
        <v>2.203</v>
      </c>
      <c r="G409" s="22" t="n">
        <v>2.454</v>
      </c>
      <c r="H409" s="22" t="n"/>
      <c r="I409" s="22" t="n">
        <v>4.89</v>
      </c>
      <c r="J409" s="22" t="n">
        <v>4.09</v>
      </c>
      <c r="K409" s="22" t="n">
        <v>4.64</v>
      </c>
      <c r="L409" s="17">
        <f>$J409-$B409</f>
        <v/>
      </c>
      <c r="M409" s="17">
        <f>$I409-$L409</f>
        <v/>
      </c>
      <c r="N409" s="23">
        <f>($G409-$M409)*100</f>
        <v/>
      </c>
      <c r="O409" s="15">
        <f>($E409-$C409)*100</f>
        <v/>
      </c>
      <c r="P409" s="15">
        <f>($G409-$E409)*100</f>
        <v/>
      </c>
      <c r="Q409" s="15">
        <f>($G409-$C409)*100</f>
        <v/>
      </c>
      <c r="R409" s="15">
        <f>IF($H409="","",($H409-$F409)*100)</f>
        <v/>
      </c>
      <c r="S409" s="15">
        <f>IF($H409="","",($H409-$G409)*100)</f>
        <v/>
      </c>
    </row>
    <row r="410">
      <c r="A410" s="11" t="n">
        <v>39353</v>
      </c>
      <c r="B410" s="22" t="n">
        <v>0.697</v>
      </c>
      <c r="C410" s="22" t="n">
        <v>0.856</v>
      </c>
      <c r="D410" s="22" t="n">
        <v>1.195</v>
      </c>
      <c r="E410" s="22" t="n">
        <v>1.679</v>
      </c>
      <c r="F410" s="22" t="n">
        <v>2.18</v>
      </c>
      <c r="G410" s="22" t="n">
        <v>2.433</v>
      </c>
      <c r="H410" s="22" t="n"/>
      <c r="I410" s="22" t="n">
        <v>4.83</v>
      </c>
      <c r="J410" s="22" t="n">
        <v>4.05</v>
      </c>
      <c r="K410" s="22" t="n">
        <v>4.59</v>
      </c>
      <c r="L410" s="17">
        <f>$J410-$B410</f>
        <v/>
      </c>
      <c r="M410" s="17">
        <f>$I410-$L410</f>
        <v/>
      </c>
      <c r="N410" s="23">
        <f>($G410-$M410)*100</f>
        <v/>
      </c>
      <c r="O410" s="15">
        <f>($E410-$C410)*100</f>
        <v/>
      </c>
      <c r="P410" s="15">
        <f>($G410-$E410)*100</f>
        <v/>
      </c>
      <c r="Q410" s="15">
        <f>($G410-$C410)*100</f>
        <v/>
      </c>
      <c r="R410" s="15">
        <f>IF($H410="","",($H410-$F410)*100)</f>
        <v/>
      </c>
      <c r="S410" s="15">
        <f>IF($H410="","",($H410-$G410)*100)</f>
        <v/>
      </c>
    </row>
    <row r="411">
      <c r="A411" s="11" t="n">
        <v>39360</v>
      </c>
      <c r="B411" s="22" t="n">
        <v>0.6899999999999999</v>
      </c>
      <c r="C411" s="22" t="n">
        <v>0.861</v>
      </c>
      <c r="D411" s="22" t="n">
        <v>1.237</v>
      </c>
      <c r="E411" s="22" t="n">
        <v>1.697</v>
      </c>
      <c r="F411" s="22" t="n">
        <v>2.197</v>
      </c>
      <c r="G411" s="22" t="n">
        <v>2.441</v>
      </c>
      <c r="H411" s="22" t="n"/>
      <c r="I411" s="22" t="n">
        <v>4.87</v>
      </c>
      <c r="J411" s="22" t="n">
        <v>4.16</v>
      </c>
      <c r="K411" s="22" t="n">
        <v>4.65</v>
      </c>
      <c r="L411" s="17">
        <f>$J411-$B411</f>
        <v/>
      </c>
      <c r="M411" s="17">
        <f>$I411-$L411</f>
        <v/>
      </c>
      <c r="N411" s="23">
        <f>($G411-$M411)*100</f>
        <v/>
      </c>
      <c r="O411" s="15">
        <f>($E411-$C411)*100</f>
        <v/>
      </c>
      <c r="P411" s="15">
        <f>($G411-$E411)*100</f>
        <v/>
      </c>
      <c r="Q411" s="15">
        <f>($G411-$C411)*100</f>
        <v/>
      </c>
      <c r="R411" s="15">
        <f>IF($H411="","",($H411-$F411)*100)</f>
        <v/>
      </c>
      <c r="S411" s="15">
        <f>IF($H411="","",($H411-$G411)*100)</f>
        <v/>
      </c>
    </row>
    <row r="412">
      <c r="A412" s="11" t="n">
        <v>39367</v>
      </c>
      <c r="B412" s="22" t="n">
        <v>0.6929999999999999</v>
      </c>
      <c r="C412" s="22" t="n">
        <v>0.873</v>
      </c>
      <c r="D412" s="22" t="n">
        <v>1.238</v>
      </c>
      <c r="E412" s="22" t="n">
        <v>1.704</v>
      </c>
      <c r="F412" s="22" t="n">
        <v>2.218</v>
      </c>
      <c r="G412" s="22" t="n">
        <v>2.462</v>
      </c>
      <c r="H412" s="22" t="n"/>
      <c r="I412" s="22" t="n">
        <v>4.91</v>
      </c>
      <c r="J412" s="22" t="n">
        <v>4.28</v>
      </c>
      <c r="K412" s="22" t="n">
        <v>4.7</v>
      </c>
      <c r="L412" s="17">
        <f>$J412-$B412</f>
        <v/>
      </c>
      <c r="M412" s="17">
        <f>$I412-$L412</f>
        <v/>
      </c>
      <c r="N412" s="23">
        <f>($G412-$M412)*100</f>
        <v/>
      </c>
      <c r="O412" s="15">
        <f>($E412-$C412)*100</f>
        <v/>
      </c>
      <c r="P412" s="15">
        <f>($G412-$E412)*100</f>
        <v/>
      </c>
      <c r="Q412" s="15">
        <f>($G412-$C412)*100</f>
        <v/>
      </c>
      <c r="R412" s="15">
        <f>IF($H412="","",($H412-$F412)*100)</f>
        <v/>
      </c>
      <c r="S412" s="15">
        <f>IF($H412="","",($H412-$G412)*100)</f>
        <v/>
      </c>
    </row>
    <row r="413">
      <c r="A413" s="11" t="n">
        <v>39374</v>
      </c>
      <c r="B413" s="22" t="n">
        <v>0.68</v>
      </c>
      <c r="C413" s="22" t="n">
        <v>0.799</v>
      </c>
      <c r="D413" s="22" t="n">
        <v>1.134</v>
      </c>
      <c r="E413" s="22" t="n">
        <v>1.614</v>
      </c>
      <c r="F413" s="22" t="n">
        <v>2.172</v>
      </c>
      <c r="G413" s="22" t="n">
        <v>2.43</v>
      </c>
      <c r="H413" s="22" t="n"/>
      <c r="I413" s="22" t="n">
        <v>4.68</v>
      </c>
      <c r="J413" s="22" t="n">
        <v>3.98</v>
      </c>
      <c r="K413" s="22" t="n">
        <v>4.41</v>
      </c>
      <c r="L413" s="17">
        <f>$J413-$B413</f>
        <v/>
      </c>
      <c r="M413" s="17">
        <f>$I413-$L413</f>
        <v/>
      </c>
      <c r="N413" s="23">
        <f>($G413-$M413)*100</f>
        <v/>
      </c>
      <c r="O413" s="15">
        <f>($E413-$C413)*100</f>
        <v/>
      </c>
      <c r="P413" s="15">
        <f>($G413-$E413)*100</f>
        <v/>
      </c>
      <c r="Q413" s="15">
        <f>($G413-$C413)*100</f>
        <v/>
      </c>
      <c r="R413" s="15">
        <f>IF($H413="","",($H413-$F413)*100)</f>
        <v/>
      </c>
      <c r="S413" s="15">
        <f>IF($H413="","",($H413-$G413)*100)</f>
        <v/>
      </c>
    </row>
    <row r="414">
      <c r="A414" s="11" t="n">
        <v>39381</v>
      </c>
      <c r="B414" s="22" t="n">
        <v>0.675</v>
      </c>
      <c r="C414" s="22" t="n">
        <v>0.783</v>
      </c>
      <c r="D414" s="22" t="n">
        <v>1.121</v>
      </c>
      <c r="E414" s="22" t="n">
        <v>1.627</v>
      </c>
      <c r="F414" s="22" t="n">
        <v>2.188</v>
      </c>
      <c r="G414" s="22" t="n">
        <v>2.457</v>
      </c>
      <c r="H414" s="22" t="n"/>
      <c r="I414" s="22" t="n">
        <v>4.68</v>
      </c>
      <c r="J414" s="22" t="n">
        <v>3.96</v>
      </c>
      <c r="K414" s="22" t="n">
        <v>4.41</v>
      </c>
      <c r="L414" s="17">
        <f>$J414-$B414</f>
        <v/>
      </c>
      <c r="M414" s="17">
        <f>$I414-$L414</f>
        <v/>
      </c>
      <c r="N414" s="23">
        <f>($G414-$M414)*100</f>
        <v/>
      </c>
      <c r="O414" s="15">
        <f>($E414-$C414)*100</f>
        <v/>
      </c>
      <c r="P414" s="15">
        <f>($G414-$E414)*100</f>
        <v/>
      </c>
      <c r="Q414" s="15">
        <f>($G414-$C414)*100</f>
        <v/>
      </c>
      <c r="R414" s="15">
        <f>IF($H414="","",($H414-$F414)*100)</f>
        <v/>
      </c>
      <c r="S414" s="15">
        <f>IF($H414="","",($H414-$G414)*100)</f>
        <v/>
      </c>
    </row>
    <row r="415">
      <c r="A415" s="11" t="n">
        <v>39388</v>
      </c>
      <c r="B415" s="22" t="n">
        <v>0.66</v>
      </c>
      <c r="C415" s="22" t="n">
        <v>0.772</v>
      </c>
      <c r="D415" s="22" t="n">
        <v>1.102</v>
      </c>
      <c r="E415" s="22" t="n">
        <v>1.597</v>
      </c>
      <c r="F415" s="22" t="n">
        <v>2.146</v>
      </c>
      <c r="G415" s="22" t="n">
        <v>2.403</v>
      </c>
      <c r="H415" s="22" t="n"/>
      <c r="I415" s="22" t="n">
        <v>4.61</v>
      </c>
      <c r="J415" s="22" t="n">
        <v>3.74</v>
      </c>
      <c r="K415" s="22" t="n">
        <v>4.31</v>
      </c>
      <c r="L415" s="17">
        <f>$J415-$B415</f>
        <v/>
      </c>
      <c r="M415" s="17">
        <f>$I415-$L415</f>
        <v/>
      </c>
      <c r="N415" s="23">
        <f>($G415-$M415)*100</f>
        <v/>
      </c>
      <c r="O415" s="15">
        <f>($E415-$C415)*100</f>
        <v/>
      </c>
      <c r="P415" s="15">
        <f>($G415-$E415)*100</f>
        <v/>
      </c>
      <c r="Q415" s="15">
        <f>($G415-$C415)*100</f>
        <v/>
      </c>
      <c r="R415" s="15">
        <f>IF($H415="","",($H415-$F415)*100)</f>
        <v/>
      </c>
      <c r="S415" s="15">
        <f>IF($H415="","",($H415-$G415)*100)</f>
        <v/>
      </c>
    </row>
    <row r="416">
      <c r="A416" s="11" t="n">
        <v>39395</v>
      </c>
      <c r="B416" s="22" t="n">
        <v>0.653</v>
      </c>
      <c r="C416" s="22" t="n">
        <v>0.766</v>
      </c>
      <c r="D416" s="22" t="n">
        <v>1.071</v>
      </c>
      <c r="E416" s="22" t="n">
        <v>1.547</v>
      </c>
      <c r="F416" s="22" t="n">
        <v>2.112</v>
      </c>
      <c r="G416" s="22" t="n">
        <v>2.368</v>
      </c>
      <c r="H416" s="22" t="n">
        <v>2.429</v>
      </c>
      <c r="I416" s="22" t="n">
        <v>4.61</v>
      </c>
      <c r="J416" s="22" t="n">
        <v>3.57</v>
      </c>
      <c r="K416" s="22" t="n">
        <v>4.23</v>
      </c>
      <c r="L416" s="17">
        <f>$J416-$B416</f>
        <v/>
      </c>
      <c r="M416" s="17">
        <f>$I416-$L416</f>
        <v/>
      </c>
      <c r="N416" s="23">
        <f>($G416-$M416)*100</f>
        <v/>
      </c>
      <c r="O416" s="15">
        <f>($E416-$C416)*100</f>
        <v/>
      </c>
      <c r="P416" s="15">
        <f>($G416-$E416)*100</f>
        <v/>
      </c>
      <c r="Q416" s="15">
        <f>($G416-$C416)*100</f>
        <v/>
      </c>
      <c r="R416" s="15">
        <f>IF($H416="","",($H416-$F416)*100)</f>
        <v/>
      </c>
      <c r="S416" s="15">
        <f>IF($H416="","",($H416-$G416)*100)</f>
        <v/>
      </c>
    </row>
    <row r="417">
      <c r="A417" s="11" t="n">
        <v>39402</v>
      </c>
      <c r="B417" s="22" t="n">
        <v>0.637</v>
      </c>
      <c r="C417" s="22" t="n">
        <v>0.739</v>
      </c>
      <c r="D417" s="22" t="n">
        <v>1.044</v>
      </c>
      <c r="E417" s="22" t="n">
        <v>1.491</v>
      </c>
      <c r="F417" s="22" t="n">
        <v>2.059</v>
      </c>
      <c r="G417" s="22" t="n">
        <v>2.312</v>
      </c>
      <c r="H417" s="22" t="n">
        <v>2.38</v>
      </c>
      <c r="I417" s="22" t="n">
        <v>4.52</v>
      </c>
      <c r="J417" s="22" t="n">
        <v>3.49</v>
      </c>
      <c r="K417" s="22" t="n">
        <v>4.15</v>
      </c>
      <c r="L417" s="17">
        <f>$J417-$B417</f>
        <v/>
      </c>
      <c r="M417" s="17">
        <f>$I417-$L417</f>
        <v/>
      </c>
      <c r="N417" s="23">
        <f>($G417-$M417)*100</f>
        <v/>
      </c>
      <c r="O417" s="15">
        <f>($E417-$C417)*100</f>
        <v/>
      </c>
      <c r="P417" s="15">
        <f>($G417-$E417)*100</f>
        <v/>
      </c>
      <c r="Q417" s="15">
        <f>($G417-$C417)*100</f>
        <v/>
      </c>
      <c r="R417" s="15">
        <f>IF($H417="","",($H417-$F417)*100)</f>
        <v/>
      </c>
      <c r="S417" s="15">
        <f>IF($H417="","",($H417-$G417)*100)</f>
        <v/>
      </c>
    </row>
    <row r="418">
      <c r="A418" s="11" t="n">
        <v>39409</v>
      </c>
      <c r="B418" s="22" t="n">
        <v>0.627</v>
      </c>
      <c r="C418" s="22" t="n">
        <v>0.73</v>
      </c>
      <c r="D418" s="22" t="n">
        <v>1.017</v>
      </c>
      <c r="E418" s="22" t="n">
        <v>1.445</v>
      </c>
      <c r="F418" s="22" t="n">
        <v>2.012</v>
      </c>
      <c r="G418" s="22" t="n">
        <v>2.258</v>
      </c>
      <c r="H418" s="22" t="n">
        <v>2.328</v>
      </c>
      <c r="I418" s="22" t="n">
        <v>4.43</v>
      </c>
      <c r="J418" s="22" t="n">
        <v>3.28</v>
      </c>
      <c r="K418" s="22" t="n">
        <v>4.01</v>
      </c>
      <c r="L418" s="17">
        <f>$J418-$B418</f>
        <v/>
      </c>
      <c r="M418" s="17">
        <f>$I418-$L418</f>
        <v/>
      </c>
      <c r="N418" s="23">
        <f>($G418-$M418)*100</f>
        <v/>
      </c>
      <c r="O418" s="15">
        <f>($E418-$C418)*100</f>
        <v/>
      </c>
      <c r="P418" s="15">
        <f>($G418-$E418)*100</f>
        <v/>
      </c>
      <c r="Q418" s="15">
        <f>($G418-$C418)*100</f>
        <v/>
      </c>
      <c r="R418" s="15">
        <f>IF($H418="","",($H418-$F418)*100)</f>
        <v/>
      </c>
      <c r="S418" s="15">
        <f>IF($H418="","",($H418-$G418)*100)</f>
        <v/>
      </c>
    </row>
    <row r="419">
      <c r="A419" s="11" t="n">
        <v>39416</v>
      </c>
      <c r="B419" s="22" t="n">
        <v>0.628</v>
      </c>
      <c r="C419" s="22" t="n">
        <v>0.757</v>
      </c>
      <c r="D419" s="22" t="n">
        <v>1.038</v>
      </c>
      <c r="E419" s="22" t="n">
        <v>1.499</v>
      </c>
      <c r="F419" s="22" t="n">
        <v>2.062</v>
      </c>
      <c r="G419" s="22" t="n">
        <v>2.332</v>
      </c>
      <c r="H419" s="22" t="n">
        <v>2.403</v>
      </c>
      <c r="I419" s="22" t="n">
        <v>4.4</v>
      </c>
      <c r="J419" s="22" t="n">
        <v>3.26</v>
      </c>
      <c r="K419" s="22" t="n">
        <v>3.97</v>
      </c>
      <c r="L419" s="17">
        <f>$J419-$B419</f>
        <v/>
      </c>
      <c r="M419" s="17">
        <f>$I419-$L419</f>
        <v/>
      </c>
      <c r="N419" s="23">
        <f>($G419-$M419)*100</f>
        <v/>
      </c>
      <c r="O419" s="15">
        <f>($E419-$C419)*100</f>
        <v/>
      </c>
      <c r="P419" s="15">
        <f>($G419-$E419)*100</f>
        <v/>
      </c>
      <c r="Q419" s="15">
        <f>($G419-$C419)*100</f>
        <v/>
      </c>
      <c r="R419" s="15">
        <f>IF($H419="","",($H419-$F419)*100)</f>
        <v/>
      </c>
      <c r="S419" s="15">
        <f>IF($H419="","",($H419-$G419)*100)</f>
        <v/>
      </c>
    </row>
    <row r="420">
      <c r="A420" s="11" t="n">
        <v>39423</v>
      </c>
      <c r="B420" s="22" t="n">
        <v>0.607</v>
      </c>
      <c r="C420" s="22" t="n">
        <v>0.738</v>
      </c>
      <c r="D420" s="22" t="n">
        <v>1.091</v>
      </c>
      <c r="E420" s="22" t="n">
        <v>1.559</v>
      </c>
      <c r="F420" s="22" t="n">
        <v>2.134</v>
      </c>
      <c r="G420" s="22" t="n">
        <v>2.4</v>
      </c>
      <c r="H420" s="22" t="n">
        <v>2.47</v>
      </c>
      <c r="I420" s="22" t="n">
        <v>4.58</v>
      </c>
      <c r="J420" s="22" t="n">
        <v>3.24</v>
      </c>
      <c r="K420" s="22" t="n">
        <v>4.12</v>
      </c>
      <c r="L420" s="17">
        <f>$J420-$B420</f>
        <v/>
      </c>
      <c r="M420" s="17">
        <f>$I420-$L420</f>
        <v/>
      </c>
      <c r="N420" s="23">
        <f>($G420-$M420)*100</f>
        <v/>
      </c>
      <c r="O420" s="15">
        <f>($E420-$C420)*100</f>
        <v/>
      </c>
      <c r="P420" s="15">
        <f>($G420-$E420)*100</f>
        <v/>
      </c>
      <c r="Q420" s="15">
        <f>($G420-$C420)*100</f>
        <v/>
      </c>
      <c r="R420" s="15">
        <f>IF($H420="","",($H420-$F420)*100)</f>
        <v/>
      </c>
      <c r="S420" s="15">
        <f>IF($H420="","",($H420-$G420)*100)</f>
        <v/>
      </c>
    </row>
    <row r="421">
      <c r="A421" s="11" t="n">
        <v>39430</v>
      </c>
      <c r="B421" s="22" t="n">
        <v>0.608</v>
      </c>
      <c r="C421" s="22" t="n">
        <v>0.734</v>
      </c>
      <c r="D421" s="22" t="n">
        <v>1.059</v>
      </c>
      <c r="E421" s="22" t="n">
        <v>1.541</v>
      </c>
      <c r="F421" s="22" t="n">
        <v>2.146</v>
      </c>
      <c r="G421" s="22" t="n">
        <v>2.4</v>
      </c>
      <c r="H421" s="22" t="n">
        <v>2.47</v>
      </c>
      <c r="I421" s="22" t="n">
        <v>4.66</v>
      </c>
      <c r="J421" s="22" t="n">
        <v>3.28</v>
      </c>
      <c r="K421" s="22" t="n">
        <v>4.24</v>
      </c>
      <c r="L421" s="17">
        <f>$J421-$B421</f>
        <v/>
      </c>
      <c r="M421" s="17">
        <f>$I421-$L421</f>
        <v/>
      </c>
      <c r="N421" s="23">
        <f>($G421-$M421)*100</f>
        <v/>
      </c>
      <c r="O421" s="15">
        <f>($E421-$C421)*100</f>
        <v/>
      </c>
      <c r="P421" s="15">
        <f>($G421-$E421)*100</f>
        <v/>
      </c>
      <c r="Q421" s="15">
        <f>($G421-$C421)*100</f>
        <v/>
      </c>
      <c r="R421" s="15">
        <f>IF($H421="","",($H421-$F421)*100)</f>
        <v/>
      </c>
      <c r="S421" s="15">
        <f>IF($H421="","",($H421-$G421)*100)</f>
        <v/>
      </c>
    </row>
    <row r="422">
      <c r="A422" s="11" t="n">
        <v>39437</v>
      </c>
      <c r="B422" s="22" t="n">
        <v>0.607</v>
      </c>
      <c r="C422" s="22" t="n">
        <v>0.715</v>
      </c>
      <c r="D422" s="22" t="n">
        <v>1.047</v>
      </c>
      <c r="E422" s="22" t="n">
        <v>1.548</v>
      </c>
      <c r="F422" s="22" t="n">
        <v>2.131</v>
      </c>
      <c r="G422" s="22" t="n">
        <v>2.396</v>
      </c>
      <c r="H422" s="22" t="n">
        <v>2.467</v>
      </c>
      <c r="I422" s="22" t="n">
        <v>4.58</v>
      </c>
      <c r="J422" s="22" t="n">
        <v>3.31</v>
      </c>
      <c r="K422" s="22" t="n">
        <v>4.18</v>
      </c>
      <c r="L422" s="17">
        <f>$J422-$B422</f>
        <v/>
      </c>
      <c r="M422" s="17">
        <f>$I422-$L422</f>
        <v/>
      </c>
      <c r="N422" s="23">
        <f>($G422-$M422)*100</f>
        <v/>
      </c>
      <c r="O422" s="15">
        <f>($E422-$C422)*100</f>
        <v/>
      </c>
      <c r="P422" s="15">
        <f>($G422-$E422)*100</f>
        <v/>
      </c>
      <c r="Q422" s="15">
        <f>($G422-$C422)*100</f>
        <v/>
      </c>
      <c r="R422" s="15">
        <f>IF($H422="","",($H422-$F422)*100)</f>
        <v/>
      </c>
      <c r="S422" s="15">
        <f>IF($H422="","",($H422-$G422)*100)</f>
        <v/>
      </c>
    </row>
    <row r="423">
      <c r="A423" s="11" t="n">
        <v>39444</v>
      </c>
      <c r="B423" s="22" t="n">
        <v>0.603</v>
      </c>
      <c r="C423" s="22" t="n">
        <v>0.705</v>
      </c>
      <c r="D423" s="22" t="n">
        <v>1.009</v>
      </c>
      <c r="E423" s="22" t="n">
        <v>1.502</v>
      </c>
      <c r="F423" s="22" t="n">
        <v>2.093</v>
      </c>
      <c r="G423" s="22" t="n">
        <v>2.36</v>
      </c>
      <c r="H423" s="22" t="n">
        <v>2.432</v>
      </c>
      <c r="I423" s="22" t="n">
        <v>4.51</v>
      </c>
      <c r="J423" s="22" t="n">
        <v>3.34</v>
      </c>
      <c r="K423" s="22" t="n">
        <v>4.11</v>
      </c>
      <c r="L423" s="17">
        <f>$J423-$B423</f>
        <v/>
      </c>
      <c r="M423" s="17">
        <f>$I423-$L423</f>
        <v/>
      </c>
      <c r="N423" s="23">
        <f>($G423-$M423)*100</f>
        <v/>
      </c>
      <c r="O423" s="15">
        <f>($E423-$C423)*100</f>
        <v/>
      </c>
      <c r="P423" s="15">
        <f>($G423-$E423)*100</f>
        <v/>
      </c>
      <c r="Q423" s="15">
        <f>($G423-$C423)*100</f>
        <v/>
      </c>
      <c r="R423" s="15">
        <f>IF($H423="","",($H423-$F423)*100)</f>
        <v/>
      </c>
      <c r="S423" s="15">
        <f>IF($H423="","",($H423-$G423)*100)</f>
        <v/>
      </c>
    </row>
    <row r="424">
      <c r="A424" s="11" t="n">
        <v>39451</v>
      </c>
      <c r="B424" s="22" t="n">
        <v>0.601</v>
      </c>
      <c r="C424" s="22" t="n">
        <v>0.6850000000000001</v>
      </c>
      <c r="D424" s="22" t="n">
        <v>0.973</v>
      </c>
      <c r="E424" s="22" t="n">
        <v>1.47</v>
      </c>
      <c r="F424" s="22" t="n">
        <v>2.066</v>
      </c>
      <c r="G424" s="22" t="n">
        <v>2.339</v>
      </c>
      <c r="H424" s="22" t="n">
        <v>2.414</v>
      </c>
      <c r="I424" s="22" t="n">
        <v>4.36</v>
      </c>
      <c r="J424" s="22" t="n">
        <v>3.06</v>
      </c>
      <c r="K424" s="22" t="n">
        <v>3.88</v>
      </c>
      <c r="L424" s="17">
        <f>$J424-$B424</f>
        <v/>
      </c>
      <c r="M424" s="17">
        <f>$I424-$L424</f>
        <v/>
      </c>
      <c r="N424" s="23">
        <f>($G424-$M424)*100</f>
        <v/>
      </c>
      <c r="O424" s="15">
        <f>($E424-$C424)*100</f>
        <v/>
      </c>
      <c r="P424" s="15">
        <f>($G424-$E424)*100</f>
        <v/>
      </c>
      <c r="Q424" s="15">
        <f>($G424-$C424)*100</f>
        <v/>
      </c>
      <c r="R424" s="15">
        <f>IF($H424="","",($H424-$F424)*100)</f>
        <v/>
      </c>
      <c r="S424" s="15">
        <f>IF($H424="","",($H424-$G424)*100)</f>
        <v/>
      </c>
    </row>
    <row r="425">
      <c r="A425" s="11" t="n">
        <v>39458</v>
      </c>
      <c r="B425" s="22" t="n">
        <v>0.549</v>
      </c>
      <c r="C425" s="22" t="n">
        <v>0.607</v>
      </c>
      <c r="D425" s="22" t="n">
        <v>0.895</v>
      </c>
      <c r="E425" s="22" t="n">
        <v>1.43</v>
      </c>
      <c r="F425" s="22" t="n">
        <v>2.084</v>
      </c>
      <c r="G425" s="22" t="n">
        <v>2.379</v>
      </c>
      <c r="H425" s="22" t="n">
        <v>2.463</v>
      </c>
      <c r="I425" s="22" t="n">
        <v>4.39</v>
      </c>
      <c r="J425" s="22" t="n">
        <v>2.91</v>
      </c>
      <c r="K425" s="22" t="n">
        <v>3.82</v>
      </c>
      <c r="L425" s="17">
        <f>$J425-$B425</f>
        <v/>
      </c>
      <c r="M425" s="17">
        <f>$I425-$L425</f>
        <v/>
      </c>
      <c r="N425" s="23">
        <f>($G425-$M425)*100</f>
        <v/>
      </c>
      <c r="O425" s="15">
        <f>($E425-$C425)*100</f>
        <v/>
      </c>
      <c r="P425" s="15">
        <f>($G425-$E425)*100</f>
        <v/>
      </c>
      <c r="Q425" s="15">
        <f>($G425-$C425)*100</f>
        <v/>
      </c>
      <c r="R425" s="15">
        <f>IF($H425="","",($H425-$F425)*100)</f>
        <v/>
      </c>
      <c r="S425" s="15">
        <f>IF($H425="","",($H425-$G425)*100)</f>
        <v/>
      </c>
    </row>
    <row r="426">
      <c r="A426" s="11" t="n">
        <v>39465</v>
      </c>
      <c r="B426" s="22" t="n">
        <v>0.545</v>
      </c>
      <c r="C426" s="22" t="n">
        <v>0.579</v>
      </c>
      <c r="D426" s="22" t="n">
        <v>0.863</v>
      </c>
      <c r="E426" s="22" t="n">
        <v>1.404</v>
      </c>
      <c r="F426" s="22" t="n">
        <v>2.056</v>
      </c>
      <c r="G426" s="22" t="n">
        <v>2.347</v>
      </c>
      <c r="H426" s="22" t="n">
        <v>2.451</v>
      </c>
      <c r="I426" s="22" t="n">
        <v>4.28</v>
      </c>
      <c r="J426" s="22" t="n">
        <v>2.69</v>
      </c>
      <c r="K426" s="22" t="n">
        <v>3.66</v>
      </c>
      <c r="L426" s="17">
        <f>$J426-$B426</f>
        <v/>
      </c>
      <c r="M426" s="17">
        <f>$I426-$L426</f>
        <v/>
      </c>
      <c r="N426" s="23">
        <f>($G426-$M426)*100</f>
        <v/>
      </c>
      <c r="O426" s="15">
        <f>($E426-$C426)*100</f>
        <v/>
      </c>
      <c r="P426" s="15">
        <f>($G426-$E426)*100</f>
        <v/>
      </c>
      <c r="Q426" s="15">
        <f>($G426-$C426)*100</f>
        <v/>
      </c>
      <c r="R426" s="15">
        <f>IF($H426="","",($H426-$F426)*100)</f>
        <v/>
      </c>
      <c r="S426" s="15">
        <f>IF($H426="","",($H426-$G426)*100)</f>
        <v/>
      </c>
    </row>
    <row r="427">
      <c r="A427" s="11" t="n">
        <v>39472</v>
      </c>
      <c r="B427" s="22" t="n">
        <v>0.51</v>
      </c>
      <c r="C427" s="22" t="n">
        <v>0.5639999999999999</v>
      </c>
      <c r="D427" s="22" t="n">
        <v>0.919</v>
      </c>
      <c r="E427" s="22" t="n">
        <v>1.487</v>
      </c>
      <c r="F427" s="22" t="n">
        <v>2.142</v>
      </c>
      <c r="G427" s="22" t="n">
        <v>2.426</v>
      </c>
      <c r="H427" s="22" t="n">
        <v>2.537</v>
      </c>
      <c r="I427" s="22" t="n">
        <v>4.28</v>
      </c>
      <c r="J427" s="22" t="n">
        <v>2.34</v>
      </c>
      <c r="K427" s="22" t="n">
        <v>3.61</v>
      </c>
      <c r="L427" s="17">
        <f>$J427-$B427</f>
        <v/>
      </c>
      <c r="M427" s="17">
        <f>$I427-$L427</f>
        <v/>
      </c>
      <c r="N427" s="23">
        <f>($G427-$M427)*100</f>
        <v/>
      </c>
      <c r="O427" s="15">
        <f>($E427-$C427)*100</f>
        <v/>
      </c>
      <c r="P427" s="15">
        <f>($G427-$E427)*100</f>
        <v/>
      </c>
      <c r="Q427" s="15">
        <f>($G427-$C427)*100</f>
        <v/>
      </c>
      <c r="R427" s="15">
        <f>IF($H427="","",($H427-$F427)*100)</f>
        <v/>
      </c>
      <c r="S427" s="15">
        <f>IF($H427="","",($H427-$G427)*100)</f>
        <v/>
      </c>
    </row>
    <row r="428">
      <c r="A428" s="11" t="n">
        <v>39479</v>
      </c>
      <c r="B428" s="22" t="n">
        <v>0.491</v>
      </c>
      <c r="C428" s="22" t="n">
        <v>0.55</v>
      </c>
      <c r="D428" s="22" t="n">
        <v>0.89</v>
      </c>
      <c r="E428" s="22" t="n">
        <v>1.436</v>
      </c>
      <c r="F428" s="22" t="n">
        <v>2.078</v>
      </c>
      <c r="G428" s="22" t="n">
        <v>2.356</v>
      </c>
      <c r="H428" s="22" t="n">
        <v>2.481</v>
      </c>
      <c r="I428" s="22" t="n">
        <v>4.32</v>
      </c>
      <c r="J428" s="22" t="n">
        <v>2.13</v>
      </c>
      <c r="K428" s="22" t="n">
        <v>3.62</v>
      </c>
      <c r="L428" s="17">
        <f>$J428-$B428</f>
        <v/>
      </c>
      <c r="M428" s="17">
        <f>$I428-$L428</f>
        <v/>
      </c>
      <c r="N428" s="23">
        <f>($G428-$M428)*100</f>
        <v/>
      </c>
      <c r="O428" s="15">
        <f>($E428-$C428)*100</f>
        <v/>
      </c>
      <c r="P428" s="15">
        <f>($G428-$E428)*100</f>
        <v/>
      </c>
      <c r="Q428" s="15">
        <f>($G428-$C428)*100</f>
        <v/>
      </c>
      <c r="R428" s="15">
        <f>IF($H428="","",($H428-$F428)*100)</f>
        <v/>
      </c>
      <c r="S428" s="15">
        <f>IF($H428="","",($H428-$G428)*100)</f>
        <v/>
      </c>
    </row>
    <row r="429">
      <c r="A429" s="11" t="n">
        <v>39486</v>
      </c>
      <c r="B429" s="22" t="n">
        <v>0.503</v>
      </c>
      <c r="C429" s="22" t="n">
        <v>0.549</v>
      </c>
      <c r="D429" s="22" t="n">
        <v>0.894</v>
      </c>
      <c r="E429" s="22" t="n">
        <v>1.431</v>
      </c>
      <c r="F429" s="22" t="n">
        <v>2.086</v>
      </c>
      <c r="G429" s="22" t="n">
        <v>2.373</v>
      </c>
      <c r="H429" s="22" t="n">
        <v>2.49</v>
      </c>
      <c r="I429" s="22" t="n">
        <v>4.43</v>
      </c>
      <c r="J429" s="22" t="n">
        <v>2.05</v>
      </c>
      <c r="K429" s="22" t="n">
        <v>3.64</v>
      </c>
      <c r="L429" s="17">
        <f>$J429-$B429</f>
        <v/>
      </c>
      <c r="M429" s="17">
        <f>$I429-$L429</f>
        <v/>
      </c>
      <c r="N429" s="23">
        <f>($G429-$M429)*100</f>
        <v/>
      </c>
      <c r="O429" s="15">
        <f>($E429-$C429)*100</f>
        <v/>
      </c>
      <c r="P429" s="15">
        <f>($G429-$E429)*100</f>
        <v/>
      </c>
      <c r="Q429" s="15">
        <f>($G429-$C429)*100</f>
        <v/>
      </c>
      <c r="R429" s="15">
        <f>IF($H429="","",($H429-$F429)*100)</f>
        <v/>
      </c>
      <c r="S429" s="15">
        <f>IF($H429="","",($H429-$G429)*100)</f>
        <v/>
      </c>
    </row>
    <row r="430">
      <c r="A430" s="11" t="n">
        <v>39493</v>
      </c>
      <c r="B430" s="22" t="n">
        <v>0.529</v>
      </c>
      <c r="C430" s="22" t="n">
        <v>0.581</v>
      </c>
      <c r="D430" s="22" t="n">
        <v>0.9389999999999999</v>
      </c>
      <c r="E430" s="22" t="n">
        <v>1.462</v>
      </c>
      <c r="F430" s="22" t="n">
        <v>2.095</v>
      </c>
      <c r="G430" s="22" t="n">
        <v>2.368</v>
      </c>
      <c r="H430" s="22" t="n">
        <v>2.49</v>
      </c>
      <c r="I430" s="22" t="n">
        <v>4.58</v>
      </c>
      <c r="J430" s="22" t="n">
        <v>2.02</v>
      </c>
      <c r="K430" s="22" t="n">
        <v>3.76</v>
      </c>
      <c r="L430" s="17">
        <f>$J430-$B430</f>
        <v/>
      </c>
      <c r="M430" s="17">
        <f>$I430-$L430</f>
        <v/>
      </c>
      <c r="N430" s="23">
        <f>($G430-$M430)*100</f>
        <v/>
      </c>
      <c r="O430" s="15">
        <f>($E430-$C430)*100</f>
        <v/>
      </c>
      <c r="P430" s="15">
        <f>($G430-$E430)*100</f>
        <v/>
      </c>
      <c r="Q430" s="15">
        <f>($G430-$C430)*100</f>
        <v/>
      </c>
      <c r="R430" s="15">
        <f>IF($H430="","",($H430-$F430)*100)</f>
        <v/>
      </c>
      <c r="S430" s="15">
        <f>IF($H430="","",($H430-$G430)*100)</f>
        <v/>
      </c>
    </row>
    <row r="431">
      <c r="A431" s="11" t="n">
        <v>39500</v>
      </c>
      <c r="B431" s="22" t="n">
        <v>0.547</v>
      </c>
      <c r="C431" s="22" t="n">
        <v>0.582</v>
      </c>
      <c r="D431" s="22" t="n">
        <v>0.944</v>
      </c>
      <c r="E431" s="22" t="n">
        <v>1.464</v>
      </c>
      <c r="F431" s="22" t="n">
        <v>2.096</v>
      </c>
      <c r="G431" s="22" t="n">
        <v>2.363</v>
      </c>
      <c r="H431" s="22" t="n">
        <v>2.486</v>
      </c>
      <c r="I431" s="22" t="n">
        <v>4.58</v>
      </c>
      <c r="J431" s="22" t="n">
        <v>2.08</v>
      </c>
      <c r="K431" s="22" t="n">
        <v>3.79</v>
      </c>
      <c r="L431" s="17">
        <f>$J431-$B431</f>
        <v/>
      </c>
      <c r="M431" s="17">
        <f>$I431-$L431</f>
        <v/>
      </c>
      <c r="N431" s="23">
        <f>($G431-$M431)*100</f>
        <v/>
      </c>
      <c r="O431" s="15">
        <f>($E431-$C431)*100</f>
        <v/>
      </c>
      <c r="P431" s="15">
        <f>($G431-$E431)*100</f>
        <v/>
      </c>
      <c r="Q431" s="15">
        <f>($G431-$C431)*100</f>
        <v/>
      </c>
      <c r="R431" s="15">
        <f>IF($H431="","",($H431-$F431)*100)</f>
        <v/>
      </c>
      <c r="S431" s="15">
        <f>IF($H431="","",($H431-$G431)*100)</f>
        <v/>
      </c>
    </row>
    <row r="432">
      <c r="A432" s="11" t="n">
        <v>39507</v>
      </c>
      <c r="B432" s="22" t="n">
        <v>0.546</v>
      </c>
      <c r="C432" s="22" t="n">
        <v>0.553</v>
      </c>
      <c r="D432" s="22" t="n">
        <v>0.847</v>
      </c>
      <c r="E432" s="22" t="n">
        <v>1.373</v>
      </c>
      <c r="F432" s="22" t="n">
        <v>2.018</v>
      </c>
      <c r="G432" s="22" t="n">
        <v>2.291</v>
      </c>
      <c r="H432" s="22" t="n">
        <v>2.419</v>
      </c>
      <c r="I432" s="22" t="n">
        <v>4.41</v>
      </c>
      <c r="J432" s="22" t="n">
        <v>1.77</v>
      </c>
      <c r="K432" s="22" t="n">
        <v>3.53</v>
      </c>
      <c r="L432" s="17">
        <f>$J432-$B432</f>
        <v/>
      </c>
      <c r="M432" s="17">
        <f>$I432-$L432</f>
        <v/>
      </c>
      <c r="N432" s="23">
        <f>($G432-$M432)*100</f>
        <v/>
      </c>
      <c r="O432" s="15">
        <f>($E432-$C432)*100</f>
        <v/>
      </c>
      <c r="P432" s="15">
        <f>($G432-$E432)*100</f>
        <v/>
      </c>
      <c r="Q432" s="15">
        <f>($G432-$C432)*100</f>
        <v/>
      </c>
      <c r="R432" s="15">
        <f>IF($H432="","",($H432-$F432)*100)</f>
        <v/>
      </c>
      <c r="S432" s="15">
        <f>IF($H432="","",($H432-$G432)*100)</f>
        <v/>
      </c>
    </row>
    <row r="433">
      <c r="A433" s="11" t="n">
        <v>39514</v>
      </c>
      <c r="B433" s="22" t="n">
        <v>0.516</v>
      </c>
      <c r="C433" s="22" t="n">
        <v>0.509</v>
      </c>
      <c r="D433" s="22" t="n">
        <v>0.761</v>
      </c>
      <c r="E433" s="22" t="n">
        <v>1.351</v>
      </c>
      <c r="F433" s="22" t="n">
        <v>2.065</v>
      </c>
      <c r="G433" s="22" t="n">
        <v>2.375</v>
      </c>
      <c r="H433" s="22" t="n">
        <v>2.494</v>
      </c>
      <c r="I433" s="22" t="n">
        <v>4.55</v>
      </c>
      <c r="J433" s="22" t="n">
        <v>1.55</v>
      </c>
      <c r="K433" s="22" t="n">
        <v>3.56</v>
      </c>
      <c r="L433" s="17">
        <f>$J433-$B433</f>
        <v/>
      </c>
      <c r="M433" s="17">
        <f>$I433-$L433</f>
        <v/>
      </c>
      <c r="N433" s="23">
        <f>($G433-$M433)*100</f>
        <v/>
      </c>
      <c r="O433" s="15">
        <f>($E433-$C433)*100</f>
        <v/>
      </c>
      <c r="P433" s="15">
        <f>($G433-$E433)*100</f>
        <v/>
      </c>
      <c r="Q433" s="15">
        <f>($G433-$C433)*100</f>
        <v/>
      </c>
      <c r="R433" s="15">
        <f>IF($H433="","",($H433-$F433)*100)</f>
        <v/>
      </c>
      <c r="S433" s="15">
        <f>IF($H433="","",($H433-$G433)*100)</f>
        <v/>
      </c>
    </row>
    <row r="434">
      <c r="A434" s="11" t="n">
        <v>39521</v>
      </c>
      <c r="B434" s="22" t="n">
        <v>0.541</v>
      </c>
      <c r="C434" s="22" t="n">
        <v>0.5649999999999999</v>
      </c>
      <c r="D434" s="22" t="n">
        <v>0.741</v>
      </c>
      <c r="E434" s="22" t="n">
        <v>1.271</v>
      </c>
      <c r="F434" s="22" t="n">
        <v>2.088</v>
      </c>
      <c r="G434" s="22" t="n">
        <v>2.437</v>
      </c>
      <c r="H434" s="22" t="n">
        <v>2.552</v>
      </c>
      <c r="I434" s="22" t="n">
        <v>4.35</v>
      </c>
      <c r="J434" s="22" t="n">
        <v>1.37</v>
      </c>
      <c r="K434" s="22" t="n">
        <v>3.44</v>
      </c>
      <c r="L434" s="17">
        <f>$J434-$B434</f>
        <v/>
      </c>
      <c r="M434" s="17">
        <f>$I434-$L434</f>
        <v/>
      </c>
      <c r="N434" s="23">
        <f>($G434-$M434)*100</f>
        <v/>
      </c>
      <c r="O434" s="15">
        <f>($E434-$C434)*100</f>
        <v/>
      </c>
      <c r="P434" s="15">
        <f>($G434-$E434)*100</f>
        <v/>
      </c>
      <c r="Q434" s="15">
        <f>($G434-$C434)*100</f>
        <v/>
      </c>
      <c r="R434" s="15">
        <f>IF($H434="","",($H434-$F434)*100)</f>
        <v/>
      </c>
      <c r="S434" s="15">
        <f>IF($H434="","",($H434-$G434)*100)</f>
        <v/>
      </c>
    </row>
    <row r="435">
      <c r="A435" s="11" t="n">
        <v>39528</v>
      </c>
      <c r="B435" s="22" t="n">
        <v>0.543</v>
      </c>
      <c r="C435" s="22" t="n">
        <v>0.57</v>
      </c>
      <c r="D435" s="22" t="n">
        <v>0.776</v>
      </c>
      <c r="E435" s="22" t="n">
        <v>1.277</v>
      </c>
      <c r="F435" s="22" t="n">
        <v>2.052</v>
      </c>
      <c r="G435" s="22" t="n">
        <v>2.367</v>
      </c>
      <c r="H435" s="22" t="n">
        <v>2.504</v>
      </c>
      <c r="I435" s="22" t="n">
        <v>4.17</v>
      </c>
      <c r="J435" s="22" t="n">
        <v>1.33</v>
      </c>
      <c r="K435" s="22" t="n">
        <v>3.34</v>
      </c>
      <c r="L435" s="17">
        <f>$J435-$B435</f>
        <v/>
      </c>
      <c r="M435" s="17">
        <f>$I435-$L435</f>
        <v/>
      </c>
      <c r="N435" s="23">
        <f>($G435-$M435)*100</f>
        <v/>
      </c>
      <c r="O435" s="15">
        <f>($E435-$C435)*100</f>
        <v/>
      </c>
      <c r="P435" s="15">
        <f>($G435-$E435)*100</f>
        <v/>
      </c>
      <c r="Q435" s="15">
        <f>($G435-$C435)*100</f>
        <v/>
      </c>
      <c r="R435" s="15">
        <f>IF($H435="","",($H435-$F435)*100)</f>
        <v/>
      </c>
      <c r="S435" s="15">
        <f>IF($H435="","",($H435-$G435)*100)</f>
        <v/>
      </c>
    </row>
    <row r="436">
      <c r="A436" s="11" t="n">
        <v>39535</v>
      </c>
      <c r="B436" s="22" t="n">
        <v>0.547</v>
      </c>
      <c r="C436" s="22" t="n">
        <v>0.572</v>
      </c>
      <c r="D436" s="22" t="n">
        <v>0.747</v>
      </c>
      <c r="E436" s="22" t="n">
        <v>1.278</v>
      </c>
      <c r="F436" s="22" t="n">
        <v>2.071</v>
      </c>
      <c r="G436" s="22" t="n">
        <v>2.376</v>
      </c>
      <c r="H436" s="22" t="n">
        <v>2.516</v>
      </c>
      <c r="I436" s="22" t="n">
        <v>4.33</v>
      </c>
      <c r="J436" s="22" t="n">
        <v>1.56</v>
      </c>
      <c r="K436" s="22" t="n">
        <v>3.47</v>
      </c>
      <c r="L436" s="17">
        <f>$J436-$B436</f>
        <v/>
      </c>
      <c r="M436" s="17">
        <f>$I436-$L436</f>
        <v/>
      </c>
      <c r="N436" s="23">
        <f>($G436-$M436)*100</f>
        <v/>
      </c>
      <c r="O436" s="15">
        <f>($E436-$C436)*100</f>
        <v/>
      </c>
      <c r="P436" s="15">
        <f>($G436-$E436)*100</f>
        <v/>
      </c>
      <c r="Q436" s="15">
        <f>($G436-$C436)*100</f>
        <v/>
      </c>
      <c r="R436" s="15">
        <f>IF($H436="","",($H436-$F436)*100)</f>
        <v/>
      </c>
      <c r="S436" s="15">
        <f>IF($H436="","",($H436-$G436)*100)</f>
        <v/>
      </c>
    </row>
    <row r="437">
      <c r="A437" s="11" t="n">
        <v>39542</v>
      </c>
      <c r="B437" s="22" t="n">
        <v>0.543</v>
      </c>
      <c r="C437" s="22" t="n">
        <v>0.5590000000000001</v>
      </c>
      <c r="D437" s="22" t="n">
        <v>0.806</v>
      </c>
      <c r="E437" s="22" t="n">
        <v>1.334</v>
      </c>
      <c r="F437" s="22" t="n">
        <v>2.081</v>
      </c>
      <c r="G437" s="22" t="n">
        <v>2.395</v>
      </c>
      <c r="H437" s="22" t="n">
        <v>2.533</v>
      </c>
      <c r="I437" s="22" t="n">
        <v>4.32</v>
      </c>
      <c r="J437" s="22" t="n">
        <v>1.63</v>
      </c>
      <c r="K437" s="22" t="n">
        <v>3.5</v>
      </c>
      <c r="L437" s="17">
        <f>$J437-$B437</f>
        <v/>
      </c>
      <c r="M437" s="17">
        <f>$I437-$L437</f>
        <v/>
      </c>
      <c r="N437" s="23">
        <f>($G437-$M437)*100</f>
        <v/>
      </c>
      <c r="O437" s="15">
        <f>($E437-$C437)*100</f>
        <v/>
      </c>
      <c r="P437" s="15">
        <f>($G437-$E437)*100</f>
        <v/>
      </c>
      <c r="Q437" s="15">
        <f>($G437-$C437)*100</f>
        <v/>
      </c>
      <c r="R437" s="15">
        <f>IF($H437="","",($H437-$F437)*100)</f>
        <v/>
      </c>
      <c r="S437" s="15">
        <f>IF($H437="","",($H437-$G437)*100)</f>
        <v/>
      </c>
    </row>
    <row r="438">
      <c r="A438" s="11" t="n">
        <v>39549</v>
      </c>
      <c r="B438" s="22" t="n">
        <v>0.5600000000000001</v>
      </c>
      <c r="C438" s="22" t="n">
        <v>0.605</v>
      </c>
      <c r="D438" s="22" t="n">
        <v>0.853</v>
      </c>
      <c r="E438" s="22" t="n">
        <v>1.378</v>
      </c>
      <c r="F438" s="22" t="n">
        <v>2.124</v>
      </c>
      <c r="G438" s="22" t="n">
        <v>2.443</v>
      </c>
      <c r="H438" s="22" t="n">
        <v>2.574</v>
      </c>
      <c r="I438" s="22" t="n">
        <v>4.3</v>
      </c>
      <c r="J438" s="22" t="n">
        <v>1.52</v>
      </c>
      <c r="K438" s="22" t="n">
        <v>3.49</v>
      </c>
      <c r="L438" s="17">
        <f>$J438-$B438</f>
        <v/>
      </c>
      <c r="M438" s="17">
        <f>$I438-$L438</f>
        <v/>
      </c>
      <c r="N438" s="23">
        <f>($G438-$M438)*100</f>
        <v/>
      </c>
      <c r="O438" s="15">
        <f>($E438-$C438)*100</f>
        <v/>
      </c>
      <c r="P438" s="15">
        <f>($G438-$E438)*100</f>
        <v/>
      </c>
      <c r="Q438" s="15">
        <f>($G438-$C438)*100</f>
        <v/>
      </c>
      <c r="R438" s="15">
        <f>IF($H438="","",($H438-$F438)*100)</f>
        <v/>
      </c>
      <c r="S438" s="15">
        <f>IF($H438="","",($H438-$G438)*100)</f>
        <v/>
      </c>
    </row>
    <row r="439">
      <c r="A439" s="11" t="n">
        <v>39556</v>
      </c>
      <c r="B439" s="22" t="n">
        <v>0.5580000000000001</v>
      </c>
      <c r="C439" s="22" t="n">
        <v>0.646</v>
      </c>
      <c r="D439" s="22" t="n">
        <v>0.923</v>
      </c>
      <c r="E439" s="22" t="n">
        <v>1.4</v>
      </c>
      <c r="F439" s="22" t="n">
        <v>2.163</v>
      </c>
      <c r="G439" s="22" t="n">
        <v>2.439</v>
      </c>
      <c r="H439" s="22" t="n">
        <v>2.571</v>
      </c>
      <c r="I439" s="22" t="n">
        <v>4.51</v>
      </c>
      <c r="J439" s="22" t="n">
        <v>1.85</v>
      </c>
      <c r="K439" s="22" t="n">
        <v>3.77</v>
      </c>
      <c r="L439" s="17">
        <f>$J439-$B439</f>
        <v/>
      </c>
      <c r="M439" s="17">
        <f>$I439-$L439</f>
        <v/>
      </c>
      <c r="N439" s="23">
        <f>($G439-$M439)*100</f>
        <v/>
      </c>
      <c r="O439" s="15">
        <f>($E439-$C439)*100</f>
        <v/>
      </c>
      <c r="P439" s="15">
        <f>($G439-$E439)*100</f>
        <v/>
      </c>
      <c r="Q439" s="15">
        <f>($G439-$C439)*100</f>
        <v/>
      </c>
      <c r="R439" s="15">
        <f>IF($H439="","",($H439-$F439)*100)</f>
        <v/>
      </c>
      <c r="S439" s="15">
        <f>IF($H439="","",($H439-$G439)*100)</f>
        <v/>
      </c>
    </row>
    <row r="440">
      <c r="A440" s="11" t="n">
        <v>39563</v>
      </c>
      <c r="B440" s="22" t="n">
        <v>0.661</v>
      </c>
      <c r="C440" s="22" t="n">
        <v>0.8179999999999999</v>
      </c>
      <c r="D440" s="22" t="n">
        <v>1.215</v>
      </c>
      <c r="E440" s="22" t="n">
        <v>1.585</v>
      </c>
      <c r="F440" s="22" t="n">
        <v>2.245</v>
      </c>
      <c r="G440" s="22" t="n">
        <v>2.491</v>
      </c>
      <c r="H440" s="22" t="n">
        <v>2.616</v>
      </c>
      <c r="I440" s="22" t="n">
        <v>4.61</v>
      </c>
      <c r="J440" s="22" t="n">
        <v>1.97</v>
      </c>
      <c r="K440" s="22" t="n">
        <v>3.91</v>
      </c>
      <c r="L440" s="17">
        <f>$J440-$B440</f>
        <v/>
      </c>
      <c r="M440" s="17">
        <f>$I440-$L440</f>
        <v/>
      </c>
      <c r="N440" s="23">
        <f>($G440-$M440)*100</f>
        <v/>
      </c>
      <c r="O440" s="15">
        <f>($E440-$C440)*100</f>
        <v/>
      </c>
      <c r="P440" s="15">
        <f>($G440-$E440)*100</f>
        <v/>
      </c>
      <c r="Q440" s="15">
        <f>($G440-$C440)*100</f>
        <v/>
      </c>
      <c r="R440" s="15">
        <f>IF($H440="","",($H440-$F440)*100)</f>
        <v/>
      </c>
      <c r="S440" s="15">
        <f>IF($H440="","",($H440-$G440)*100)</f>
        <v/>
      </c>
    </row>
    <row r="441">
      <c r="A441" s="11" t="n">
        <v>39570</v>
      </c>
      <c r="B441" s="22" t="n">
        <v>0.651</v>
      </c>
      <c r="C441" s="22" t="n">
        <v>0.753</v>
      </c>
      <c r="D441" s="22" t="n">
        <v>1.161</v>
      </c>
      <c r="E441" s="22" t="n">
        <v>1.624</v>
      </c>
      <c r="F441" s="22" t="n">
        <v>2.233</v>
      </c>
      <c r="G441" s="22" t="n">
        <v>2.495</v>
      </c>
      <c r="H441" s="22" t="n">
        <v>2.614</v>
      </c>
      <c r="I441" s="22" t="n">
        <v>4.57</v>
      </c>
      <c r="J441" s="22" t="n">
        <v>1.97</v>
      </c>
      <c r="K441" s="22" t="n">
        <v>3.89</v>
      </c>
      <c r="L441" s="17">
        <f>$J441-$B441</f>
        <v/>
      </c>
      <c r="M441" s="17">
        <f>$I441-$L441</f>
        <v/>
      </c>
      <c r="N441" s="23">
        <f>($G441-$M441)*100</f>
        <v/>
      </c>
      <c r="O441" s="15">
        <f>($E441-$C441)*100</f>
        <v/>
      </c>
      <c r="P441" s="15">
        <f>($G441-$E441)*100</f>
        <v/>
      </c>
      <c r="Q441" s="15">
        <f>($G441-$C441)*100</f>
        <v/>
      </c>
      <c r="R441" s="15">
        <f>IF($H441="","",($H441-$F441)*100)</f>
        <v/>
      </c>
      <c r="S441" s="15">
        <f>IF($H441="","",($H441-$G441)*100)</f>
        <v/>
      </c>
    </row>
    <row r="442">
      <c r="A442" s="11" t="n">
        <v>39577</v>
      </c>
      <c r="B442" s="22" t="n">
        <v>0.633</v>
      </c>
      <c r="C442" s="22" t="n">
        <v>0.724</v>
      </c>
      <c r="D442" s="22" t="n">
        <v>1.124</v>
      </c>
      <c r="E442" s="22" t="n">
        <v>1.575</v>
      </c>
      <c r="F442" s="22" t="n">
        <v>2.191</v>
      </c>
      <c r="G442" s="22" t="n">
        <v>2.444</v>
      </c>
      <c r="H442" s="22" t="n">
        <v>2.563</v>
      </c>
      <c r="I442" s="22" t="n">
        <v>4.53</v>
      </c>
      <c r="J442" s="22" t="n">
        <v>1.91</v>
      </c>
      <c r="K442" s="22" t="n">
        <v>3.77</v>
      </c>
      <c r="L442" s="17">
        <f>$J442-$B442</f>
        <v/>
      </c>
      <c r="M442" s="17">
        <f>$I442-$L442</f>
        <v/>
      </c>
      <c r="N442" s="23">
        <f>($G442-$M442)*100</f>
        <v/>
      </c>
      <c r="O442" s="15">
        <f>($E442-$C442)*100</f>
        <v/>
      </c>
      <c r="P442" s="15">
        <f>($G442-$E442)*100</f>
        <v/>
      </c>
      <c r="Q442" s="15">
        <f>($G442-$C442)*100</f>
        <v/>
      </c>
      <c r="R442" s="15">
        <f>IF($H442="","",($H442-$F442)*100)</f>
        <v/>
      </c>
      <c r="S442" s="15">
        <f>IF($H442="","",($H442-$G442)*100)</f>
        <v/>
      </c>
    </row>
    <row r="443">
      <c r="A443" s="11" t="n">
        <v>39584</v>
      </c>
      <c r="B443" s="22" t="n">
        <v>0.709</v>
      </c>
      <c r="C443" s="22" t="n">
        <v>0.837</v>
      </c>
      <c r="D443" s="22" t="n">
        <v>1.297</v>
      </c>
      <c r="E443" s="22" t="n">
        <v>1.703</v>
      </c>
      <c r="F443" s="22" t="n">
        <v>2.257</v>
      </c>
      <c r="G443" s="22" t="n">
        <v>2.492</v>
      </c>
      <c r="H443" s="22" t="n">
        <v>2.609</v>
      </c>
      <c r="I443" s="22" t="n">
        <v>4.58</v>
      </c>
      <c r="J443" s="22" t="n">
        <v>2.09</v>
      </c>
      <c r="K443" s="22" t="n">
        <v>3.85</v>
      </c>
      <c r="L443" s="17">
        <f>$J443-$B443</f>
        <v/>
      </c>
      <c r="M443" s="17">
        <f>$I443-$L443</f>
        <v/>
      </c>
      <c r="N443" s="23">
        <f>($G443-$M443)*100</f>
        <v/>
      </c>
      <c r="O443" s="15">
        <f>($E443-$C443)*100</f>
        <v/>
      </c>
      <c r="P443" s="15">
        <f>($G443-$E443)*100</f>
        <v/>
      </c>
      <c r="Q443" s="15">
        <f>($G443-$C443)*100</f>
        <v/>
      </c>
      <c r="R443" s="15">
        <f>IF($H443="","",($H443-$F443)*100)</f>
        <v/>
      </c>
      <c r="S443" s="15">
        <f>IF($H443="","",($H443-$G443)*100)</f>
        <v/>
      </c>
    </row>
    <row r="444">
      <c r="A444" s="11" t="n">
        <v>39591</v>
      </c>
      <c r="B444" s="22" t="n">
        <v>0.705</v>
      </c>
      <c r="C444" s="22" t="n">
        <v>0.837</v>
      </c>
      <c r="D444" s="22" t="n">
        <v>1.316</v>
      </c>
      <c r="E444" s="22" t="n">
        <v>1.746</v>
      </c>
      <c r="F444" s="22" t="n">
        <v>2.338</v>
      </c>
      <c r="G444" s="22" t="n">
        <v>2.546</v>
      </c>
      <c r="H444" s="22" t="n">
        <v>2.661</v>
      </c>
      <c r="I444" s="22" t="n">
        <v>4.57</v>
      </c>
      <c r="J444" s="22" t="n">
        <v>2.11</v>
      </c>
      <c r="K444" s="22" t="n">
        <v>3.85</v>
      </c>
      <c r="L444" s="17">
        <f>$J444-$B444</f>
        <v/>
      </c>
      <c r="M444" s="17">
        <f>$I444-$L444</f>
        <v/>
      </c>
      <c r="N444" s="23">
        <f>($G444-$M444)*100</f>
        <v/>
      </c>
      <c r="O444" s="15">
        <f>($E444-$C444)*100</f>
        <v/>
      </c>
      <c r="P444" s="15">
        <f>($G444-$E444)*100</f>
        <v/>
      </c>
      <c r="Q444" s="15">
        <f>($G444-$C444)*100</f>
        <v/>
      </c>
      <c r="R444" s="15">
        <f>IF($H444="","",($H444-$F444)*100)</f>
        <v/>
      </c>
      <c r="S444" s="15">
        <f>IF($H444="","",($H444-$G444)*100)</f>
        <v/>
      </c>
    </row>
    <row r="445">
      <c r="A445" s="11" t="n">
        <v>39598</v>
      </c>
      <c r="B445" s="22" t="n">
        <v>0.74</v>
      </c>
      <c r="C445" s="22" t="n">
        <v>0.9</v>
      </c>
      <c r="D445" s="22" t="n">
        <v>1.34</v>
      </c>
      <c r="E445" s="22" t="n">
        <v>1.758</v>
      </c>
      <c r="F445" s="22" t="n">
        <v>2.291</v>
      </c>
      <c r="G445" s="22" t="n">
        <v>2.488</v>
      </c>
      <c r="H445" s="22" t="n">
        <v>2.6</v>
      </c>
      <c r="I445" s="22" t="n">
        <v>4.72</v>
      </c>
      <c r="J445" s="22" t="n">
        <v>2.22</v>
      </c>
      <c r="K445" s="22" t="n">
        <v>4.06</v>
      </c>
      <c r="L445" s="17">
        <f>$J445-$B445</f>
        <v/>
      </c>
      <c r="M445" s="17">
        <f>$I445-$L445</f>
        <v/>
      </c>
      <c r="N445" s="23">
        <f>($G445-$M445)*100</f>
        <v/>
      </c>
      <c r="O445" s="15">
        <f>($E445-$C445)*100</f>
        <v/>
      </c>
      <c r="P445" s="15">
        <f>($G445-$E445)*100</f>
        <v/>
      </c>
      <c r="Q445" s="15">
        <f>($G445-$C445)*100</f>
        <v/>
      </c>
      <c r="R445" s="15">
        <f>IF($H445="","",($H445-$F445)*100)</f>
        <v/>
      </c>
      <c r="S445" s="15">
        <f>IF($H445="","",($H445-$G445)*100)</f>
        <v/>
      </c>
    </row>
    <row r="446">
      <c r="A446" s="11" t="n">
        <v>39605</v>
      </c>
      <c r="B446" s="22" t="n">
        <v>0.713</v>
      </c>
      <c r="C446" s="22" t="n">
        <v>0.874</v>
      </c>
      <c r="D446" s="22" t="n">
        <v>1.379</v>
      </c>
      <c r="E446" s="22" t="n">
        <v>1.782</v>
      </c>
      <c r="F446" s="22" t="n">
        <v>2.344</v>
      </c>
      <c r="G446" s="22" t="n">
        <v>2.533</v>
      </c>
      <c r="H446" s="22" t="n">
        <v>2.636</v>
      </c>
      <c r="I446" s="22" t="n">
        <v>4.65</v>
      </c>
      <c r="J446" s="22" t="n">
        <v>2.12</v>
      </c>
      <c r="K446" s="22" t="n">
        <v>3.94</v>
      </c>
      <c r="L446" s="17">
        <f>$J446-$B446</f>
        <v/>
      </c>
      <c r="M446" s="17">
        <f>$I446-$L446</f>
        <v/>
      </c>
      <c r="N446" s="23">
        <f>($G446-$M446)*100</f>
        <v/>
      </c>
      <c r="O446" s="15">
        <f>($E446-$C446)*100</f>
        <v/>
      </c>
      <c r="P446" s="15">
        <f>($G446-$E446)*100</f>
        <v/>
      </c>
      <c r="Q446" s="15">
        <f>($G446-$C446)*100</f>
        <v/>
      </c>
      <c r="R446" s="15">
        <f>IF($H446="","",($H446-$F446)*100)</f>
        <v/>
      </c>
      <c r="S446" s="15">
        <f>IF($H446="","",($H446-$G446)*100)</f>
        <v/>
      </c>
    </row>
    <row r="447">
      <c r="A447" s="11" t="n">
        <v>39612</v>
      </c>
      <c r="B447" s="22" t="n">
        <v>0.797</v>
      </c>
      <c r="C447" s="22" t="n">
        <v>1.009</v>
      </c>
      <c r="D447" s="22" t="n">
        <v>1.531</v>
      </c>
      <c r="E447" s="22" t="n">
        <v>1.858</v>
      </c>
      <c r="F447" s="22" t="n">
        <v>2.381</v>
      </c>
      <c r="G447" s="22" t="n">
        <v>2.547</v>
      </c>
      <c r="H447" s="22" t="n">
        <v>2.632</v>
      </c>
      <c r="I447" s="22" t="n">
        <v>4.79</v>
      </c>
      <c r="J447" s="22" t="n">
        <v>2.64</v>
      </c>
      <c r="K447" s="22" t="n">
        <v>4.27</v>
      </c>
      <c r="L447" s="17">
        <f>$J447-$B447</f>
        <v/>
      </c>
      <c r="M447" s="17">
        <f>$I447-$L447</f>
        <v/>
      </c>
      <c r="N447" s="23">
        <f>($G447-$M447)*100</f>
        <v/>
      </c>
      <c r="O447" s="15">
        <f>($E447-$C447)*100</f>
        <v/>
      </c>
      <c r="P447" s="15">
        <f>($G447-$E447)*100</f>
        <v/>
      </c>
      <c r="Q447" s="15">
        <f>($G447-$C447)*100</f>
        <v/>
      </c>
      <c r="R447" s="15">
        <f>IF($H447="","",($H447-$F447)*100)</f>
        <v/>
      </c>
      <c r="S447" s="15">
        <f>IF($H447="","",($H447-$G447)*100)</f>
        <v/>
      </c>
    </row>
    <row r="448">
      <c r="A448" s="11" t="n">
        <v>39619</v>
      </c>
      <c r="B448" s="22" t="n">
        <v>0.73</v>
      </c>
      <c r="C448" s="22" t="n">
        <v>0.881</v>
      </c>
      <c r="D448" s="22" t="n">
        <v>1.357</v>
      </c>
      <c r="E448" s="22" t="n">
        <v>1.759</v>
      </c>
      <c r="F448" s="22" t="n">
        <v>2.323</v>
      </c>
      <c r="G448" s="22" t="n">
        <v>2.514</v>
      </c>
      <c r="H448" s="22" t="n">
        <v>2.6</v>
      </c>
      <c r="I448" s="22" t="n">
        <v>4.71</v>
      </c>
      <c r="J448" s="22" t="n">
        <v>2.49</v>
      </c>
      <c r="K448" s="22" t="n">
        <v>4.16</v>
      </c>
      <c r="L448" s="17">
        <f>$J448-$B448</f>
        <v/>
      </c>
      <c r="M448" s="17">
        <f>$I448-$L448</f>
        <v/>
      </c>
      <c r="N448" s="23">
        <f>($G448-$M448)*100</f>
        <v/>
      </c>
      <c r="O448" s="15">
        <f>($E448-$C448)*100</f>
        <v/>
      </c>
      <c r="P448" s="15">
        <f>($G448-$E448)*100</f>
        <v/>
      </c>
      <c r="Q448" s="15">
        <f>($G448-$C448)*100</f>
        <v/>
      </c>
      <c r="R448" s="15">
        <f>IF($H448="","",($H448-$F448)*100)</f>
        <v/>
      </c>
      <c r="S448" s="15">
        <f>IF($H448="","",($H448-$G448)*100)</f>
        <v/>
      </c>
    </row>
    <row r="449">
      <c r="A449" s="11" t="n">
        <v>39626</v>
      </c>
      <c r="B449" s="22" t="n">
        <v>0.695</v>
      </c>
      <c r="C449" s="22" t="n">
        <v>0.781</v>
      </c>
      <c r="D449" s="22" t="n">
        <v>1.191</v>
      </c>
      <c r="E449" s="22" t="n">
        <v>1.624</v>
      </c>
      <c r="F449" s="22" t="n">
        <v>2.206</v>
      </c>
      <c r="G449" s="22" t="n">
        <v>2.417</v>
      </c>
      <c r="H449" s="22" t="n">
        <v>2.519</v>
      </c>
      <c r="I449" s="22" t="n">
        <v>4.53</v>
      </c>
      <c r="J449" s="22" t="n">
        <v>2.35</v>
      </c>
      <c r="K449" s="22" t="n">
        <v>3.99</v>
      </c>
      <c r="L449" s="17">
        <f>$J449-$B449</f>
        <v/>
      </c>
      <c r="M449" s="17">
        <f>$I449-$L449</f>
        <v/>
      </c>
      <c r="N449" s="23">
        <f>($G449-$M449)*100</f>
        <v/>
      </c>
      <c r="O449" s="15">
        <f>($E449-$C449)*100</f>
        <v/>
      </c>
      <c r="P449" s="15">
        <f>($G449-$E449)*100</f>
        <v/>
      </c>
      <c r="Q449" s="15">
        <f>($G449-$C449)*100</f>
        <v/>
      </c>
      <c r="R449" s="15">
        <f>IF($H449="","",($H449-$F449)*100)</f>
        <v/>
      </c>
      <c r="S449" s="15">
        <f>IF($H449="","",($H449-$G449)*100)</f>
        <v/>
      </c>
    </row>
    <row r="450">
      <c r="A450" s="11" t="n">
        <v>39633</v>
      </c>
      <c r="B450" s="22" t="n">
        <v>0.713</v>
      </c>
      <c r="C450" s="22" t="n">
        <v>0.823</v>
      </c>
      <c r="D450" s="22" t="n">
        <v>1.241</v>
      </c>
      <c r="E450" s="22" t="n">
        <v>1.647</v>
      </c>
      <c r="F450" s="22" t="n">
        <v>2.227</v>
      </c>
      <c r="G450" s="22" t="n">
        <v>2.422</v>
      </c>
      <c r="H450" s="22" t="n">
        <v>2.53</v>
      </c>
      <c r="I450" s="22" t="n">
        <v>4.53</v>
      </c>
      <c r="J450" s="22" t="n">
        <v>2.3</v>
      </c>
      <c r="K450" s="22" t="n">
        <v>3.99</v>
      </c>
      <c r="L450" s="17">
        <f>$J450-$B450</f>
        <v/>
      </c>
      <c r="M450" s="17">
        <f>$I450-$L450</f>
        <v/>
      </c>
      <c r="N450" s="23">
        <f>($G450-$M450)*100</f>
        <v/>
      </c>
      <c r="O450" s="15">
        <f>($E450-$C450)*100</f>
        <v/>
      </c>
      <c r="P450" s="15">
        <f>($G450-$E450)*100</f>
        <v/>
      </c>
      <c r="Q450" s="15">
        <f>($G450-$C450)*100</f>
        <v/>
      </c>
      <c r="R450" s="15">
        <f>IF($H450="","",($H450-$F450)*100)</f>
        <v/>
      </c>
      <c r="S450" s="15">
        <f>IF($H450="","",($H450-$G450)*100)</f>
        <v/>
      </c>
    </row>
    <row r="451">
      <c r="A451" s="11" t="n">
        <v>39640</v>
      </c>
      <c r="B451" s="22" t="n">
        <v>0.681</v>
      </c>
      <c r="C451" s="22" t="n">
        <v>0.773</v>
      </c>
      <c r="D451" s="22" t="n">
        <v>1.151</v>
      </c>
      <c r="E451" s="22" t="n">
        <v>1.606</v>
      </c>
      <c r="F451" s="22" t="n">
        <v>2.215</v>
      </c>
      <c r="G451" s="22" t="n">
        <v>2.42</v>
      </c>
      <c r="H451" s="22" t="n">
        <v>2.534</v>
      </c>
      <c r="I451" s="22" t="n">
        <v>4.52</v>
      </c>
      <c r="J451" s="22" t="n">
        <v>2.3</v>
      </c>
      <c r="K451" s="22" t="n">
        <v>3.96</v>
      </c>
      <c r="L451" s="17">
        <f>$J451-$B451</f>
        <v/>
      </c>
      <c r="M451" s="17">
        <f>$I451-$L451</f>
        <v/>
      </c>
      <c r="N451" s="23">
        <f>($G451-$M451)*100</f>
        <v/>
      </c>
      <c r="O451" s="15">
        <f>($E451-$C451)*100</f>
        <v/>
      </c>
      <c r="P451" s="15">
        <f>($G451-$E451)*100</f>
        <v/>
      </c>
      <c r="Q451" s="15">
        <f>($G451-$C451)*100</f>
        <v/>
      </c>
      <c r="R451" s="15">
        <f>IF($H451="","",($H451-$F451)*100)</f>
        <v/>
      </c>
      <c r="S451" s="15">
        <f>IF($H451="","",($H451-$G451)*100)</f>
        <v/>
      </c>
    </row>
    <row r="452">
      <c r="A452" s="11" t="n">
        <v>39647</v>
      </c>
      <c r="B452" s="22" t="n">
        <v>0.657</v>
      </c>
      <c r="C452" s="22" t="n">
        <v>0.759</v>
      </c>
      <c r="D452" s="22" t="n">
        <v>1.118</v>
      </c>
      <c r="E452" s="22" t="n">
        <v>1.581</v>
      </c>
      <c r="F452" s="22" t="n">
        <v>2.232</v>
      </c>
      <c r="G452" s="22" t="n">
        <v>2.446</v>
      </c>
      <c r="H452" s="22" t="n">
        <v>2.572</v>
      </c>
      <c r="I452" s="22" t="n">
        <v>4.66</v>
      </c>
      <c r="J452" s="22" t="n">
        <v>2.26</v>
      </c>
      <c r="K452" s="22" t="n">
        <v>4.11</v>
      </c>
      <c r="L452" s="17">
        <f>$J452-$B452</f>
        <v/>
      </c>
      <c r="M452" s="17">
        <f>$I452-$L452</f>
        <v/>
      </c>
      <c r="N452" s="23">
        <f>($G452-$M452)*100</f>
        <v/>
      </c>
      <c r="O452" s="15">
        <f>($E452-$C452)*100</f>
        <v/>
      </c>
      <c r="P452" s="15">
        <f>($G452-$E452)*100</f>
        <v/>
      </c>
      <c r="Q452" s="15">
        <f>($G452-$C452)*100</f>
        <v/>
      </c>
      <c r="R452" s="15">
        <f>IF($H452="","",($H452-$F452)*100)</f>
        <v/>
      </c>
      <c r="S452" s="15">
        <f>IF($H452="","",($H452-$G452)*100)</f>
        <v/>
      </c>
    </row>
    <row r="453">
      <c r="A453" s="11" t="n">
        <v>39654</v>
      </c>
      <c r="B453" s="22" t="n">
        <v>0.655</v>
      </c>
      <c r="C453" s="22" t="n">
        <v>0.78</v>
      </c>
      <c r="D453" s="22" t="n">
        <v>1.153</v>
      </c>
      <c r="E453" s="22" t="n">
        <v>1.588</v>
      </c>
      <c r="F453" s="22" t="n">
        <v>2.224</v>
      </c>
      <c r="G453" s="22" t="n">
        <v>2.44</v>
      </c>
      <c r="H453" s="22" t="n">
        <v>2.566</v>
      </c>
      <c r="I453" s="22" t="n">
        <v>4.69</v>
      </c>
      <c r="J453" s="22" t="n">
        <v>2.35</v>
      </c>
      <c r="K453" s="22" t="n">
        <v>4.13</v>
      </c>
      <c r="L453" s="17">
        <f>$J453-$B453</f>
        <v/>
      </c>
      <c r="M453" s="17">
        <f>$I453-$L453</f>
        <v/>
      </c>
      <c r="N453" s="23">
        <f>($G453-$M453)*100</f>
        <v/>
      </c>
      <c r="O453" s="15">
        <f>($E453-$C453)*100</f>
        <v/>
      </c>
      <c r="P453" s="15">
        <f>($G453-$E453)*100</f>
        <v/>
      </c>
      <c r="Q453" s="15">
        <f>($G453-$C453)*100</f>
        <v/>
      </c>
      <c r="R453" s="15">
        <f>IF($H453="","",($H453-$F453)*100)</f>
        <v/>
      </c>
      <c r="S453" s="15">
        <f>IF($H453="","",($H453-$G453)*100)</f>
        <v/>
      </c>
    </row>
    <row r="454">
      <c r="A454" s="11" t="n">
        <v>39661</v>
      </c>
      <c r="B454" s="22" t="n">
        <v>0.658</v>
      </c>
      <c r="C454" s="22" t="n">
        <v>0.751</v>
      </c>
      <c r="D454" s="22" t="n">
        <v>1.091</v>
      </c>
      <c r="E454" s="22" t="n">
        <v>1.528</v>
      </c>
      <c r="F454" s="22" t="n">
        <v>2.19</v>
      </c>
      <c r="G454" s="22" t="n">
        <v>2.421</v>
      </c>
      <c r="H454" s="22" t="n">
        <v>2.551</v>
      </c>
      <c r="I454" s="22" t="n">
        <v>4.57</v>
      </c>
      <c r="J454" s="22" t="n">
        <v>2.25</v>
      </c>
      <c r="K454" s="22" t="n">
        <v>3.97</v>
      </c>
      <c r="L454" s="17">
        <f>$J454-$B454</f>
        <v/>
      </c>
      <c r="M454" s="17">
        <f>$I454-$L454</f>
        <v/>
      </c>
      <c r="N454" s="23">
        <f>($G454-$M454)*100</f>
        <v/>
      </c>
      <c r="O454" s="15">
        <f>($E454-$C454)*100</f>
        <v/>
      </c>
      <c r="P454" s="15">
        <f>($G454-$E454)*100</f>
        <v/>
      </c>
      <c r="Q454" s="15">
        <f>($G454-$C454)*100</f>
        <v/>
      </c>
      <c r="R454" s="15">
        <f>IF($H454="","",($H454-$F454)*100)</f>
        <v/>
      </c>
      <c r="S454" s="15">
        <f>IF($H454="","",($H454-$G454)*100)</f>
        <v/>
      </c>
    </row>
    <row r="455">
      <c r="A455" s="11" t="n">
        <v>39668</v>
      </c>
      <c r="B455" s="22" t="n">
        <v>0.624</v>
      </c>
      <c r="C455" s="22" t="n">
        <v>0.696</v>
      </c>
      <c r="D455" s="22" t="n">
        <v>1.026</v>
      </c>
      <c r="E455" s="22" t="n">
        <v>1.48</v>
      </c>
      <c r="F455" s="22" t="n">
        <v>2.124</v>
      </c>
      <c r="G455" s="22" t="n">
        <v>2.339</v>
      </c>
      <c r="H455" s="22" t="n">
        <v>2.48</v>
      </c>
      <c r="I455" s="22" t="n">
        <v>4.55</v>
      </c>
      <c r="J455" s="22" t="n">
        <v>2.19</v>
      </c>
      <c r="K455" s="22" t="n">
        <v>3.94</v>
      </c>
      <c r="L455" s="17">
        <f>$J455-$B455</f>
        <v/>
      </c>
      <c r="M455" s="17">
        <f>$I455-$L455</f>
        <v/>
      </c>
      <c r="N455" s="23">
        <f>($G455-$M455)*100</f>
        <v/>
      </c>
      <c r="O455" s="15">
        <f>($E455-$C455)*100</f>
        <v/>
      </c>
      <c r="P455" s="15">
        <f>($G455-$E455)*100</f>
        <v/>
      </c>
      <c r="Q455" s="15">
        <f>($G455-$C455)*100</f>
        <v/>
      </c>
      <c r="R455" s="15">
        <f>IF($H455="","",($H455-$F455)*100)</f>
        <v/>
      </c>
      <c r="S455" s="15">
        <f>IF($H455="","",($H455-$G455)*100)</f>
        <v/>
      </c>
    </row>
    <row r="456">
      <c r="A456" s="11" t="n">
        <v>39675</v>
      </c>
      <c r="B456" s="22" t="n">
        <v>0.608</v>
      </c>
      <c r="C456" s="22" t="n">
        <v>0.6889999999999999</v>
      </c>
      <c r="D456" s="22" t="n">
        <v>1.037</v>
      </c>
      <c r="E456" s="22" t="n">
        <v>1.468</v>
      </c>
      <c r="F456" s="22" t="n">
        <v>2.112</v>
      </c>
      <c r="G456" s="22" t="n">
        <v>2.31</v>
      </c>
      <c r="H456" s="22" t="n">
        <v>2.451</v>
      </c>
      <c r="I456" s="22" t="n">
        <v>4.47</v>
      </c>
      <c r="J456" s="22" t="n">
        <v>2.12</v>
      </c>
      <c r="K456" s="22" t="n">
        <v>3.84</v>
      </c>
      <c r="L456" s="17">
        <f>$J456-$B456</f>
        <v/>
      </c>
      <c r="M456" s="17">
        <f>$I456-$L456</f>
        <v/>
      </c>
      <c r="N456" s="23">
        <f>($G456-$M456)*100</f>
        <v/>
      </c>
      <c r="O456" s="15">
        <f>($E456-$C456)*100</f>
        <v/>
      </c>
      <c r="P456" s="15">
        <f>($G456-$E456)*100</f>
        <v/>
      </c>
      <c r="Q456" s="15">
        <f>($G456-$C456)*100</f>
        <v/>
      </c>
      <c r="R456" s="15">
        <f>IF($H456="","",($H456-$F456)*100)</f>
        <v/>
      </c>
      <c r="S456" s="15">
        <f>IF($H456="","",($H456-$G456)*100)</f>
        <v/>
      </c>
    </row>
    <row r="457">
      <c r="A457" s="11" t="n">
        <v>39682</v>
      </c>
      <c r="B457" s="22" t="n">
        <v>0.591</v>
      </c>
      <c r="C457" s="22" t="n">
        <v>0.6909999999999999</v>
      </c>
      <c r="D457" s="22" t="n">
        <v>1.029</v>
      </c>
      <c r="E457" s="22" t="n">
        <v>1.457</v>
      </c>
      <c r="F457" s="22" t="n">
        <v>2.139</v>
      </c>
      <c r="G457" s="22" t="n">
        <v>2.367</v>
      </c>
      <c r="H457" s="22" t="n">
        <v>2.506</v>
      </c>
      <c r="I457" s="22" t="n">
        <v>4.46</v>
      </c>
      <c r="J457" s="22" t="n">
        <v>2.17</v>
      </c>
      <c r="K457" s="22" t="n">
        <v>3.87</v>
      </c>
      <c r="L457" s="17">
        <f>$J457-$B457</f>
        <v/>
      </c>
      <c r="M457" s="17">
        <f>$I457-$L457</f>
        <v/>
      </c>
      <c r="N457" s="23">
        <f>($G457-$M457)*100</f>
        <v/>
      </c>
      <c r="O457" s="15">
        <f>($E457-$C457)*100</f>
        <v/>
      </c>
      <c r="P457" s="15">
        <f>($G457-$E457)*100</f>
        <v/>
      </c>
      <c r="Q457" s="15">
        <f>($G457-$C457)*100</f>
        <v/>
      </c>
      <c r="R457" s="15">
        <f>IF($H457="","",($H457-$F457)*100)</f>
        <v/>
      </c>
      <c r="S457" s="15">
        <f>IF($H457="","",($H457-$G457)*100)</f>
        <v/>
      </c>
    </row>
    <row r="458">
      <c r="A458" s="11" t="n">
        <v>39689</v>
      </c>
      <c r="B458" s="22" t="n">
        <v>0.599</v>
      </c>
      <c r="C458" s="22" t="n">
        <v>0.709</v>
      </c>
      <c r="D458" s="22" t="n">
        <v>0.986</v>
      </c>
      <c r="E458" s="22" t="n">
        <v>1.421</v>
      </c>
      <c r="F458" s="22" t="n">
        <v>2.088</v>
      </c>
      <c r="G458" s="22" t="n">
        <v>2.321</v>
      </c>
      <c r="H458" s="22" t="n">
        <v>2.462</v>
      </c>
      <c r="I458" s="22" t="n">
        <v>4.43</v>
      </c>
      <c r="J458" s="22" t="n">
        <v>2.17</v>
      </c>
      <c r="K458" s="22" t="n">
        <v>3.83</v>
      </c>
      <c r="L458" s="17">
        <f>$J458-$B458</f>
        <v/>
      </c>
      <c r="M458" s="17">
        <f>$I458-$L458</f>
        <v/>
      </c>
      <c r="N458" s="23">
        <f>($G458-$M458)*100</f>
        <v/>
      </c>
      <c r="O458" s="15">
        <f>($E458-$C458)*100</f>
        <v/>
      </c>
      <c r="P458" s="15">
        <f>($G458-$E458)*100</f>
        <v/>
      </c>
      <c r="Q458" s="15">
        <f>($G458-$C458)*100</f>
        <v/>
      </c>
      <c r="R458" s="15">
        <f>IF($H458="","",($H458-$F458)*100)</f>
        <v/>
      </c>
      <c r="S458" s="15">
        <f>IF($H458="","",($H458-$G458)*100)</f>
        <v/>
      </c>
    </row>
    <row r="459">
      <c r="A459" s="11" t="n">
        <v>39696</v>
      </c>
      <c r="B459" s="22" t="n">
        <v>0.607</v>
      </c>
      <c r="C459" s="22" t="n">
        <v>0.72</v>
      </c>
      <c r="D459" s="22" t="n">
        <v>1.044</v>
      </c>
      <c r="E459" s="22" t="n">
        <v>1.46</v>
      </c>
      <c r="F459" s="22" t="n">
        <v>2.082</v>
      </c>
      <c r="G459" s="22" t="n">
        <v>2.297</v>
      </c>
      <c r="H459" s="22" t="n">
        <v>2.437</v>
      </c>
      <c r="I459" s="22" t="n">
        <v>4.27</v>
      </c>
      <c r="J459" s="22" t="n">
        <v>2.07</v>
      </c>
      <c r="K459" s="22" t="n">
        <v>3.66</v>
      </c>
      <c r="L459" s="17">
        <f>$J459-$B459</f>
        <v/>
      </c>
      <c r="M459" s="17">
        <f>$I459-$L459</f>
        <v/>
      </c>
      <c r="N459" s="23">
        <f>($G459-$M459)*100</f>
        <v/>
      </c>
      <c r="O459" s="15">
        <f>($E459-$C459)*100</f>
        <v/>
      </c>
      <c r="P459" s="15">
        <f>($G459-$E459)*100</f>
        <v/>
      </c>
      <c r="Q459" s="15">
        <f>($G459-$C459)*100</f>
        <v/>
      </c>
      <c r="R459" s="15">
        <f>IF($H459="","",($H459-$F459)*100)</f>
        <v/>
      </c>
      <c r="S459" s="15">
        <f>IF($H459="","",($H459-$G459)*100)</f>
        <v/>
      </c>
    </row>
    <row r="460">
      <c r="A460" s="11" t="n">
        <v>39703</v>
      </c>
      <c r="B460" s="22" t="n">
        <v>0.606</v>
      </c>
      <c r="C460" s="22" t="n">
        <v>0.738</v>
      </c>
      <c r="D460" s="22" t="n">
        <v>1.102</v>
      </c>
      <c r="E460" s="22" t="n">
        <v>1.522</v>
      </c>
      <c r="F460" s="22" t="n">
        <v>2.128</v>
      </c>
      <c r="G460" s="22" t="n">
        <v>2.33</v>
      </c>
      <c r="H460" s="22" t="n">
        <v>2.459</v>
      </c>
      <c r="I460" s="22" t="n">
        <v>4.32</v>
      </c>
      <c r="J460" s="22" t="n">
        <v>2.02</v>
      </c>
      <c r="K460" s="22" t="n">
        <v>3.74</v>
      </c>
      <c r="L460" s="17">
        <f>$J460-$B460</f>
        <v/>
      </c>
      <c r="M460" s="17">
        <f>$I460-$L460</f>
        <v/>
      </c>
      <c r="N460" s="23">
        <f>($G460-$M460)*100</f>
        <v/>
      </c>
      <c r="O460" s="15">
        <f>($E460-$C460)*100</f>
        <v/>
      </c>
      <c r="P460" s="15">
        <f>($G460-$E460)*100</f>
        <v/>
      </c>
      <c r="Q460" s="15">
        <f>($G460-$C460)*100</f>
        <v/>
      </c>
      <c r="R460" s="15">
        <f>IF($H460="","",($H460-$F460)*100)</f>
        <v/>
      </c>
      <c r="S460" s="15">
        <f>IF($H460="","",($H460-$G460)*100)</f>
        <v/>
      </c>
    </row>
    <row r="461">
      <c r="A461" s="11" t="n">
        <v>39710</v>
      </c>
      <c r="B461" s="22" t="n">
        <v>0.636</v>
      </c>
      <c r="C461" s="22" t="n">
        <v>0.789</v>
      </c>
      <c r="D461" s="22" t="n">
        <v>1.114</v>
      </c>
      <c r="E461" s="22" t="n">
        <v>1.482</v>
      </c>
      <c r="F461" s="22" t="n">
        <v>2.138</v>
      </c>
      <c r="G461" s="22" t="n">
        <v>2.318</v>
      </c>
      <c r="H461" s="22" t="n">
        <v>2.456</v>
      </c>
      <c r="I461" s="22" t="n">
        <v>4.36</v>
      </c>
      <c r="J461" s="22" t="n">
        <v>2.05</v>
      </c>
      <c r="K461" s="22" t="n">
        <v>3.78</v>
      </c>
      <c r="L461" s="17">
        <f>$J461-$B461</f>
        <v/>
      </c>
      <c r="M461" s="17">
        <f>$I461-$L461</f>
        <v/>
      </c>
      <c r="N461" s="23">
        <f>($G461-$M461)*100</f>
        <v/>
      </c>
      <c r="O461" s="15">
        <f>($E461-$C461)*100</f>
        <v/>
      </c>
      <c r="P461" s="15">
        <f>($G461-$E461)*100</f>
        <v/>
      </c>
      <c r="Q461" s="15">
        <f>($G461-$C461)*100</f>
        <v/>
      </c>
      <c r="R461" s="15">
        <f>IF($H461="","",($H461-$F461)*100)</f>
        <v/>
      </c>
      <c r="S461" s="15">
        <f>IF($H461="","",($H461-$G461)*100)</f>
        <v/>
      </c>
    </row>
    <row r="462">
      <c r="A462" s="11" t="n">
        <v>39717</v>
      </c>
      <c r="B462" s="22" t="n">
        <v>0.654</v>
      </c>
      <c r="C462" s="22" t="n">
        <v>0.8070000000000001</v>
      </c>
      <c r="D462" s="22" t="n">
        <v>1.094</v>
      </c>
      <c r="E462" s="22" t="n">
        <v>1.464</v>
      </c>
      <c r="F462" s="22" t="n">
        <v>2.092</v>
      </c>
      <c r="G462" s="22" t="n">
        <v>2.272</v>
      </c>
      <c r="H462" s="22" t="n">
        <v>2.407</v>
      </c>
      <c r="I462" s="22" t="n">
        <v>4.36</v>
      </c>
      <c r="J462" s="22" t="n">
        <v>1.81</v>
      </c>
      <c r="K462" s="22" t="n">
        <v>3.85</v>
      </c>
      <c r="L462" s="17">
        <f>$J462-$B462</f>
        <v/>
      </c>
      <c r="M462" s="17">
        <f>$I462-$L462</f>
        <v/>
      </c>
      <c r="N462" s="23">
        <f>($G462-$M462)*100</f>
        <v/>
      </c>
      <c r="O462" s="15">
        <f>($E462-$C462)*100</f>
        <v/>
      </c>
      <c r="P462" s="15">
        <f>($G462-$E462)*100</f>
        <v/>
      </c>
      <c r="Q462" s="15">
        <f>($G462-$C462)*100</f>
        <v/>
      </c>
      <c r="R462" s="15">
        <f>IF($H462="","",($H462-$F462)*100)</f>
        <v/>
      </c>
      <c r="S462" s="15">
        <f>IF($H462="","",($H462-$G462)*100)</f>
        <v/>
      </c>
    </row>
    <row r="463">
      <c r="A463" s="11" t="n">
        <v>39724</v>
      </c>
      <c r="B463" s="22" t="n">
        <v>0.667</v>
      </c>
      <c r="C463" s="22" t="n">
        <v>0.726</v>
      </c>
      <c r="D463" s="22" t="n">
        <v>0.986</v>
      </c>
      <c r="E463" s="22" t="n">
        <v>1.45</v>
      </c>
      <c r="F463" s="22" t="n">
        <v>2.087</v>
      </c>
      <c r="G463" s="22" t="n">
        <v>2.326</v>
      </c>
      <c r="H463" s="22" t="n">
        <v>2.469</v>
      </c>
      <c r="I463" s="22" t="n">
        <v>4.11</v>
      </c>
      <c r="J463" s="22" t="n">
        <v>1.41</v>
      </c>
      <c r="K463" s="22" t="n">
        <v>3.63</v>
      </c>
      <c r="L463" s="17">
        <f>$J463-$B463</f>
        <v/>
      </c>
      <c r="M463" s="17">
        <f>$I463-$L463</f>
        <v/>
      </c>
      <c r="N463" s="23">
        <f>($G463-$M463)*100</f>
        <v/>
      </c>
      <c r="O463" s="15">
        <f>($E463-$C463)*100</f>
        <v/>
      </c>
      <c r="P463" s="15">
        <f>($G463-$E463)*100</f>
        <v/>
      </c>
      <c r="Q463" s="15">
        <f>($G463-$C463)*100</f>
        <v/>
      </c>
      <c r="R463" s="15">
        <f>IF($H463="","",($H463-$F463)*100)</f>
        <v/>
      </c>
      <c r="S463" s="15">
        <f>IF($H463="","",($H463-$G463)*100)</f>
        <v/>
      </c>
    </row>
    <row r="464">
      <c r="A464" s="11" t="n">
        <v>39731</v>
      </c>
      <c r="B464" s="22" t="n">
        <v>0.768</v>
      </c>
      <c r="C464" s="22" t="n">
        <v>0.843</v>
      </c>
      <c r="D464" s="22" t="n">
        <v>1.104</v>
      </c>
      <c r="E464" s="22" t="n">
        <v>1.518</v>
      </c>
      <c r="F464" s="22" t="n">
        <v>2.004</v>
      </c>
      <c r="G464" s="22" t="n">
        <v>2.158</v>
      </c>
      <c r="H464" s="22" t="n">
        <v>2.307</v>
      </c>
      <c r="I464" s="22" t="n">
        <v>4.15</v>
      </c>
      <c r="J464" s="22" t="n">
        <v>1.08</v>
      </c>
      <c r="K464" s="22" t="n">
        <v>3.89</v>
      </c>
      <c r="L464" s="17">
        <f>$J464-$B464</f>
        <v/>
      </c>
      <c r="M464" s="17">
        <f>$I464-$L464</f>
        <v/>
      </c>
      <c r="N464" s="23">
        <f>($G464-$M464)*100</f>
        <v/>
      </c>
      <c r="O464" s="15">
        <f>($E464-$C464)*100</f>
        <v/>
      </c>
      <c r="P464" s="15">
        <f>($G464-$E464)*100</f>
        <v/>
      </c>
      <c r="Q464" s="15">
        <f>($G464-$C464)*100</f>
        <v/>
      </c>
      <c r="R464" s="15">
        <f>IF($H464="","",($H464-$F464)*100)</f>
        <v/>
      </c>
      <c r="S464" s="15">
        <f>IF($H464="","",($H464-$G464)*100)</f>
        <v/>
      </c>
    </row>
    <row r="465">
      <c r="A465" s="11" t="n">
        <v>39738</v>
      </c>
      <c r="B465" s="22" t="n">
        <v>0.698</v>
      </c>
      <c r="C465" s="22" t="n">
        <v>0.786</v>
      </c>
      <c r="D465" s="22" t="n">
        <v>1.151</v>
      </c>
      <c r="E465" s="22" t="n">
        <v>1.576</v>
      </c>
      <c r="F465" s="22" t="n">
        <v>2.14</v>
      </c>
      <c r="G465" s="22" t="n">
        <v>2.335</v>
      </c>
      <c r="H465" s="22" t="n">
        <v>2.478</v>
      </c>
      <c r="I465" s="22" t="n">
        <v>4.32</v>
      </c>
      <c r="J465" s="22" t="n">
        <v>1.34</v>
      </c>
      <c r="K465" s="22" t="n">
        <v>3.98</v>
      </c>
      <c r="L465" s="17">
        <f>$J465-$B465</f>
        <v/>
      </c>
      <c r="M465" s="17">
        <f>$I465-$L465</f>
        <v/>
      </c>
      <c r="N465" s="23">
        <f>($G465-$M465)*100</f>
        <v/>
      </c>
      <c r="O465" s="15">
        <f>($E465-$C465)*100</f>
        <v/>
      </c>
      <c r="P465" s="15">
        <f>($G465-$E465)*100</f>
        <v/>
      </c>
      <c r="Q465" s="15">
        <f>($G465-$C465)*100</f>
        <v/>
      </c>
      <c r="R465" s="15">
        <f>IF($H465="","",($H465-$F465)*100)</f>
        <v/>
      </c>
      <c r="S465" s="15">
        <f>IF($H465="","",($H465-$G465)*100)</f>
        <v/>
      </c>
    </row>
    <row r="466">
      <c r="A466" s="11" t="n">
        <v>39745</v>
      </c>
      <c r="B466" s="22" t="n">
        <v>0.658</v>
      </c>
      <c r="C466" s="22" t="n">
        <v>0.717</v>
      </c>
      <c r="D466" s="22" t="n">
        <v>1.042</v>
      </c>
      <c r="E466" s="22" t="n">
        <v>1.496</v>
      </c>
      <c r="F466" s="22" t="n">
        <v>2.168</v>
      </c>
      <c r="G466" s="22" t="n">
        <v>2.269</v>
      </c>
      <c r="H466" s="22" t="n">
        <v>2.449</v>
      </c>
      <c r="I466" s="22" t="n">
        <v>4.11</v>
      </c>
      <c r="J466" s="22" t="n">
        <v>1.6</v>
      </c>
      <c r="K466" s="22" t="n">
        <v>3.76</v>
      </c>
      <c r="L466" s="17">
        <f>$J466-$B466</f>
        <v/>
      </c>
      <c r="M466" s="17">
        <f>$I466-$L466</f>
        <v/>
      </c>
      <c r="N466" s="23">
        <f>($G466-$M466)*100</f>
        <v/>
      </c>
      <c r="O466" s="15">
        <f>($E466-$C466)*100</f>
        <v/>
      </c>
      <c r="P466" s="15">
        <f>($G466-$E466)*100</f>
        <v/>
      </c>
      <c r="Q466" s="15">
        <f>($G466-$C466)*100</f>
        <v/>
      </c>
      <c r="R466" s="15">
        <f>IF($H466="","",($H466-$F466)*100)</f>
        <v/>
      </c>
      <c r="S466" s="15">
        <f>IF($H466="","",($H466-$G466)*100)</f>
        <v/>
      </c>
    </row>
    <row r="467">
      <c r="A467" s="11" t="n">
        <v>39752</v>
      </c>
      <c r="B467" s="22" t="n">
        <v>0.5</v>
      </c>
      <c r="C467" s="22" t="n">
        <v>0.539</v>
      </c>
      <c r="D467" s="22" t="n">
        <v>0.879</v>
      </c>
      <c r="E467" s="22" t="n">
        <v>1.473</v>
      </c>
      <c r="F467" s="22" t="n">
        <v>2.12</v>
      </c>
      <c r="G467" s="22" t="n">
        <v>2.251</v>
      </c>
      <c r="H467" s="22" t="n">
        <v>2.437</v>
      </c>
      <c r="I467" s="22" t="n">
        <v>4.35</v>
      </c>
      <c r="J467" s="22" t="n">
        <v>1.34</v>
      </c>
      <c r="K467" s="22" t="n">
        <v>4.01</v>
      </c>
      <c r="L467" s="17">
        <f>$J467-$B467</f>
        <v/>
      </c>
      <c r="M467" s="17">
        <f>$I467-$L467</f>
        <v/>
      </c>
      <c r="N467" s="23">
        <f>($G467-$M467)*100</f>
        <v/>
      </c>
      <c r="O467" s="15">
        <f>($E467-$C467)*100</f>
        <v/>
      </c>
      <c r="P467" s="15">
        <f>($G467-$E467)*100</f>
        <v/>
      </c>
      <c r="Q467" s="15">
        <f>($G467-$C467)*100</f>
        <v/>
      </c>
      <c r="R467" s="15">
        <f>IF($H467="","",($H467-$F467)*100)</f>
        <v/>
      </c>
      <c r="S467" s="15">
        <f>IF($H467="","",($H467-$G467)*100)</f>
        <v/>
      </c>
    </row>
    <row r="468">
      <c r="A468" s="11" t="n">
        <v>39759</v>
      </c>
      <c r="B468" s="22" t="n">
        <v>0.503</v>
      </c>
      <c r="C468" s="22" t="n">
        <v>0.5679999999999999</v>
      </c>
      <c r="D468" s="22" t="n">
        <v>0.9389999999999999</v>
      </c>
      <c r="E468" s="22" t="n">
        <v>1.515</v>
      </c>
      <c r="F468" s="22" t="n">
        <v>2.159</v>
      </c>
      <c r="G468" s="22" t="n">
        <v>2.275</v>
      </c>
      <c r="H468" s="22" t="n">
        <v>2.459</v>
      </c>
      <c r="I468" s="22" t="n">
        <v>4.25</v>
      </c>
      <c r="J468" s="22" t="n">
        <v>1.2</v>
      </c>
      <c r="K468" s="22" t="n">
        <v>3.83</v>
      </c>
      <c r="L468" s="17">
        <f>$J468-$B468</f>
        <v/>
      </c>
      <c r="M468" s="17">
        <f>$I468-$L468</f>
        <v/>
      </c>
      <c r="N468" s="23">
        <f>($G468-$M468)*100</f>
        <v/>
      </c>
      <c r="O468" s="15">
        <f>($E468-$C468)*100</f>
        <v/>
      </c>
      <c r="P468" s="15">
        <f>($G468-$E468)*100</f>
        <v/>
      </c>
      <c r="Q468" s="15">
        <f>($G468-$C468)*100</f>
        <v/>
      </c>
      <c r="R468" s="15">
        <f>IF($H468="","",($H468-$F468)*100)</f>
        <v/>
      </c>
      <c r="S468" s="15">
        <f>IF($H468="","",($H468-$G468)*100)</f>
        <v/>
      </c>
    </row>
    <row r="469">
      <c r="A469" s="11" t="n">
        <v>39766</v>
      </c>
      <c r="B469" s="22" t="n">
        <v>0.487</v>
      </c>
      <c r="C469" s="22" t="n">
        <v>0.549</v>
      </c>
      <c r="D469" s="22" t="n">
        <v>0.899</v>
      </c>
      <c r="E469" s="22" t="n">
        <v>1.5</v>
      </c>
      <c r="F469" s="22" t="n">
        <v>2.141</v>
      </c>
      <c r="G469" s="22" t="n">
        <v>2.229</v>
      </c>
      <c r="H469" s="22" t="n">
        <v>2.4</v>
      </c>
      <c r="I469" s="22" t="n">
        <v>4.22</v>
      </c>
      <c r="J469" s="22" t="n">
        <v>1.14</v>
      </c>
      <c r="K469" s="22" t="n">
        <v>3.72</v>
      </c>
      <c r="L469" s="17">
        <f>$J469-$B469</f>
        <v/>
      </c>
      <c r="M469" s="17">
        <f>$I469-$L469</f>
        <v/>
      </c>
      <c r="N469" s="23">
        <f>($G469-$M469)*100</f>
        <v/>
      </c>
      <c r="O469" s="15">
        <f>($E469-$C469)*100</f>
        <v/>
      </c>
      <c r="P469" s="15">
        <f>($G469-$E469)*100</f>
        <v/>
      </c>
      <c r="Q469" s="15">
        <f>($G469-$C469)*100</f>
        <v/>
      </c>
      <c r="R469" s="15">
        <f>IF($H469="","",($H469-$F469)*100)</f>
        <v/>
      </c>
      <c r="S469" s="15">
        <f>IF($H469="","",($H469-$G469)*100)</f>
        <v/>
      </c>
    </row>
    <row r="470">
      <c r="A470" s="11" t="n">
        <v>39773</v>
      </c>
      <c r="B470" s="22" t="n">
        <v>0.486</v>
      </c>
      <c r="C470" s="22" t="n">
        <v>0.556</v>
      </c>
      <c r="D470" s="22" t="n">
        <v>0.875</v>
      </c>
      <c r="E470" s="22" t="n">
        <v>1.411</v>
      </c>
      <c r="F470" s="22" t="n">
        <v>2.09</v>
      </c>
      <c r="G470" s="22" t="n">
        <v>2.243</v>
      </c>
      <c r="H470" s="22" t="n">
        <v>2.378</v>
      </c>
      <c r="I470" s="22" t="n">
        <v>3.7</v>
      </c>
      <c r="J470" s="22" t="n">
        <v>0.83</v>
      </c>
      <c r="K470" s="22" t="n">
        <v>3.2</v>
      </c>
      <c r="L470" s="17">
        <f>$J470-$B470</f>
        <v/>
      </c>
      <c r="M470" s="17">
        <f>$I470-$L470</f>
        <v/>
      </c>
      <c r="N470" s="23">
        <f>($G470-$M470)*100</f>
        <v/>
      </c>
      <c r="O470" s="15">
        <f>($E470-$C470)*100</f>
        <v/>
      </c>
      <c r="P470" s="15">
        <f>($G470-$E470)*100</f>
        <v/>
      </c>
      <c r="Q470" s="15">
        <f>($G470-$C470)*100</f>
        <v/>
      </c>
      <c r="R470" s="15">
        <f>IF($H470="","",($H470-$F470)*100)</f>
        <v/>
      </c>
      <c r="S470" s="15">
        <f>IF($H470="","",($H470-$G470)*100)</f>
        <v/>
      </c>
    </row>
    <row r="471">
      <c r="A471" s="11" t="n">
        <v>39780</v>
      </c>
      <c r="B471" s="22" t="n">
        <v>0.554</v>
      </c>
      <c r="C471" s="22" t="n">
        <v>0.586</v>
      </c>
      <c r="D471" s="22" t="n">
        <v>0.88</v>
      </c>
      <c r="E471" s="22" t="n">
        <v>1.419</v>
      </c>
      <c r="F471" s="22" t="n">
        <v>2.092</v>
      </c>
      <c r="G471" s="22" t="n">
        <v>2.212</v>
      </c>
      <c r="H471" s="22" t="n">
        <v>2.324</v>
      </c>
      <c r="I471" s="22" t="n">
        <v>3.45</v>
      </c>
      <c r="J471" s="22" t="n">
        <v>0.9</v>
      </c>
      <c r="K471" s="22" t="n">
        <v>2.93</v>
      </c>
      <c r="L471" s="17">
        <f>$J471-$B471</f>
        <v/>
      </c>
      <c r="M471" s="17">
        <f>$I471-$L471</f>
        <v/>
      </c>
      <c r="N471" s="23">
        <f>($G471-$M471)*100</f>
        <v/>
      </c>
      <c r="O471" s="15">
        <f>($E471-$C471)*100</f>
        <v/>
      </c>
      <c r="P471" s="15">
        <f>($G471-$E471)*100</f>
        <v/>
      </c>
      <c r="Q471" s="15">
        <f>($G471-$C471)*100</f>
        <v/>
      </c>
      <c r="R471" s="15">
        <f>IF($H471="","",($H471-$F471)*100)</f>
        <v/>
      </c>
      <c r="S471" s="15">
        <f>IF($H471="","",($H471-$G471)*100)</f>
        <v/>
      </c>
    </row>
    <row r="472">
      <c r="A472" s="11" t="n">
        <v>39787</v>
      </c>
      <c r="B472" s="22" t="n">
        <v>0.528</v>
      </c>
      <c r="C472" s="22" t="n">
        <v>0.5639999999999999</v>
      </c>
      <c r="D472" s="22" t="n">
        <v>0.89</v>
      </c>
      <c r="E472" s="22" t="n">
        <v>1.367</v>
      </c>
      <c r="F472" s="22" t="n">
        <v>2.056</v>
      </c>
      <c r="G472" s="22" t="n">
        <v>2.196</v>
      </c>
      <c r="H472" s="22" t="n">
        <v>2.311</v>
      </c>
      <c r="I472" s="22" t="n">
        <v>3.11</v>
      </c>
      <c r="J472" s="22" t="n">
        <v>0.54</v>
      </c>
      <c r="K472" s="22" t="n">
        <v>2.67</v>
      </c>
      <c r="L472" s="17">
        <f>$J472-$B472</f>
        <v/>
      </c>
      <c r="M472" s="17">
        <f>$I472-$L472</f>
        <v/>
      </c>
      <c r="N472" s="23">
        <f>($G472-$M472)*100</f>
        <v/>
      </c>
      <c r="O472" s="15">
        <f>($E472-$C472)*100</f>
        <v/>
      </c>
      <c r="P472" s="15">
        <f>($G472-$E472)*100</f>
        <v/>
      </c>
      <c r="Q472" s="15">
        <f>($G472-$C472)*100</f>
        <v/>
      </c>
      <c r="R472" s="15">
        <f>IF($H472="","",($H472-$F472)*100)</f>
        <v/>
      </c>
      <c r="S472" s="15">
        <f>IF($H472="","",($H472-$G472)*100)</f>
        <v/>
      </c>
    </row>
    <row r="473">
      <c r="A473" s="11" t="n">
        <v>39794</v>
      </c>
      <c r="B473" s="22" t="n">
        <v>0.501</v>
      </c>
      <c r="C473" s="22" t="n">
        <v>0.534</v>
      </c>
      <c r="D473" s="22" t="n">
        <v>0.846</v>
      </c>
      <c r="E473" s="22" t="n">
        <v>1.386</v>
      </c>
      <c r="F473" s="22" t="n">
        <v>2.111</v>
      </c>
      <c r="G473" s="22" t="n">
        <v>2.256</v>
      </c>
      <c r="H473" s="22" t="n">
        <v>2.364</v>
      </c>
      <c r="I473" s="22" t="n">
        <v>3.07</v>
      </c>
      <c r="J473" s="22" t="n">
        <v>0.5</v>
      </c>
      <c r="K473" s="22" t="n">
        <v>2.6</v>
      </c>
      <c r="L473" s="17">
        <f>$J473-$B473</f>
        <v/>
      </c>
      <c r="M473" s="17">
        <f>$I473-$L473</f>
        <v/>
      </c>
      <c r="N473" s="23">
        <f>($G473-$M473)*100</f>
        <v/>
      </c>
      <c r="O473" s="15">
        <f>($E473-$C473)*100</f>
        <v/>
      </c>
      <c r="P473" s="15">
        <f>($G473-$E473)*100</f>
        <v/>
      </c>
      <c r="Q473" s="15">
        <f>($G473-$C473)*100</f>
        <v/>
      </c>
      <c r="R473" s="15">
        <f>IF($H473="","",($H473-$F473)*100)</f>
        <v/>
      </c>
      <c r="S473" s="15">
        <f>IF($H473="","",($H473-$G473)*100)</f>
        <v/>
      </c>
    </row>
    <row r="474">
      <c r="A474" s="11" t="n">
        <v>39801</v>
      </c>
      <c r="B474" s="22" t="n">
        <v>0.375</v>
      </c>
      <c r="C474" s="22" t="n">
        <v>0.414</v>
      </c>
      <c r="D474" s="22" t="n">
        <v>0.757</v>
      </c>
      <c r="E474" s="22" t="n">
        <v>1.235</v>
      </c>
      <c r="F474" s="22" t="n">
        <v>1.939</v>
      </c>
      <c r="G474" s="22" t="n">
        <v>2.092</v>
      </c>
      <c r="H474" s="22" t="n">
        <v>2.206</v>
      </c>
      <c r="I474" s="22" t="n">
        <v>2.55</v>
      </c>
      <c r="J474" s="22" t="n">
        <v>0.44</v>
      </c>
      <c r="K474" s="22" t="n">
        <v>2.13</v>
      </c>
      <c r="L474" s="17">
        <f>$J474-$B474</f>
        <v/>
      </c>
      <c r="M474" s="17">
        <f>$I474-$L474</f>
        <v/>
      </c>
      <c r="N474" s="23">
        <f>($G474-$M474)*100</f>
        <v/>
      </c>
      <c r="O474" s="15">
        <f>($E474-$C474)*100</f>
        <v/>
      </c>
      <c r="P474" s="15">
        <f>($G474-$E474)*100</f>
        <v/>
      </c>
      <c r="Q474" s="15">
        <f>($G474-$C474)*100</f>
        <v/>
      </c>
      <c r="R474" s="15">
        <f>IF($H474="","",($H474-$F474)*100)</f>
        <v/>
      </c>
      <c r="S474" s="15">
        <f>IF($H474="","",($H474-$G474)*100)</f>
        <v/>
      </c>
    </row>
    <row r="475">
      <c r="A475" s="11" t="n">
        <v>39808</v>
      </c>
      <c r="B475" s="22" t="n">
        <v>0.355</v>
      </c>
      <c r="C475" s="22" t="n">
        <v>0.403</v>
      </c>
      <c r="D475" s="22" t="n">
        <v>0.738</v>
      </c>
      <c r="E475" s="22" t="n">
        <v>1.213</v>
      </c>
      <c r="F475" s="22" t="n">
        <v>1.795</v>
      </c>
      <c r="G475" s="22" t="n">
        <v>1.886</v>
      </c>
      <c r="H475" s="22" t="n">
        <v>2.021</v>
      </c>
      <c r="I475" s="22" t="n">
        <v>2.61</v>
      </c>
      <c r="J475" s="22" t="n">
        <v>0.38</v>
      </c>
      <c r="K475" s="22" t="n">
        <v>2.16</v>
      </c>
      <c r="L475" s="17">
        <f>$J475-$B475</f>
        <v/>
      </c>
      <c r="M475" s="17">
        <f>$I475-$L475</f>
        <v/>
      </c>
      <c r="N475" s="23">
        <f>($G475-$M475)*100</f>
        <v/>
      </c>
      <c r="O475" s="15">
        <f>($E475-$C475)*100</f>
        <v/>
      </c>
      <c r="P475" s="15">
        <f>($G475-$E475)*100</f>
        <v/>
      </c>
      <c r="Q475" s="15">
        <f>($G475-$C475)*100</f>
        <v/>
      </c>
      <c r="R475" s="15">
        <f>IF($H475="","",($H475-$F475)*100)</f>
        <v/>
      </c>
      <c r="S475" s="15">
        <f>IF($H475="","",($H475-$G475)*100)</f>
        <v/>
      </c>
    </row>
    <row r="476">
      <c r="A476" s="11" t="n">
        <v>39815</v>
      </c>
      <c r="B476" s="22" t="n">
        <v>0.331</v>
      </c>
      <c r="C476" s="22" t="n">
        <v>0.37</v>
      </c>
      <c r="D476" s="22" t="n">
        <v>0.6850000000000001</v>
      </c>
      <c r="E476" s="22" t="n">
        <v>1.177</v>
      </c>
      <c r="F476" s="22" t="n">
        <v>1.74</v>
      </c>
      <c r="G476" s="22" t="n">
        <v>1.825</v>
      </c>
      <c r="H476" s="22" t="n">
        <v>1.967</v>
      </c>
      <c r="I476" s="22" t="n">
        <v>2.83</v>
      </c>
      <c r="J476" s="22" t="n">
        <v>0.4</v>
      </c>
      <c r="K476" s="22" t="n">
        <v>2.46</v>
      </c>
      <c r="L476" s="17">
        <f>$J476-$B476</f>
        <v/>
      </c>
      <c r="M476" s="17">
        <f>$I476-$L476</f>
        <v/>
      </c>
      <c r="N476" s="23">
        <f>($G476-$M476)*100</f>
        <v/>
      </c>
      <c r="O476" s="15">
        <f>($E476-$C476)*100</f>
        <v/>
      </c>
      <c r="P476" s="15">
        <f>($G476-$E476)*100</f>
        <v/>
      </c>
      <c r="Q476" s="15">
        <f>($G476-$C476)*100</f>
        <v/>
      </c>
      <c r="R476" s="15">
        <f>IF($H476="","",($H476-$F476)*100)</f>
        <v/>
      </c>
      <c r="S476" s="15">
        <f>IF($H476="","",($H476-$G476)*100)</f>
        <v/>
      </c>
    </row>
    <row r="477">
      <c r="A477" s="11" t="n">
        <v>39822</v>
      </c>
      <c r="B477" s="22" t="n">
        <v>0.271</v>
      </c>
      <c r="C477" s="22" t="n">
        <v>0.369</v>
      </c>
      <c r="D477" s="22" t="n">
        <v>0.744</v>
      </c>
      <c r="E477" s="22" t="n">
        <v>1.293</v>
      </c>
      <c r="F477" s="22" t="n">
        <v>1.883</v>
      </c>
      <c r="G477" s="22" t="n">
        <v>1.995</v>
      </c>
      <c r="H477" s="22" t="n">
        <v>2.129</v>
      </c>
      <c r="I477" s="22" t="n">
        <v>3.04</v>
      </c>
      <c r="J477" s="22" t="n">
        <v>0.43</v>
      </c>
      <c r="K477" s="22" t="n">
        <v>2.43</v>
      </c>
      <c r="L477" s="17">
        <f>$J477-$B477</f>
        <v/>
      </c>
      <c r="M477" s="17">
        <f>$I477-$L477</f>
        <v/>
      </c>
      <c r="N477" s="23">
        <f>($G477-$M477)*100</f>
        <v/>
      </c>
      <c r="O477" s="15">
        <f>($E477-$C477)*100</f>
        <v/>
      </c>
      <c r="P477" s="15">
        <f>($G477-$E477)*100</f>
        <v/>
      </c>
      <c r="Q477" s="15">
        <f>($G477-$C477)*100</f>
        <v/>
      </c>
      <c r="R477" s="15">
        <f>IF($H477="","",($H477-$F477)*100)</f>
        <v/>
      </c>
      <c r="S477" s="15">
        <f>IF($H477="","",($H477-$G477)*100)</f>
        <v/>
      </c>
    </row>
    <row r="478">
      <c r="A478" s="11" t="n">
        <v>39829</v>
      </c>
      <c r="B478" s="22" t="n">
        <v>0.268</v>
      </c>
      <c r="C478" s="22" t="n">
        <v>0.364</v>
      </c>
      <c r="D478" s="22" t="n">
        <v>0.698</v>
      </c>
      <c r="E478" s="22" t="n">
        <v>1.232</v>
      </c>
      <c r="F478" s="22" t="n">
        <v>1.836</v>
      </c>
      <c r="G478" s="22" t="n">
        <v>1.969</v>
      </c>
      <c r="H478" s="22" t="n">
        <v>2.105</v>
      </c>
      <c r="I478" s="22" t="n">
        <v>2.89</v>
      </c>
      <c r="J478" s="22" t="n">
        <v>0.43</v>
      </c>
      <c r="K478" s="22" t="n">
        <v>2.36</v>
      </c>
      <c r="L478" s="17">
        <f>$J478-$B478</f>
        <v/>
      </c>
      <c r="M478" s="17">
        <f>$I478-$L478</f>
        <v/>
      </c>
      <c r="N478" s="23">
        <f>($G478-$M478)*100</f>
        <v/>
      </c>
      <c r="O478" s="15">
        <f>($E478-$C478)*100</f>
        <v/>
      </c>
      <c r="P478" s="15">
        <f>($G478-$E478)*100</f>
        <v/>
      </c>
      <c r="Q478" s="15">
        <f>($G478-$C478)*100</f>
        <v/>
      </c>
      <c r="R478" s="15">
        <f>IF($H478="","",($H478-$F478)*100)</f>
        <v/>
      </c>
      <c r="S478" s="15">
        <f>IF($H478="","",($H478-$G478)*100)</f>
        <v/>
      </c>
    </row>
    <row r="479">
      <c r="A479" s="11" t="n">
        <v>39836</v>
      </c>
      <c r="B479" s="22" t="n">
        <v>0.262</v>
      </c>
      <c r="C479" s="22" t="n">
        <v>0.364</v>
      </c>
      <c r="D479" s="22" t="n">
        <v>0.671</v>
      </c>
      <c r="E479" s="22" t="n">
        <v>1.247</v>
      </c>
      <c r="F479" s="22" t="n">
        <v>1.896</v>
      </c>
      <c r="G479" s="22" t="n">
        <v>1.995</v>
      </c>
      <c r="H479" s="22" t="n">
        <v>2.125</v>
      </c>
      <c r="I479" s="22" t="n">
        <v>3.32</v>
      </c>
      <c r="J479" s="22" t="n">
        <v>0.46</v>
      </c>
      <c r="K479" s="22" t="n">
        <v>2.65</v>
      </c>
      <c r="L479" s="17">
        <f>$J479-$B479</f>
        <v/>
      </c>
      <c r="M479" s="17">
        <f>$I479-$L479</f>
        <v/>
      </c>
      <c r="N479" s="23">
        <f>($G479-$M479)*100</f>
        <v/>
      </c>
      <c r="O479" s="15">
        <f>($E479-$C479)*100</f>
        <v/>
      </c>
      <c r="P479" s="15">
        <f>($G479-$E479)*100</f>
        <v/>
      </c>
      <c r="Q479" s="15">
        <f>($G479-$C479)*100</f>
        <v/>
      </c>
      <c r="R479" s="15">
        <f>IF($H479="","",($H479-$F479)*100)</f>
        <v/>
      </c>
      <c r="S479" s="15">
        <f>IF($H479="","",($H479-$G479)*100)</f>
        <v/>
      </c>
    </row>
    <row r="480">
      <c r="A480" s="11" t="n">
        <v>39843</v>
      </c>
      <c r="B480" s="22" t="n">
        <v>0.319</v>
      </c>
      <c r="C480" s="22" t="n">
        <v>0.403</v>
      </c>
      <c r="D480" s="22" t="n">
        <v>0.746</v>
      </c>
      <c r="E480" s="22" t="n">
        <v>1.303</v>
      </c>
      <c r="F480" s="22" t="n">
        <v>1.899</v>
      </c>
      <c r="G480" s="22" t="n">
        <v>2.005</v>
      </c>
      <c r="H480" s="22" t="n">
        <v>2.126</v>
      </c>
      <c r="I480" s="22" t="n">
        <v>3.58</v>
      </c>
      <c r="J480" s="22" t="n">
        <v>0.51</v>
      </c>
      <c r="K480" s="22" t="n">
        <v>2.87</v>
      </c>
      <c r="L480" s="17">
        <f>$J480-$B480</f>
        <v/>
      </c>
      <c r="M480" s="17">
        <f>$I480-$L480</f>
        <v/>
      </c>
      <c r="N480" s="23">
        <f>($G480-$M480)*100</f>
        <v/>
      </c>
      <c r="O480" s="15">
        <f>($E480-$C480)*100</f>
        <v/>
      </c>
      <c r="P480" s="15">
        <f>($G480-$E480)*100</f>
        <v/>
      </c>
      <c r="Q480" s="15">
        <f>($G480-$C480)*100</f>
        <v/>
      </c>
      <c r="R480" s="15">
        <f>IF($H480="","",($H480-$F480)*100)</f>
        <v/>
      </c>
      <c r="S480" s="15">
        <f>IF($H480="","",($H480-$G480)*100)</f>
        <v/>
      </c>
    </row>
    <row r="481">
      <c r="A481" s="11" t="n">
        <v>39850</v>
      </c>
      <c r="B481" s="22" t="n">
        <v>0.334</v>
      </c>
      <c r="C481" s="22" t="n">
        <v>0.41</v>
      </c>
      <c r="D481" s="22" t="n">
        <v>0.783</v>
      </c>
      <c r="E481" s="22" t="n">
        <v>1.345</v>
      </c>
      <c r="F481" s="22" t="n">
        <v>1.924</v>
      </c>
      <c r="G481" s="22" t="n">
        <v>2.035</v>
      </c>
      <c r="H481" s="22" t="n">
        <v>2.151</v>
      </c>
      <c r="I481" s="22" t="n">
        <v>3.7</v>
      </c>
      <c r="J481" s="22" t="n">
        <v>0.57</v>
      </c>
      <c r="K481" s="22" t="n">
        <v>3.05</v>
      </c>
      <c r="L481" s="17">
        <f>$J481-$B481</f>
        <v/>
      </c>
      <c r="M481" s="17">
        <f>$I481-$L481</f>
        <v/>
      </c>
      <c r="N481" s="23">
        <f>($G481-$M481)*100</f>
        <v/>
      </c>
      <c r="O481" s="15">
        <f>($E481-$C481)*100</f>
        <v/>
      </c>
      <c r="P481" s="15">
        <f>($G481-$E481)*100</f>
        <v/>
      </c>
      <c r="Q481" s="15">
        <f>($G481-$C481)*100</f>
        <v/>
      </c>
      <c r="R481" s="15">
        <f>IF($H481="","",($H481-$F481)*100)</f>
        <v/>
      </c>
      <c r="S481" s="15">
        <f>IF($H481="","",($H481-$G481)*100)</f>
        <v/>
      </c>
    </row>
    <row r="482">
      <c r="A482" s="11" t="n">
        <v>39857</v>
      </c>
      <c r="B482" s="22" t="n">
        <v>0.337</v>
      </c>
      <c r="C482" s="22" t="n">
        <v>0.389</v>
      </c>
      <c r="D482" s="22" t="n">
        <v>0.727</v>
      </c>
      <c r="E482" s="22" t="n">
        <v>1.276</v>
      </c>
      <c r="F482" s="22" t="n">
        <v>1.865</v>
      </c>
      <c r="G482" s="22" t="n">
        <v>1.967</v>
      </c>
      <c r="H482" s="22" t="n">
        <v>2.074</v>
      </c>
      <c r="I482" s="22" t="n">
        <v>3.68</v>
      </c>
      <c r="J482" s="22" t="n">
        <v>0.61</v>
      </c>
      <c r="K482" s="22" t="n">
        <v>2.89</v>
      </c>
      <c r="L482" s="17">
        <f>$J482-$B482</f>
        <v/>
      </c>
      <c r="M482" s="17">
        <f>$I482-$L482</f>
        <v/>
      </c>
      <c r="N482" s="23">
        <f>($G482-$M482)*100</f>
        <v/>
      </c>
      <c r="O482" s="15">
        <f>($E482-$C482)*100</f>
        <v/>
      </c>
      <c r="P482" s="15">
        <f>($G482-$E482)*100</f>
        <v/>
      </c>
      <c r="Q482" s="15">
        <f>($G482-$C482)*100</f>
        <v/>
      </c>
      <c r="R482" s="15">
        <f>IF($H482="","",($H482-$F482)*100)</f>
        <v/>
      </c>
      <c r="S482" s="15">
        <f>IF($H482="","",($H482-$G482)*100)</f>
        <v/>
      </c>
    </row>
    <row r="483">
      <c r="A483" s="11" t="n">
        <v>39864</v>
      </c>
      <c r="B483" s="22" t="n">
        <v>0.337</v>
      </c>
      <c r="C483" s="22" t="n">
        <v>0.381</v>
      </c>
      <c r="D483" s="22" t="n">
        <v>0.723</v>
      </c>
      <c r="E483" s="22" t="n">
        <v>1.301</v>
      </c>
      <c r="F483" s="22" t="n">
        <v>1.909</v>
      </c>
      <c r="G483" s="22" t="n">
        <v>1.995</v>
      </c>
      <c r="H483" s="22" t="n">
        <v>2.05</v>
      </c>
      <c r="I483" s="22" t="n">
        <v>3.56</v>
      </c>
      <c r="J483" s="22" t="n">
        <v>0.64</v>
      </c>
      <c r="K483" s="22" t="n">
        <v>2.78</v>
      </c>
      <c r="L483" s="17">
        <f>$J483-$B483</f>
        <v/>
      </c>
      <c r="M483" s="17">
        <f>$I483-$L483</f>
        <v/>
      </c>
      <c r="N483" s="23">
        <f>($G483-$M483)*100</f>
        <v/>
      </c>
      <c r="O483" s="15">
        <f>($E483-$C483)*100</f>
        <v/>
      </c>
      <c r="P483" s="15">
        <f>($G483-$E483)*100</f>
        <v/>
      </c>
      <c r="Q483" s="15">
        <f>($G483-$C483)*100</f>
        <v/>
      </c>
      <c r="R483" s="15">
        <f>IF($H483="","",($H483-$F483)*100)</f>
        <v/>
      </c>
      <c r="S483" s="15">
        <f>IF($H483="","",($H483-$G483)*100)</f>
        <v/>
      </c>
    </row>
    <row r="484">
      <c r="A484" s="11" t="n">
        <v>39871</v>
      </c>
      <c r="B484" s="22" t="n">
        <v>0.352</v>
      </c>
      <c r="C484" s="22" t="n">
        <v>0.392</v>
      </c>
      <c r="D484" s="22" t="n">
        <v>0.711</v>
      </c>
      <c r="E484" s="22" t="n">
        <v>1.295</v>
      </c>
      <c r="F484" s="22" t="n">
        <v>1.903</v>
      </c>
      <c r="G484" s="22" t="n">
        <v>2.026</v>
      </c>
      <c r="H484" s="22" t="n">
        <v>2.05</v>
      </c>
      <c r="I484" s="22" t="n">
        <v>3.71</v>
      </c>
      <c r="J484" s="22" t="n">
        <v>0.72</v>
      </c>
      <c r="K484" s="22" t="n">
        <v>3.02</v>
      </c>
      <c r="L484" s="17">
        <f>$J484-$B484</f>
        <v/>
      </c>
      <c r="M484" s="17">
        <f>$I484-$L484</f>
        <v/>
      </c>
      <c r="N484" s="23">
        <f>($G484-$M484)*100</f>
        <v/>
      </c>
      <c r="O484" s="15">
        <f>($E484-$C484)*100</f>
        <v/>
      </c>
      <c r="P484" s="15">
        <f>($G484-$E484)*100</f>
        <v/>
      </c>
      <c r="Q484" s="15">
        <f>($G484-$C484)*100</f>
        <v/>
      </c>
      <c r="R484" s="15">
        <f>IF($H484="","",($H484-$F484)*100)</f>
        <v/>
      </c>
      <c r="S484" s="15">
        <f>IF($H484="","",($H484-$G484)*100)</f>
        <v/>
      </c>
    </row>
    <row r="485">
      <c r="A485" s="11" t="n">
        <v>39878</v>
      </c>
      <c r="B485" s="22" t="n">
        <v>0.326</v>
      </c>
      <c r="C485" s="22" t="n">
        <v>0.399</v>
      </c>
      <c r="D485" s="22" t="n">
        <v>0.752</v>
      </c>
      <c r="E485" s="22" t="n">
        <v>1.289</v>
      </c>
      <c r="F485" s="22" t="n">
        <v>1.889</v>
      </c>
      <c r="G485" s="22" t="n">
        <v>2.024</v>
      </c>
      <c r="H485" s="22" t="n">
        <v>2.057</v>
      </c>
      <c r="I485" s="22" t="n">
        <v>3.5</v>
      </c>
      <c r="J485" s="22" t="n">
        <v>0.67</v>
      </c>
      <c r="K485" s="22" t="n">
        <v>2.83</v>
      </c>
      <c r="L485" s="17">
        <f>$J485-$B485</f>
        <v/>
      </c>
      <c r="M485" s="17">
        <f>$I485-$L485</f>
        <v/>
      </c>
      <c r="N485" s="23">
        <f>($G485-$M485)*100</f>
        <v/>
      </c>
      <c r="O485" s="15">
        <f>($E485-$C485)*100</f>
        <v/>
      </c>
      <c r="P485" s="15">
        <f>($G485-$E485)*100</f>
        <v/>
      </c>
      <c r="Q485" s="15">
        <f>($G485-$C485)*100</f>
        <v/>
      </c>
      <c r="R485" s="15">
        <f>IF($H485="","",($H485-$F485)*100)</f>
        <v/>
      </c>
      <c r="S485" s="15">
        <f>IF($H485="","",($H485-$G485)*100)</f>
        <v/>
      </c>
    </row>
    <row r="486">
      <c r="A486" s="11" t="n">
        <v>39885</v>
      </c>
      <c r="B486" s="22" t="n">
        <v>0.323</v>
      </c>
      <c r="C486" s="22" t="n">
        <v>0.41</v>
      </c>
      <c r="D486" s="22" t="n">
        <v>0.761</v>
      </c>
      <c r="E486" s="22" t="n">
        <v>1.312</v>
      </c>
      <c r="F486" s="22" t="n">
        <v>1.901</v>
      </c>
      <c r="G486" s="22" t="n">
        <v>2.036</v>
      </c>
      <c r="H486" s="22" t="n">
        <v>2.072</v>
      </c>
      <c r="I486" s="22" t="n">
        <v>3.66</v>
      </c>
      <c r="J486" s="22" t="n">
        <v>0.67</v>
      </c>
      <c r="K486" s="22" t="n">
        <v>2.89</v>
      </c>
      <c r="L486" s="17">
        <f>$J486-$B486</f>
        <v/>
      </c>
      <c r="M486" s="17">
        <f>$I486-$L486</f>
        <v/>
      </c>
      <c r="N486" s="23">
        <f>($G486-$M486)*100</f>
        <v/>
      </c>
      <c r="O486" s="15">
        <f>($E486-$C486)*100</f>
        <v/>
      </c>
      <c r="P486" s="15">
        <f>($G486-$E486)*100</f>
        <v/>
      </c>
      <c r="Q486" s="15">
        <f>($G486-$C486)*100</f>
        <v/>
      </c>
      <c r="R486" s="15">
        <f>IF($H486="","",($H486-$F486)*100)</f>
        <v/>
      </c>
      <c r="S486" s="15">
        <f>IF($H486="","",($H486-$G486)*100)</f>
        <v/>
      </c>
    </row>
    <row r="487">
      <c r="A487" s="11" t="n">
        <v>39892</v>
      </c>
      <c r="B487" s="22" t="n">
        <v>0.316</v>
      </c>
      <c r="C487" s="22" t="n">
        <v>0.396</v>
      </c>
      <c r="D487" s="22" t="n">
        <v>0.713</v>
      </c>
      <c r="E487" s="22" t="n">
        <v>1.263</v>
      </c>
      <c r="F487" s="22" t="n">
        <v>1.91</v>
      </c>
      <c r="G487" s="22" t="n">
        <v>2.074</v>
      </c>
      <c r="H487" s="22" t="n">
        <v>2.102</v>
      </c>
      <c r="I487" s="22" t="n">
        <v>3.65</v>
      </c>
      <c r="J487" s="22" t="n">
        <v>0.6</v>
      </c>
      <c r="K487" s="22" t="n">
        <v>2.65</v>
      </c>
      <c r="L487" s="17">
        <f>$J487-$B487</f>
        <v/>
      </c>
      <c r="M487" s="17">
        <f>$I487-$L487</f>
        <v/>
      </c>
      <c r="N487" s="23">
        <f>($G487-$M487)*100</f>
        <v/>
      </c>
      <c r="O487" s="15">
        <f>($E487-$C487)*100</f>
        <v/>
      </c>
      <c r="P487" s="15">
        <f>($G487-$E487)*100</f>
        <v/>
      </c>
      <c r="Q487" s="15">
        <f>($G487-$C487)*100</f>
        <v/>
      </c>
      <c r="R487" s="15">
        <f>IF($H487="","",($H487-$F487)*100)</f>
        <v/>
      </c>
      <c r="S487" s="15">
        <f>IF($H487="","",($H487-$G487)*100)</f>
        <v/>
      </c>
    </row>
    <row r="488">
      <c r="A488" s="11" t="n">
        <v>39899</v>
      </c>
      <c r="B488" s="22" t="n">
        <v>0.308</v>
      </c>
      <c r="C488" s="22" t="n">
        <v>0.409</v>
      </c>
      <c r="D488" s="22" t="n">
        <v>0.781</v>
      </c>
      <c r="E488" s="22" t="n">
        <v>1.323</v>
      </c>
      <c r="F488" s="22" t="n">
        <v>1.923</v>
      </c>
      <c r="G488" s="22" t="n">
        <v>2.081</v>
      </c>
      <c r="H488" s="22" t="n">
        <v>2.119</v>
      </c>
      <c r="I488" s="22" t="n">
        <v>3.62</v>
      </c>
      <c r="J488" s="22" t="n">
        <v>0.58</v>
      </c>
      <c r="K488" s="22" t="n">
        <v>2.78</v>
      </c>
      <c r="L488" s="17">
        <f>$J488-$B488</f>
        <v/>
      </c>
      <c r="M488" s="17">
        <f>$I488-$L488</f>
        <v/>
      </c>
      <c r="N488" s="23">
        <f>($G488-$M488)*100</f>
        <v/>
      </c>
      <c r="O488" s="15">
        <f>($E488-$C488)*100</f>
        <v/>
      </c>
      <c r="P488" s="15">
        <f>($G488-$E488)*100</f>
        <v/>
      </c>
      <c r="Q488" s="15">
        <f>($G488-$C488)*100</f>
        <v/>
      </c>
      <c r="R488" s="15">
        <f>IF($H488="","",($H488-$F488)*100)</f>
        <v/>
      </c>
      <c r="S488" s="15">
        <f>IF($H488="","",($H488-$G488)*100)</f>
        <v/>
      </c>
    </row>
    <row r="489">
      <c r="A489" s="11" t="n">
        <v>39906</v>
      </c>
      <c r="B489" s="22" t="n">
        <v>0.301</v>
      </c>
      <c r="C489" s="22" t="n">
        <v>0.396</v>
      </c>
      <c r="D489" s="22" t="n">
        <v>0.821</v>
      </c>
      <c r="E489" s="22" t="n">
        <v>1.411</v>
      </c>
      <c r="F489" s="22" t="n">
        <v>2.013</v>
      </c>
      <c r="G489" s="22" t="n">
        <v>2.128</v>
      </c>
      <c r="H489" s="22" t="n">
        <v>2.178</v>
      </c>
      <c r="I489" s="22" t="n">
        <v>3.7</v>
      </c>
      <c r="J489" s="22" t="n">
        <v>0.6</v>
      </c>
      <c r="K489" s="22" t="n">
        <v>2.91</v>
      </c>
      <c r="L489" s="17">
        <f>$J489-$B489</f>
        <v/>
      </c>
      <c r="M489" s="17">
        <f>$I489-$L489</f>
        <v/>
      </c>
      <c r="N489" s="23">
        <f>($G489-$M489)*100</f>
        <v/>
      </c>
      <c r="O489" s="15">
        <f>($E489-$C489)*100</f>
        <v/>
      </c>
      <c r="P489" s="15">
        <f>($G489-$E489)*100</f>
        <v/>
      </c>
      <c r="Q489" s="15">
        <f>($G489-$C489)*100</f>
        <v/>
      </c>
      <c r="R489" s="15">
        <f>IF($H489="","",($H489-$F489)*100)</f>
        <v/>
      </c>
      <c r="S489" s="15">
        <f>IF($H489="","",($H489-$G489)*100)</f>
        <v/>
      </c>
    </row>
    <row r="490">
      <c r="A490" s="11" t="n">
        <v>39913</v>
      </c>
      <c r="B490" s="22" t="n">
        <v>0.303</v>
      </c>
      <c r="C490" s="22" t="n">
        <v>0.454</v>
      </c>
      <c r="D490" s="22" t="n">
        <v>0.873</v>
      </c>
      <c r="E490" s="22" t="n">
        <v>1.446</v>
      </c>
      <c r="F490" s="22" t="n">
        <v>2.082</v>
      </c>
      <c r="G490" s="22" t="n">
        <v>2.216</v>
      </c>
      <c r="H490" s="22" t="n">
        <v>2.271</v>
      </c>
      <c r="I490" s="22" t="n">
        <v>3.76</v>
      </c>
      <c r="J490" s="22" t="n">
        <v>0.6</v>
      </c>
      <c r="K490" s="22" t="n">
        <v>2.96</v>
      </c>
      <c r="L490" s="17">
        <f>$J490-$B490</f>
        <v/>
      </c>
      <c r="M490" s="17">
        <f>$I490-$L490</f>
        <v/>
      </c>
      <c r="N490" s="23">
        <f>($G490-$M490)*100</f>
        <v/>
      </c>
      <c r="O490" s="15">
        <f>($E490-$C490)*100</f>
        <v/>
      </c>
      <c r="P490" s="15">
        <f>($G490-$E490)*100</f>
        <v/>
      </c>
      <c r="Q490" s="15">
        <f>($G490-$C490)*100</f>
        <v/>
      </c>
      <c r="R490" s="15">
        <f>IF($H490="","",($H490-$F490)*100)</f>
        <v/>
      </c>
      <c r="S490" s="15">
        <f>IF($H490="","",($H490-$G490)*100)</f>
        <v/>
      </c>
    </row>
    <row r="491">
      <c r="A491" s="11" t="n">
        <v>39920</v>
      </c>
      <c r="B491" s="22" t="n">
        <v>0.267</v>
      </c>
      <c r="C491" s="22" t="n">
        <v>0.401</v>
      </c>
      <c r="D491" s="22" t="n">
        <v>0.846</v>
      </c>
      <c r="E491" s="22" t="n">
        <v>1.442</v>
      </c>
      <c r="F491" s="22" t="n">
        <v>2.092</v>
      </c>
      <c r="G491" s="22" t="n">
        <v>2.238</v>
      </c>
      <c r="H491" s="22" t="n">
        <v>2.271</v>
      </c>
      <c r="I491" s="22" t="n">
        <v>3.79</v>
      </c>
      <c r="J491" s="22" t="n">
        <v>0.57</v>
      </c>
      <c r="K491" s="22" t="n">
        <v>2.98</v>
      </c>
      <c r="L491" s="17">
        <f>$J491-$B491</f>
        <v/>
      </c>
      <c r="M491" s="17">
        <f>$I491-$L491</f>
        <v/>
      </c>
      <c r="N491" s="23">
        <f>($G491-$M491)*100</f>
        <v/>
      </c>
      <c r="O491" s="15">
        <f>($E491-$C491)*100</f>
        <v/>
      </c>
      <c r="P491" s="15">
        <f>($G491-$E491)*100</f>
        <v/>
      </c>
      <c r="Q491" s="15">
        <f>($G491-$C491)*100</f>
        <v/>
      </c>
      <c r="R491" s="15">
        <f>IF($H491="","",($H491-$F491)*100)</f>
        <v/>
      </c>
      <c r="S491" s="15">
        <f>IF($H491="","",($H491-$G491)*100)</f>
        <v/>
      </c>
    </row>
    <row r="492">
      <c r="A492" s="11" t="n">
        <v>39927</v>
      </c>
      <c r="B492" s="22" t="n">
        <v>0.263</v>
      </c>
      <c r="C492" s="22" t="n">
        <v>0.406</v>
      </c>
      <c r="D492" s="22" t="n">
        <v>0.842</v>
      </c>
      <c r="E492" s="22" t="n">
        <v>1.426</v>
      </c>
      <c r="F492" s="22" t="n">
        <v>2.068</v>
      </c>
      <c r="G492" s="22" t="n">
        <v>2.241</v>
      </c>
      <c r="H492" s="22" t="n">
        <v>2.277</v>
      </c>
      <c r="I492" s="22" t="n">
        <v>3.89</v>
      </c>
      <c r="J492" s="22" t="n">
        <v>0.5</v>
      </c>
      <c r="K492" s="22" t="n">
        <v>3.03</v>
      </c>
      <c r="L492" s="17">
        <f>$J492-$B492</f>
        <v/>
      </c>
      <c r="M492" s="17">
        <f>$I492-$L492</f>
        <v/>
      </c>
      <c r="N492" s="23">
        <f>($G492-$M492)*100</f>
        <v/>
      </c>
      <c r="O492" s="15">
        <f>($E492-$C492)*100</f>
        <v/>
      </c>
      <c r="P492" s="15">
        <f>($G492-$E492)*100</f>
        <v/>
      </c>
      <c r="Q492" s="15">
        <f>($G492-$C492)*100</f>
        <v/>
      </c>
      <c r="R492" s="15">
        <f>IF($H492="","",($H492-$F492)*100)</f>
        <v/>
      </c>
      <c r="S492" s="15">
        <f>IF($H492="","",($H492-$G492)*100)</f>
        <v/>
      </c>
    </row>
    <row r="493">
      <c r="A493" s="11" t="n">
        <v>39934</v>
      </c>
      <c r="B493" s="22" t="n">
        <v>0.267</v>
      </c>
      <c r="C493" s="22" t="n">
        <v>0.371</v>
      </c>
      <c r="D493" s="22" t="n">
        <v>0.8070000000000001</v>
      </c>
      <c r="E493" s="22" t="n">
        <v>1.398</v>
      </c>
      <c r="F493" s="22" t="n">
        <v>2.005</v>
      </c>
      <c r="G493" s="22" t="n">
        <v>2.151</v>
      </c>
      <c r="H493" s="22" t="n">
        <v>2.185</v>
      </c>
      <c r="I493" s="22" t="n">
        <v>4.09</v>
      </c>
      <c r="J493" s="22" t="n">
        <v>0.49</v>
      </c>
      <c r="K493" s="22" t="n">
        <v>3.21</v>
      </c>
      <c r="L493" s="17">
        <f>$J493-$B493</f>
        <v/>
      </c>
      <c r="M493" s="17">
        <f>$I493-$L493</f>
        <v/>
      </c>
      <c r="N493" s="23">
        <f>($G493-$M493)*100</f>
        <v/>
      </c>
      <c r="O493" s="15">
        <f>($E493-$C493)*100</f>
        <v/>
      </c>
      <c r="P493" s="15">
        <f>($G493-$E493)*100</f>
        <v/>
      </c>
      <c r="Q493" s="15">
        <f>($G493-$C493)*100</f>
        <v/>
      </c>
      <c r="R493" s="15">
        <f>IF($H493="","",($H493-$F493)*100)</f>
        <v/>
      </c>
      <c r="S493" s="15">
        <f>IF($H493="","",($H493-$G493)*100)</f>
        <v/>
      </c>
    </row>
    <row r="494">
      <c r="A494" s="11" t="n">
        <v>39941</v>
      </c>
      <c r="B494" s="22" t="n">
        <v>0.27</v>
      </c>
      <c r="C494" s="22" t="n">
        <v>0.394</v>
      </c>
      <c r="D494" s="22" t="n">
        <v>0.855</v>
      </c>
      <c r="E494" s="22" t="n">
        <v>1.446</v>
      </c>
      <c r="F494" s="22" t="n">
        <v>2.045</v>
      </c>
      <c r="G494" s="22" t="n">
        <v>2.191</v>
      </c>
      <c r="H494" s="22" t="n">
        <v>2.224</v>
      </c>
      <c r="I494" s="22" t="n">
        <v>4.28</v>
      </c>
      <c r="J494" s="22" t="n">
        <v>0.55</v>
      </c>
      <c r="K494" s="22" t="n">
        <v>3.29</v>
      </c>
      <c r="L494" s="17">
        <f>$J494-$B494</f>
        <v/>
      </c>
      <c r="M494" s="17">
        <f>$I494-$L494</f>
        <v/>
      </c>
      <c r="N494" s="23">
        <f>($G494-$M494)*100</f>
        <v/>
      </c>
      <c r="O494" s="15">
        <f>($E494-$C494)*100</f>
        <v/>
      </c>
      <c r="P494" s="15">
        <f>($G494-$E494)*100</f>
        <v/>
      </c>
      <c r="Q494" s="15">
        <f>($G494-$C494)*100</f>
        <v/>
      </c>
      <c r="R494" s="15">
        <f>IF($H494="","",($H494-$F494)*100)</f>
        <v/>
      </c>
      <c r="S494" s="15">
        <f>IF($H494="","",($H494-$G494)*100)</f>
        <v/>
      </c>
    </row>
    <row r="495">
      <c r="A495" s="11" t="n">
        <v>39948</v>
      </c>
      <c r="B495" s="22" t="n">
        <v>0.239</v>
      </c>
      <c r="C495" s="22" t="n">
        <v>0.37</v>
      </c>
      <c r="D495" s="22" t="n">
        <v>0.822</v>
      </c>
      <c r="E495" s="22" t="n">
        <v>1.443</v>
      </c>
      <c r="F495" s="22" t="n">
        <v>2.086</v>
      </c>
      <c r="G495" s="22" t="n">
        <v>2.209</v>
      </c>
      <c r="H495" s="22" t="n">
        <v>2.219</v>
      </c>
      <c r="I495" s="22" t="n">
        <v>4.09</v>
      </c>
      <c r="J495" s="22" t="n">
        <v>0.5</v>
      </c>
      <c r="K495" s="22" t="n">
        <v>3.14</v>
      </c>
      <c r="L495" s="17">
        <f>$J495-$B495</f>
        <v/>
      </c>
      <c r="M495" s="17">
        <f>$I495-$L495</f>
        <v/>
      </c>
      <c r="N495" s="23">
        <f>($G495-$M495)*100</f>
        <v/>
      </c>
      <c r="O495" s="15">
        <f>($E495-$C495)*100</f>
        <v/>
      </c>
      <c r="P495" s="15">
        <f>($G495-$E495)*100</f>
        <v/>
      </c>
      <c r="Q495" s="15">
        <f>($G495-$C495)*100</f>
        <v/>
      </c>
      <c r="R495" s="15">
        <f>IF($H495="","",($H495-$F495)*100)</f>
        <v/>
      </c>
      <c r="S495" s="15">
        <f>IF($H495="","",($H495-$G495)*100)</f>
        <v/>
      </c>
    </row>
    <row r="496">
      <c r="A496" s="11" t="n">
        <v>39955</v>
      </c>
      <c r="B496" s="22" t="n">
        <v>0.201</v>
      </c>
      <c r="C496" s="22" t="n">
        <v>0.352</v>
      </c>
      <c r="D496" s="22" t="n">
        <v>0.8080000000000001</v>
      </c>
      <c r="E496" s="22" t="n">
        <v>1.448</v>
      </c>
      <c r="F496" s="22" t="n">
        <v>2.108</v>
      </c>
      <c r="G496" s="22" t="n">
        <v>2.23</v>
      </c>
      <c r="H496" s="22" t="n">
        <v>2.243</v>
      </c>
      <c r="I496" s="22" t="n">
        <v>4.38</v>
      </c>
      <c r="J496" s="22" t="n">
        <v>0.49</v>
      </c>
      <c r="K496" s="22" t="n">
        <v>3.45</v>
      </c>
      <c r="L496" s="17">
        <f>$J496-$B496</f>
        <v/>
      </c>
      <c r="M496" s="17">
        <f>$I496-$L496</f>
        <v/>
      </c>
      <c r="N496" s="23">
        <f>($G496-$M496)*100</f>
        <v/>
      </c>
      <c r="O496" s="15">
        <f>($E496-$C496)*100</f>
        <v/>
      </c>
      <c r="P496" s="15">
        <f>($G496-$E496)*100</f>
        <v/>
      </c>
      <c r="Q496" s="15">
        <f>($G496-$C496)*100</f>
        <v/>
      </c>
      <c r="R496" s="15">
        <f>IF($H496="","",($H496-$F496)*100)</f>
        <v/>
      </c>
      <c r="S496" s="15">
        <f>IF($H496="","",($H496-$G496)*100)</f>
        <v/>
      </c>
    </row>
    <row r="497">
      <c r="A497" s="11" t="n">
        <v>39962</v>
      </c>
      <c r="B497" s="22" t="n">
        <v>0.181</v>
      </c>
      <c r="C497" s="22" t="n">
        <v>0.344</v>
      </c>
      <c r="D497" s="22" t="n">
        <v>0.838</v>
      </c>
      <c r="E497" s="22" t="n">
        <v>1.496</v>
      </c>
      <c r="F497" s="22" t="n">
        <v>2.14</v>
      </c>
      <c r="G497" s="22" t="n">
        <v>2.253</v>
      </c>
      <c r="H497" s="22" t="n">
        <v>2.256</v>
      </c>
      <c r="I497" s="22" t="n">
        <v>4.34</v>
      </c>
      <c r="J497" s="22" t="n">
        <v>0.47</v>
      </c>
      <c r="K497" s="22" t="n">
        <v>3.47</v>
      </c>
      <c r="L497" s="17">
        <f>$J497-$B497</f>
        <v/>
      </c>
      <c r="M497" s="17">
        <f>$I497-$L497</f>
        <v/>
      </c>
      <c r="N497" s="23">
        <f>($G497-$M497)*100</f>
        <v/>
      </c>
      <c r="O497" s="15">
        <f>($E497-$C497)*100</f>
        <v/>
      </c>
      <c r="P497" s="15">
        <f>($G497-$E497)*100</f>
        <v/>
      </c>
      <c r="Q497" s="15">
        <f>($G497-$C497)*100</f>
        <v/>
      </c>
      <c r="R497" s="15">
        <f>IF($H497="","",($H497-$F497)*100)</f>
        <v/>
      </c>
      <c r="S497" s="15">
        <f>IF($H497="","",($H497-$G497)*100)</f>
        <v/>
      </c>
    </row>
    <row r="498">
      <c r="A498" s="11" t="n">
        <v>39969</v>
      </c>
      <c r="B498" s="22" t="n">
        <v>0.186</v>
      </c>
      <c r="C498" s="22" t="n">
        <v>0.337</v>
      </c>
      <c r="D498" s="22" t="n">
        <v>0.8129999999999999</v>
      </c>
      <c r="E498" s="22" t="n">
        <v>1.487</v>
      </c>
      <c r="F498" s="22" t="n">
        <v>2.138</v>
      </c>
      <c r="G498" s="22" t="n">
        <v>2.266</v>
      </c>
      <c r="H498" s="22" t="n">
        <v>2.271</v>
      </c>
      <c r="I498" s="22" t="n">
        <v>4.63</v>
      </c>
      <c r="J498" s="22" t="n">
        <v>0.62</v>
      </c>
      <c r="K498" s="22" t="n">
        <v>3.84</v>
      </c>
      <c r="L498" s="17">
        <f>$J498-$B498</f>
        <v/>
      </c>
      <c r="M498" s="17">
        <f>$I498-$L498</f>
        <v/>
      </c>
      <c r="N498" s="23">
        <f>($G498-$M498)*100</f>
        <v/>
      </c>
      <c r="O498" s="15">
        <f>($E498-$C498)*100</f>
        <v/>
      </c>
      <c r="P498" s="15">
        <f>($G498-$E498)*100</f>
        <v/>
      </c>
      <c r="Q498" s="15">
        <f>($G498-$C498)*100</f>
        <v/>
      </c>
      <c r="R498" s="15">
        <f>IF($H498="","",($H498-$F498)*100)</f>
        <v/>
      </c>
      <c r="S498" s="15">
        <f>IF($H498="","",($H498-$G498)*100)</f>
        <v/>
      </c>
    </row>
    <row r="499">
      <c r="A499" s="11" t="n">
        <v>39976</v>
      </c>
      <c r="B499" s="22" t="n">
        <v>0.204</v>
      </c>
      <c r="C499" s="22" t="n">
        <v>0.374</v>
      </c>
      <c r="D499" s="22" t="n">
        <v>0.858</v>
      </c>
      <c r="E499" s="22" t="n">
        <v>1.509</v>
      </c>
      <c r="F499" s="22" t="n">
        <v>2.161</v>
      </c>
      <c r="G499" s="22" t="n">
        <v>2.285</v>
      </c>
      <c r="H499" s="22" t="n">
        <v>2.306</v>
      </c>
      <c r="I499" s="22" t="n">
        <v>4.65</v>
      </c>
      <c r="J499" s="22" t="n">
        <v>0.52</v>
      </c>
      <c r="K499" s="22" t="n">
        <v>3.81</v>
      </c>
      <c r="L499" s="17">
        <f>$J499-$B499</f>
        <v/>
      </c>
      <c r="M499" s="17">
        <f>$I499-$L499</f>
        <v/>
      </c>
      <c r="N499" s="23">
        <f>($G499-$M499)*100</f>
        <v/>
      </c>
      <c r="O499" s="15">
        <f>($E499-$C499)*100</f>
        <v/>
      </c>
      <c r="P499" s="15">
        <f>($G499-$E499)*100</f>
        <v/>
      </c>
      <c r="Q499" s="15">
        <f>($G499-$C499)*100</f>
        <v/>
      </c>
      <c r="R499" s="15">
        <f>IF($H499="","",($H499-$F499)*100)</f>
        <v/>
      </c>
      <c r="S499" s="15">
        <f>IF($H499="","",($H499-$G499)*100)</f>
        <v/>
      </c>
    </row>
    <row r="500">
      <c r="A500" s="11" t="n">
        <v>39983</v>
      </c>
      <c r="B500" s="22" t="n">
        <v>0.202</v>
      </c>
      <c r="C500" s="22" t="n">
        <v>0.356</v>
      </c>
      <c r="D500" s="22" t="n">
        <v>0.783</v>
      </c>
      <c r="E500" s="22" t="n">
        <v>1.445</v>
      </c>
      <c r="F500" s="22" t="n">
        <v>2.109</v>
      </c>
      <c r="G500" s="22" t="n">
        <v>2.244</v>
      </c>
      <c r="H500" s="22" t="n">
        <v>2.264</v>
      </c>
      <c r="I500" s="22" t="n">
        <v>4.52</v>
      </c>
      <c r="J500" s="22" t="n">
        <v>0.51</v>
      </c>
      <c r="K500" s="22" t="n">
        <v>3.79</v>
      </c>
      <c r="L500" s="17">
        <f>$J500-$B500</f>
        <v/>
      </c>
      <c r="M500" s="17">
        <f>$I500-$L500</f>
        <v/>
      </c>
      <c r="N500" s="23">
        <f>($G500-$M500)*100</f>
        <v/>
      </c>
      <c r="O500" s="15">
        <f>($E500-$C500)*100</f>
        <v/>
      </c>
      <c r="P500" s="15">
        <f>($G500-$E500)*100</f>
        <v/>
      </c>
      <c r="Q500" s="15">
        <f>($G500-$C500)*100</f>
        <v/>
      </c>
      <c r="R500" s="15">
        <f>IF($H500="","",($H500-$F500)*100)</f>
        <v/>
      </c>
      <c r="S500" s="15">
        <f>IF($H500="","",($H500-$G500)*100)</f>
        <v/>
      </c>
    </row>
    <row r="501">
      <c r="A501" s="11" t="n">
        <v>39990</v>
      </c>
      <c r="B501" s="22" t="n">
        <v>0.188</v>
      </c>
      <c r="C501" s="22" t="n">
        <v>0.303</v>
      </c>
      <c r="D501" s="22" t="n">
        <v>0.726</v>
      </c>
      <c r="E501" s="22" t="n">
        <v>1.403</v>
      </c>
      <c r="F501" s="22" t="n">
        <v>2.088</v>
      </c>
      <c r="G501" s="22" t="n">
        <v>2.238</v>
      </c>
      <c r="H501" s="22" t="n">
        <v>2.271</v>
      </c>
      <c r="I501" s="22" t="n">
        <v>4.3</v>
      </c>
      <c r="J501" s="22" t="n">
        <v>0.45</v>
      </c>
      <c r="K501" s="22" t="n">
        <v>3.52</v>
      </c>
      <c r="L501" s="17">
        <f>$J501-$B501</f>
        <v/>
      </c>
      <c r="M501" s="17">
        <f>$I501-$L501</f>
        <v/>
      </c>
      <c r="N501" s="23">
        <f>($G501-$M501)*100</f>
        <v/>
      </c>
      <c r="O501" s="15">
        <f>($E501-$C501)*100</f>
        <v/>
      </c>
      <c r="P501" s="15">
        <f>($G501-$E501)*100</f>
        <v/>
      </c>
      <c r="Q501" s="15">
        <f>($G501-$C501)*100</f>
        <v/>
      </c>
      <c r="R501" s="15">
        <f>IF($H501="","",($H501-$F501)*100)</f>
        <v/>
      </c>
      <c r="S501" s="15">
        <f>IF($H501="","",($H501-$G501)*100)</f>
        <v/>
      </c>
    </row>
    <row r="502">
      <c r="A502" s="11" t="n">
        <v>39997</v>
      </c>
      <c r="B502" s="22" t="n">
        <v>0.165</v>
      </c>
      <c r="C502" s="22" t="n">
        <v>0.255</v>
      </c>
      <c r="D502" s="22" t="n">
        <v>0.679</v>
      </c>
      <c r="E502" s="22" t="n">
        <v>1.329</v>
      </c>
      <c r="F502" s="22" t="n">
        <v>2.027</v>
      </c>
      <c r="G502" s="22" t="n">
        <v>2.188</v>
      </c>
      <c r="H502" s="22" t="n">
        <v>2.245</v>
      </c>
      <c r="I502" s="22" t="n">
        <v>4.32</v>
      </c>
      <c r="J502" s="22" t="n">
        <v>0.49</v>
      </c>
      <c r="K502" s="22" t="n">
        <v>3.51</v>
      </c>
      <c r="L502" s="17">
        <f>$J502-$B502</f>
        <v/>
      </c>
      <c r="M502" s="17">
        <f>$I502-$L502</f>
        <v/>
      </c>
      <c r="N502" s="23">
        <f>($G502-$M502)*100</f>
        <v/>
      </c>
      <c r="O502" s="15">
        <f>($E502-$C502)*100</f>
        <v/>
      </c>
      <c r="P502" s="15">
        <f>($G502-$E502)*100</f>
        <v/>
      </c>
      <c r="Q502" s="15">
        <f>($G502-$C502)*100</f>
        <v/>
      </c>
      <c r="R502" s="15">
        <f>IF($H502="","",($H502-$F502)*100)</f>
        <v/>
      </c>
      <c r="S502" s="15">
        <f>IF($H502="","",($H502-$G502)*100)</f>
        <v/>
      </c>
    </row>
    <row r="503">
      <c r="A503" s="11" t="n">
        <v>40004</v>
      </c>
      <c r="B503" s="22" t="n">
        <v>0.164</v>
      </c>
      <c r="C503" s="22" t="n">
        <v>0.24</v>
      </c>
      <c r="D503" s="22" t="n">
        <v>0.672</v>
      </c>
      <c r="E503" s="22" t="n">
        <v>1.307</v>
      </c>
      <c r="F503" s="22" t="n">
        <v>2.019</v>
      </c>
      <c r="G503" s="22" t="n">
        <v>2.172</v>
      </c>
      <c r="H503" s="22" t="n">
        <v>2.234</v>
      </c>
      <c r="I503" s="22" t="n">
        <v>4.2</v>
      </c>
      <c r="J503" s="22" t="n">
        <v>0.45</v>
      </c>
      <c r="K503" s="22" t="n">
        <v>3.32</v>
      </c>
      <c r="L503" s="17">
        <f>$J503-$B503</f>
        <v/>
      </c>
      <c r="M503" s="17">
        <f>$I503-$L503</f>
        <v/>
      </c>
      <c r="N503" s="23">
        <f>($G503-$M503)*100</f>
        <v/>
      </c>
      <c r="O503" s="15">
        <f>($E503-$C503)*100</f>
        <v/>
      </c>
      <c r="P503" s="15">
        <f>($G503-$E503)*100</f>
        <v/>
      </c>
      <c r="Q503" s="15">
        <f>($G503-$C503)*100</f>
        <v/>
      </c>
      <c r="R503" s="15">
        <f>IF($H503="","",($H503-$F503)*100)</f>
        <v/>
      </c>
      <c r="S503" s="15">
        <f>IF($H503="","",($H503-$G503)*100)</f>
        <v/>
      </c>
    </row>
    <row r="504">
      <c r="A504" s="11" t="n">
        <v>40011</v>
      </c>
      <c r="B504" s="22" t="n">
        <v>0.176</v>
      </c>
      <c r="C504" s="22" t="n">
        <v>0.265</v>
      </c>
      <c r="D504" s="22" t="n">
        <v>0.677</v>
      </c>
      <c r="E504" s="22" t="n">
        <v>1.329</v>
      </c>
      <c r="F504" s="22" t="n">
        <v>2.053</v>
      </c>
      <c r="G504" s="22" t="n">
        <v>2.197</v>
      </c>
      <c r="H504" s="22" t="n">
        <v>2.261</v>
      </c>
      <c r="I504" s="22" t="n">
        <v>4.53</v>
      </c>
      <c r="J504" s="22" t="n">
        <v>0.48</v>
      </c>
      <c r="K504" s="22" t="n">
        <v>3.67</v>
      </c>
      <c r="L504" s="17">
        <f>$J504-$B504</f>
        <v/>
      </c>
      <c r="M504" s="17">
        <f>$I504-$L504</f>
        <v/>
      </c>
      <c r="N504" s="23">
        <f>($G504-$M504)*100</f>
        <v/>
      </c>
      <c r="O504" s="15">
        <f>($E504-$C504)*100</f>
        <v/>
      </c>
      <c r="P504" s="15">
        <f>($G504-$E504)*100</f>
        <v/>
      </c>
      <c r="Q504" s="15">
        <f>($G504-$C504)*100</f>
        <v/>
      </c>
      <c r="R504" s="15">
        <f>IF($H504="","",($H504-$F504)*100)</f>
        <v/>
      </c>
      <c r="S504" s="15">
        <f>IF($H504="","",($H504-$G504)*100)</f>
        <v/>
      </c>
    </row>
    <row r="505">
      <c r="A505" s="11" t="n">
        <v>40018</v>
      </c>
      <c r="B505" s="22" t="n">
        <v>0.186</v>
      </c>
      <c r="C505" s="22" t="n">
        <v>0.271</v>
      </c>
      <c r="D505" s="22" t="n">
        <v>0.6899999999999999</v>
      </c>
      <c r="E505" s="22" t="n">
        <v>1.383</v>
      </c>
      <c r="F505" s="22" t="n">
        <v>2.141</v>
      </c>
      <c r="G505" s="22" t="n">
        <v>2.307</v>
      </c>
      <c r="H505" s="22" t="n">
        <v>2.367</v>
      </c>
      <c r="I505" s="22" t="n">
        <v>4.55</v>
      </c>
      <c r="J505" s="22" t="n">
        <v>0.47</v>
      </c>
      <c r="K505" s="22" t="n">
        <v>3.7</v>
      </c>
      <c r="L505" s="17">
        <f>$J505-$B505</f>
        <v/>
      </c>
      <c r="M505" s="17">
        <f>$I505-$L505</f>
        <v/>
      </c>
      <c r="N505" s="23">
        <f>($G505-$M505)*100</f>
        <v/>
      </c>
      <c r="O505" s="15">
        <f>($E505-$C505)*100</f>
        <v/>
      </c>
      <c r="P505" s="15">
        <f>($G505-$E505)*100</f>
        <v/>
      </c>
      <c r="Q505" s="15">
        <f>($G505-$C505)*100</f>
        <v/>
      </c>
      <c r="R505" s="15">
        <f>IF($H505="","",($H505-$F505)*100)</f>
        <v/>
      </c>
      <c r="S505" s="15">
        <f>IF($H505="","",($H505-$G505)*100)</f>
        <v/>
      </c>
    </row>
    <row r="506">
      <c r="A506" s="11" t="n">
        <v>40025</v>
      </c>
      <c r="B506" s="22" t="n">
        <v>0.197</v>
      </c>
      <c r="C506" s="22" t="n">
        <v>0.275</v>
      </c>
      <c r="D506" s="22" t="n">
        <v>0.72</v>
      </c>
      <c r="E506" s="22" t="n">
        <v>1.421</v>
      </c>
      <c r="F506" s="22" t="n">
        <v>2.137</v>
      </c>
      <c r="G506" s="22" t="n">
        <v>2.32</v>
      </c>
      <c r="H506" s="22" t="n">
        <v>2.399</v>
      </c>
      <c r="I506" s="22" t="n">
        <v>4.31</v>
      </c>
      <c r="J506" s="22" t="n">
        <v>0.48</v>
      </c>
      <c r="K506" s="22" t="n">
        <v>3.52</v>
      </c>
      <c r="L506" s="17">
        <f>$J506-$B506</f>
        <v/>
      </c>
      <c r="M506" s="17">
        <f>$I506-$L506</f>
        <v/>
      </c>
      <c r="N506" s="23">
        <f>($G506-$M506)*100</f>
        <v/>
      </c>
      <c r="O506" s="15">
        <f>($E506-$C506)*100</f>
        <v/>
      </c>
      <c r="P506" s="15">
        <f>($G506-$E506)*100</f>
        <v/>
      </c>
      <c r="Q506" s="15">
        <f>($G506-$C506)*100</f>
        <v/>
      </c>
      <c r="R506" s="15">
        <f>IF($H506="","",($H506-$F506)*100)</f>
        <v/>
      </c>
      <c r="S506" s="15">
        <f>IF($H506="","",($H506-$G506)*100)</f>
        <v/>
      </c>
    </row>
    <row r="507">
      <c r="A507" s="11" t="n">
        <v>40032</v>
      </c>
      <c r="B507" s="22" t="n">
        <v>0.182</v>
      </c>
      <c r="C507" s="22" t="n">
        <v>0.265</v>
      </c>
      <c r="D507" s="22" t="n">
        <v>0.737</v>
      </c>
      <c r="E507" s="22" t="n">
        <v>1.442</v>
      </c>
      <c r="F507" s="22" t="n">
        <v>2.143</v>
      </c>
      <c r="G507" s="22" t="n">
        <v>2.316</v>
      </c>
      <c r="H507" s="22" t="n">
        <v>2.402</v>
      </c>
      <c r="I507" s="22" t="n">
        <v>4.61</v>
      </c>
      <c r="J507" s="22" t="n">
        <v>0.52</v>
      </c>
      <c r="K507" s="22" t="n">
        <v>3.89</v>
      </c>
      <c r="L507" s="17">
        <f>$J507-$B507</f>
        <v/>
      </c>
      <c r="M507" s="17">
        <f>$I507-$L507</f>
        <v/>
      </c>
      <c r="N507" s="23">
        <f>($G507-$M507)*100</f>
        <v/>
      </c>
      <c r="O507" s="15">
        <f>($E507-$C507)*100</f>
        <v/>
      </c>
      <c r="P507" s="15">
        <f>($G507-$E507)*100</f>
        <v/>
      </c>
      <c r="Q507" s="15">
        <f>($G507-$C507)*100</f>
        <v/>
      </c>
      <c r="R507" s="15">
        <f>IF($H507="","",($H507-$F507)*100)</f>
        <v/>
      </c>
      <c r="S507" s="15">
        <f>IF($H507="","",($H507-$G507)*100)</f>
        <v/>
      </c>
    </row>
    <row r="508">
      <c r="A508" s="11" t="n">
        <v>40039</v>
      </c>
      <c r="B508" s="22" t="n">
        <v>0.174</v>
      </c>
      <c r="C508" s="22" t="n">
        <v>0.265</v>
      </c>
      <c r="D508" s="22" t="n">
        <v>0.715</v>
      </c>
      <c r="E508" s="22" t="n">
        <v>1.392</v>
      </c>
      <c r="F508" s="22" t="n">
        <v>2.116</v>
      </c>
      <c r="G508" s="22" t="n">
        <v>2.285</v>
      </c>
      <c r="H508" s="22" t="n">
        <v>2.355</v>
      </c>
      <c r="I508" s="22" t="n">
        <v>4.41</v>
      </c>
      <c r="J508" s="22" t="n">
        <v>0.44</v>
      </c>
      <c r="K508" s="22" t="n">
        <v>3.55</v>
      </c>
      <c r="L508" s="17">
        <f>$J508-$B508</f>
        <v/>
      </c>
      <c r="M508" s="17">
        <f>$I508-$L508</f>
        <v/>
      </c>
      <c r="N508" s="23">
        <f>($G508-$M508)*100</f>
        <v/>
      </c>
      <c r="O508" s="15">
        <f>($E508-$C508)*100</f>
        <v/>
      </c>
      <c r="P508" s="15">
        <f>($G508-$E508)*100</f>
        <v/>
      </c>
      <c r="Q508" s="15">
        <f>($G508-$C508)*100</f>
        <v/>
      </c>
      <c r="R508" s="15">
        <f>IF($H508="","",($H508-$F508)*100)</f>
        <v/>
      </c>
      <c r="S508" s="15">
        <f>IF($H508="","",($H508-$G508)*100)</f>
        <v/>
      </c>
    </row>
    <row r="509">
      <c r="A509" s="11" t="n">
        <v>40046</v>
      </c>
      <c r="B509" s="22" t="n">
        <v>0.171</v>
      </c>
      <c r="C509" s="22" t="n">
        <v>0.245</v>
      </c>
      <c r="D509" s="22" t="n">
        <v>0.651</v>
      </c>
      <c r="E509" s="22" t="n">
        <v>1.331</v>
      </c>
      <c r="F509" s="22" t="n">
        <v>2.093</v>
      </c>
      <c r="G509" s="22" t="n">
        <v>2.268</v>
      </c>
      <c r="H509" s="22" t="n">
        <v>2.332</v>
      </c>
      <c r="I509" s="22" t="n">
        <v>4.36</v>
      </c>
      <c r="J509" s="22" t="n">
        <v>0.45</v>
      </c>
      <c r="K509" s="22" t="n">
        <v>3.56</v>
      </c>
      <c r="L509" s="17">
        <f>$J509-$B509</f>
        <v/>
      </c>
      <c r="M509" s="17">
        <f>$I509-$L509</f>
        <v/>
      </c>
      <c r="N509" s="23">
        <f>($G509-$M509)*100</f>
        <v/>
      </c>
      <c r="O509" s="15">
        <f>($E509-$C509)*100</f>
        <v/>
      </c>
      <c r="P509" s="15">
        <f>($G509-$E509)*100</f>
        <v/>
      </c>
      <c r="Q509" s="15">
        <f>($G509-$C509)*100</f>
        <v/>
      </c>
      <c r="R509" s="15">
        <f>IF($H509="","",($H509-$F509)*100)</f>
        <v/>
      </c>
      <c r="S509" s="15">
        <f>IF($H509="","",($H509-$G509)*100)</f>
        <v/>
      </c>
    </row>
    <row r="510">
      <c r="A510" s="11" t="n">
        <v>40053</v>
      </c>
      <c r="B510" s="22" t="n">
        <v>0.169</v>
      </c>
      <c r="C510" s="22" t="n">
        <v>0.242</v>
      </c>
      <c r="D510" s="22" t="n">
        <v>0.638</v>
      </c>
      <c r="E510" s="22" t="n">
        <v>1.332</v>
      </c>
      <c r="F510" s="22" t="n">
        <v>2.078</v>
      </c>
      <c r="G510" s="22" t="n">
        <v>2.235</v>
      </c>
      <c r="H510" s="22" t="n">
        <v>2.303</v>
      </c>
      <c r="I510" s="22" t="n">
        <v>4.21</v>
      </c>
      <c r="J510" s="22" t="n">
        <v>0.44</v>
      </c>
      <c r="K510" s="22" t="n">
        <v>3.46</v>
      </c>
      <c r="L510" s="17">
        <f>$J510-$B510</f>
        <v/>
      </c>
      <c r="M510" s="17">
        <f>$I510-$L510</f>
        <v/>
      </c>
      <c r="N510" s="23">
        <f>($G510-$M510)*100</f>
        <v/>
      </c>
      <c r="O510" s="15">
        <f>($E510-$C510)*100</f>
        <v/>
      </c>
      <c r="P510" s="15">
        <f>($G510-$E510)*100</f>
        <v/>
      </c>
      <c r="Q510" s="15">
        <f>($G510-$C510)*100</f>
        <v/>
      </c>
      <c r="R510" s="15">
        <f>IF($H510="","",($H510-$F510)*100)</f>
        <v/>
      </c>
      <c r="S510" s="15">
        <f>IF($H510="","",($H510-$G510)*100)</f>
        <v/>
      </c>
    </row>
    <row r="511">
      <c r="A511" s="11" t="n">
        <v>40060</v>
      </c>
      <c r="B511" s="22" t="n">
        <v>0.173</v>
      </c>
      <c r="C511" s="22" t="n">
        <v>0.231</v>
      </c>
      <c r="D511" s="22" t="n">
        <v>0.632</v>
      </c>
      <c r="E511" s="22" t="n">
        <v>1.319</v>
      </c>
      <c r="F511" s="22" t="n">
        <v>2.053</v>
      </c>
      <c r="G511" s="22" t="n">
        <v>2.203</v>
      </c>
      <c r="H511" s="22" t="n">
        <v>2.232</v>
      </c>
      <c r="I511" s="22" t="n">
        <v>4.27</v>
      </c>
      <c r="J511" s="22" t="n">
        <v>0.42</v>
      </c>
      <c r="K511" s="22" t="n">
        <v>3.45</v>
      </c>
      <c r="L511" s="17">
        <f>$J511-$B511</f>
        <v/>
      </c>
      <c r="M511" s="17">
        <f>$I511-$L511</f>
        <v/>
      </c>
      <c r="N511" s="23">
        <f>($G511-$M511)*100</f>
        <v/>
      </c>
      <c r="O511" s="15">
        <f>($E511-$C511)*100</f>
        <v/>
      </c>
      <c r="P511" s="15">
        <f>($G511-$E511)*100</f>
        <v/>
      </c>
      <c r="Q511" s="15">
        <f>($G511-$C511)*100</f>
        <v/>
      </c>
      <c r="R511" s="15">
        <f>IF($H511="","",($H511-$F511)*100)</f>
        <v/>
      </c>
      <c r="S511" s="15">
        <f>IF($H511="","",($H511-$G511)*100)</f>
        <v/>
      </c>
    </row>
    <row r="512">
      <c r="A512" s="11" t="n">
        <v>40067</v>
      </c>
      <c r="B512" s="22" t="n">
        <v>0.162</v>
      </c>
      <c r="C512" s="22" t="n">
        <v>0.204</v>
      </c>
      <c r="D512" s="22" t="n">
        <v>0.573</v>
      </c>
      <c r="E512" s="22" t="n">
        <v>1.302</v>
      </c>
      <c r="F512" s="22" t="n">
        <v>2.059</v>
      </c>
      <c r="G512" s="22" t="n">
        <v>2.209</v>
      </c>
      <c r="H512" s="22" t="n">
        <v>2.247</v>
      </c>
      <c r="I512" s="22" t="n">
        <v>4.18</v>
      </c>
      <c r="J512" s="22" t="n">
        <v>0.39</v>
      </c>
      <c r="K512" s="22" t="n">
        <v>3.34</v>
      </c>
      <c r="L512" s="17">
        <f>$J512-$B512</f>
        <v/>
      </c>
      <c r="M512" s="17">
        <f>$I512-$L512</f>
        <v/>
      </c>
      <c r="N512" s="23">
        <f>($G512-$M512)*100</f>
        <v/>
      </c>
      <c r="O512" s="15">
        <f>($E512-$C512)*100</f>
        <v/>
      </c>
      <c r="P512" s="15">
        <f>($G512-$E512)*100</f>
        <v/>
      </c>
      <c r="Q512" s="15">
        <f>($G512-$C512)*100</f>
        <v/>
      </c>
      <c r="R512" s="15">
        <f>IF($H512="","",($H512-$F512)*100)</f>
        <v/>
      </c>
      <c r="S512" s="15">
        <f>IF($H512="","",($H512-$G512)*100)</f>
        <v/>
      </c>
    </row>
    <row r="513">
      <c r="A513" s="11" t="n">
        <v>40074</v>
      </c>
      <c r="B513" s="22" t="n">
        <v>0.165</v>
      </c>
      <c r="C513" s="22" t="n">
        <v>0.225</v>
      </c>
      <c r="D513" s="22" t="n">
        <v>0.621</v>
      </c>
      <c r="E513" s="22" t="n">
        <v>1.341</v>
      </c>
      <c r="F513" s="22" t="n">
        <v>2.057</v>
      </c>
      <c r="G513" s="22" t="n">
        <v>2.218</v>
      </c>
      <c r="H513" s="22" t="n">
        <v>2.253</v>
      </c>
      <c r="I513" s="22" t="n">
        <v>4.24</v>
      </c>
      <c r="J513" s="22" t="n">
        <v>0.41</v>
      </c>
      <c r="K513" s="22" t="n">
        <v>3.49</v>
      </c>
      <c r="L513" s="17">
        <f>$J513-$B513</f>
        <v/>
      </c>
      <c r="M513" s="17">
        <f>$I513-$L513</f>
        <v/>
      </c>
      <c r="N513" s="23">
        <f>($G513-$M513)*100</f>
        <v/>
      </c>
      <c r="O513" s="15">
        <f>($E513-$C513)*100</f>
        <v/>
      </c>
      <c r="P513" s="15">
        <f>($G513-$E513)*100</f>
        <v/>
      </c>
      <c r="Q513" s="15">
        <f>($G513-$C513)*100</f>
        <v/>
      </c>
      <c r="R513" s="15">
        <f>IF($H513="","",($H513-$F513)*100)</f>
        <v/>
      </c>
      <c r="S513" s="15">
        <f>IF($H513="","",($H513-$G513)*100)</f>
        <v/>
      </c>
    </row>
    <row r="514">
      <c r="A514" s="11" t="n">
        <v>40081</v>
      </c>
      <c r="B514" s="22" t="n">
        <v>0.164</v>
      </c>
      <c r="C514" s="22" t="n">
        <v>0.211</v>
      </c>
      <c r="D514" s="22" t="n">
        <v>0.584</v>
      </c>
      <c r="E514" s="22" t="n">
        <v>1.316</v>
      </c>
      <c r="F514" s="22" t="n">
        <v>2.035</v>
      </c>
      <c r="G514" s="22" t="n">
        <v>2.19</v>
      </c>
      <c r="H514" s="22" t="n">
        <v>2.213</v>
      </c>
      <c r="I514" s="22" t="n">
        <v>4.1</v>
      </c>
      <c r="J514" s="22" t="n">
        <v>0.41</v>
      </c>
      <c r="K514" s="22" t="n">
        <v>3.34</v>
      </c>
      <c r="L514" s="17">
        <f>$J514-$B514</f>
        <v/>
      </c>
      <c r="M514" s="17">
        <f>$I514-$L514</f>
        <v/>
      </c>
      <c r="N514" s="23">
        <f>($G514-$M514)*100</f>
        <v/>
      </c>
      <c r="O514" s="15">
        <f>($E514-$C514)*100</f>
        <v/>
      </c>
      <c r="P514" s="15">
        <f>($G514-$E514)*100</f>
        <v/>
      </c>
      <c r="Q514" s="15">
        <f>($G514-$C514)*100</f>
        <v/>
      </c>
      <c r="R514" s="15">
        <f>IF($H514="","",($H514-$F514)*100)</f>
        <v/>
      </c>
      <c r="S514" s="15">
        <f>IF($H514="","",($H514-$G514)*100)</f>
        <v/>
      </c>
    </row>
    <row r="515">
      <c r="A515" s="11" t="n">
        <v>40088</v>
      </c>
      <c r="B515" s="22" t="n">
        <v>0.173</v>
      </c>
      <c r="C515" s="22" t="n">
        <v>0.23</v>
      </c>
      <c r="D515" s="22" t="n">
        <v>0.5610000000000001</v>
      </c>
      <c r="E515" s="22" t="n">
        <v>1.263</v>
      </c>
      <c r="F515" s="22" t="n">
        <v>2.028</v>
      </c>
      <c r="G515" s="22" t="n">
        <v>2.196</v>
      </c>
      <c r="H515" s="22" t="n">
        <v>2.223</v>
      </c>
      <c r="I515" s="22" t="n">
        <v>4.01</v>
      </c>
      <c r="J515" s="22" t="n">
        <v>0.37</v>
      </c>
      <c r="K515" s="22" t="n">
        <v>3.24</v>
      </c>
      <c r="L515" s="17">
        <f>$J515-$B515</f>
        <v/>
      </c>
      <c r="M515" s="17">
        <f>$I515-$L515</f>
        <v/>
      </c>
      <c r="N515" s="23">
        <f>($G515-$M515)*100</f>
        <v/>
      </c>
      <c r="O515" s="15">
        <f>($E515-$C515)*100</f>
        <v/>
      </c>
      <c r="P515" s="15">
        <f>($G515-$E515)*100</f>
        <v/>
      </c>
      <c r="Q515" s="15">
        <f>($G515-$C515)*100</f>
        <v/>
      </c>
      <c r="R515" s="15">
        <f>IF($H515="","",($H515-$F515)*100)</f>
        <v/>
      </c>
      <c r="S515" s="15">
        <f>IF($H515="","",($H515-$G515)*100)</f>
        <v/>
      </c>
    </row>
    <row r="516">
      <c r="A516" s="11" t="n">
        <v>40095</v>
      </c>
      <c r="B516" s="22" t="n">
        <v>0.178</v>
      </c>
      <c r="C516" s="22" t="n">
        <v>0.252</v>
      </c>
      <c r="D516" s="22" t="n">
        <v>0.614</v>
      </c>
      <c r="E516" s="22" t="n">
        <v>1.288</v>
      </c>
      <c r="F516" s="22" t="n">
        <v>2.028</v>
      </c>
      <c r="G516" s="22" t="n">
        <v>2.171</v>
      </c>
      <c r="H516" s="22" t="n">
        <v>2.226</v>
      </c>
      <c r="I516" s="22" t="n">
        <v>4.22</v>
      </c>
      <c r="J516" s="22" t="n">
        <v>0.38</v>
      </c>
      <c r="K516" s="22" t="n">
        <v>3.4</v>
      </c>
      <c r="L516" s="17">
        <f>$J516-$B516</f>
        <v/>
      </c>
      <c r="M516" s="17">
        <f>$I516-$L516</f>
        <v/>
      </c>
      <c r="N516" s="23">
        <f>($G516-$M516)*100</f>
        <v/>
      </c>
      <c r="O516" s="15">
        <f>($E516-$C516)*100</f>
        <v/>
      </c>
      <c r="P516" s="15">
        <f>($G516-$E516)*100</f>
        <v/>
      </c>
      <c r="Q516" s="15">
        <f>($G516-$C516)*100</f>
        <v/>
      </c>
      <c r="R516" s="15">
        <f>IF($H516="","",($H516-$F516)*100)</f>
        <v/>
      </c>
      <c r="S516" s="15">
        <f>IF($H516="","",($H516-$G516)*100)</f>
        <v/>
      </c>
    </row>
    <row r="517">
      <c r="A517" s="11" t="n">
        <v>40102</v>
      </c>
      <c r="B517" s="22" t="n">
        <v>0.178</v>
      </c>
      <c r="C517" s="22" t="n">
        <v>0.24</v>
      </c>
      <c r="D517" s="22" t="n">
        <v>0.625</v>
      </c>
      <c r="E517" s="22" t="n">
        <v>1.333</v>
      </c>
      <c r="F517" s="22" t="n">
        <v>2.101</v>
      </c>
      <c r="G517" s="22" t="n">
        <v>2.242</v>
      </c>
      <c r="H517" s="22" t="n">
        <v>2.287</v>
      </c>
      <c r="I517" s="22" t="n">
        <v>4.24</v>
      </c>
      <c r="J517" s="22" t="n">
        <v>0.36</v>
      </c>
      <c r="K517" s="22" t="n">
        <v>3.43</v>
      </c>
      <c r="L517" s="17">
        <f>$J517-$B517</f>
        <v/>
      </c>
      <c r="M517" s="17">
        <f>$I517-$L517</f>
        <v/>
      </c>
      <c r="N517" s="23">
        <f>($G517-$M517)*100</f>
        <v/>
      </c>
      <c r="O517" s="15">
        <f>($E517-$C517)*100</f>
        <v/>
      </c>
      <c r="P517" s="15">
        <f>($G517-$E517)*100</f>
        <v/>
      </c>
      <c r="Q517" s="15">
        <f>($G517-$C517)*100</f>
        <v/>
      </c>
      <c r="R517" s="15">
        <f>IF($H517="","",($H517-$F517)*100)</f>
        <v/>
      </c>
      <c r="S517" s="15">
        <f>IF($H517="","",($H517-$G517)*100)</f>
        <v/>
      </c>
    </row>
    <row r="518">
      <c r="A518" s="11" t="n">
        <v>40109</v>
      </c>
      <c r="B518" s="22" t="n">
        <v>0.178</v>
      </c>
      <c r="C518" s="22" t="n">
        <v>0.273</v>
      </c>
      <c r="D518" s="22" t="n">
        <v>0.667</v>
      </c>
      <c r="E518" s="22" t="n">
        <v>1.368</v>
      </c>
      <c r="F518" s="22" t="n">
        <v>2.111</v>
      </c>
      <c r="G518" s="22" t="n">
        <v>2.252</v>
      </c>
      <c r="H518" s="22" t="n">
        <v>2.302</v>
      </c>
      <c r="I518" s="22" t="n">
        <v>4.29</v>
      </c>
      <c r="J518" s="22" t="n">
        <v>0.4</v>
      </c>
      <c r="K518" s="22" t="n">
        <v>3.51</v>
      </c>
      <c r="L518" s="17">
        <f>$J518-$B518</f>
        <v/>
      </c>
      <c r="M518" s="17">
        <f>$I518-$L518</f>
        <v/>
      </c>
      <c r="N518" s="23">
        <f>($G518-$M518)*100</f>
        <v/>
      </c>
      <c r="O518" s="15">
        <f>($E518-$C518)*100</f>
        <v/>
      </c>
      <c r="P518" s="15">
        <f>($G518-$E518)*100</f>
        <v/>
      </c>
      <c r="Q518" s="15">
        <f>($G518-$C518)*100</f>
        <v/>
      </c>
      <c r="R518" s="15">
        <f>IF($H518="","",($H518-$F518)*100)</f>
        <v/>
      </c>
      <c r="S518" s="15">
        <f>IF($H518="","",($H518-$G518)*100)</f>
        <v/>
      </c>
    </row>
    <row r="519">
      <c r="A519" s="11" t="n">
        <v>40116</v>
      </c>
      <c r="B519" s="22" t="n">
        <v>0.185</v>
      </c>
      <c r="C519" s="22" t="n">
        <v>0.25</v>
      </c>
      <c r="D519" s="22" t="n">
        <v>0.6840000000000001</v>
      </c>
      <c r="E519" s="22" t="n">
        <v>1.411</v>
      </c>
      <c r="F519" s="22" t="n">
        <v>2.128</v>
      </c>
      <c r="G519" s="22" t="n">
        <v>2.257</v>
      </c>
      <c r="H519" s="22" t="n">
        <v>2.324</v>
      </c>
      <c r="I519" s="22" t="n">
        <v>4.23</v>
      </c>
      <c r="J519" s="22" t="n">
        <v>0.37</v>
      </c>
      <c r="K519" s="22" t="n">
        <v>3.41</v>
      </c>
      <c r="L519" s="17">
        <f>$J519-$B519</f>
        <v/>
      </c>
      <c r="M519" s="17">
        <f>$I519-$L519</f>
        <v/>
      </c>
      <c r="N519" s="23">
        <f>($G519-$M519)*100</f>
        <v/>
      </c>
      <c r="O519" s="15">
        <f>($E519-$C519)*100</f>
        <v/>
      </c>
      <c r="P519" s="15">
        <f>($G519-$E519)*100</f>
        <v/>
      </c>
      <c r="Q519" s="15">
        <f>($G519-$C519)*100</f>
        <v/>
      </c>
      <c r="R519" s="15">
        <f>IF($H519="","",($H519-$F519)*100)</f>
        <v/>
      </c>
      <c r="S519" s="15">
        <f>IF($H519="","",($H519-$G519)*100)</f>
        <v/>
      </c>
    </row>
    <row r="520">
      <c r="A520" s="11" t="n">
        <v>40123</v>
      </c>
      <c r="B520" s="22" t="n">
        <v>0.193</v>
      </c>
      <c r="C520" s="22" t="n">
        <v>0.267</v>
      </c>
      <c r="D520" s="22" t="n">
        <v>0.718</v>
      </c>
      <c r="E520" s="22" t="n">
        <v>1.45</v>
      </c>
      <c r="F520" s="22" t="n">
        <v>2.14</v>
      </c>
      <c r="G520" s="22" t="n">
        <v>2.246</v>
      </c>
      <c r="H520" s="22" t="n">
        <v>2.313</v>
      </c>
      <c r="I520" s="22" t="n">
        <v>4.4</v>
      </c>
      <c r="J520" s="22" t="n">
        <v>0.34</v>
      </c>
      <c r="K520" s="22" t="n">
        <v>3.54</v>
      </c>
      <c r="L520" s="17">
        <f>$J520-$B520</f>
        <v/>
      </c>
      <c r="M520" s="17">
        <f>$I520-$L520</f>
        <v/>
      </c>
      <c r="N520" s="23">
        <f>($G520-$M520)*100</f>
        <v/>
      </c>
      <c r="O520" s="15">
        <f>($E520-$C520)*100</f>
        <v/>
      </c>
      <c r="P520" s="15">
        <f>($G520-$E520)*100</f>
        <v/>
      </c>
      <c r="Q520" s="15">
        <f>($G520-$C520)*100</f>
        <v/>
      </c>
      <c r="R520" s="15">
        <f>IF($H520="","",($H520-$F520)*100)</f>
        <v/>
      </c>
      <c r="S520" s="15">
        <f>IF($H520="","",($H520-$G520)*100)</f>
        <v/>
      </c>
    </row>
    <row r="521">
      <c r="A521" s="11" t="n">
        <v>40130</v>
      </c>
      <c r="B521" s="22" t="n">
        <v>0.189</v>
      </c>
      <c r="C521" s="22" t="n">
        <v>0.249</v>
      </c>
      <c r="D521" s="22" t="n">
        <v>0.631</v>
      </c>
      <c r="E521" s="22" t="n">
        <v>1.355</v>
      </c>
      <c r="F521" s="22" t="n">
        <v>2.1</v>
      </c>
      <c r="G521" s="22" t="n">
        <v>2.227</v>
      </c>
      <c r="H521" s="22" t="n">
        <v>2.29</v>
      </c>
      <c r="I521" s="22" t="n">
        <v>4.36</v>
      </c>
      <c r="J521" s="22" t="n">
        <v>0.32</v>
      </c>
      <c r="K521" s="22" t="n">
        <v>3.43</v>
      </c>
      <c r="L521" s="17">
        <f>$J521-$B521</f>
        <v/>
      </c>
      <c r="M521" s="17">
        <f>$I521-$L521</f>
        <v/>
      </c>
      <c r="N521" s="23">
        <f>($G521-$M521)*100</f>
        <v/>
      </c>
      <c r="O521" s="15">
        <f>($E521-$C521)*100</f>
        <v/>
      </c>
      <c r="P521" s="15">
        <f>($G521-$E521)*100</f>
        <v/>
      </c>
      <c r="Q521" s="15">
        <f>($G521-$C521)*100</f>
        <v/>
      </c>
      <c r="R521" s="15">
        <f>IF($H521="","",($H521-$F521)*100)</f>
        <v/>
      </c>
      <c r="S521" s="15">
        <f>IF($H521="","",($H521-$G521)*100)</f>
        <v/>
      </c>
    </row>
    <row r="522">
      <c r="A522" s="11" t="n">
        <v>40137</v>
      </c>
      <c r="B522" s="22" t="n">
        <v>0.193</v>
      </c>
      <c r="C522" s="22" t="n">
        <v>0.246</v>
      </c>
      <c r="D522" s="22" t="n">
        <v>0.608</v>
      </c>
      <c r="E522" s="22" t="n">
        <v>1.326</v>
      </c>
      <c r="F522" s="22" t="n">
        <v>2.047</v>
      </c>
      <c r="G522" s="22" t="n">
        <v>2.185</v>
      </c>
      <c r="H522" s="22" t="n">
        <v>2.251</v>
      </c>
      <c r="I522" s="22" t="n">
        <v>4.3</v>
      </c>
      <c r="J522" s="22" t="n">
        <v>0.27</v>
      </c>
      <c r="K522" s="22" t="n">
        <v>3.36</v>
      </c>
      <c r="L522" s="17">
        <f>$J522-$B522</f>
        <v/>
      </c>
      <c r="M522" s="17">
        <f>$I522-$L522</f>
        <v/>
      </c>
      <c r="N522" s="23">
        <f>($G522-$M522)*100</f>
        <v/>
      </c>
      <c r="O522" s="15">
        <f>($E522-$C522)*100</f>
        <v/>
      </c>
      <c r="P522" s="15">
        <f>($G522-$E522)*100</f>
        <v/>
      </c>
      <c r="Q522" s="15">
        <f>($G522-$C522)*100</f>
        <v/>
      </c>
      <c r="R522" s="15">
        <f>IF($H522="","",($H522-$F522)*100)</f>
        <v/>
      </c>
      <c r="S522" s="15">
        <f>IF($H522="","",($H522-$G522)*100)</f>
        <v/>
      </c>
    </row>
    <row r="523">
      <c r="A523" s="11" t="n">
        <v>40144</v>
      </c>
      <c r="B523" s="22" t="n">
        <v>0.184</v>
      </c>
      <c r="C523" s="22" t="n">
        <v>0.225</v>
      </c>
      <c r="D523" s="22" t="n">
        <v>0.5580000000000001</v>
      </c>
      <c r="E523" s="22" t="n">
        <v>1.277</v>
      </c>
      <c r="F523" s="22" t="n">
        <v>2.019</v>
      </c>
      <c r="G523" s="22" t="n">
        <v>2.154</v>
      </c>
      <c r="H523" s="22" t="n">
        <v>2.202</v>
      </c>
      <c r="I523" s="22" t="n">
        <v>4.21</v>
      </c>
      <c r="J523" s="22" t="n">
        <v>0.26</v>
      </c>
      <c r="K523" s="22" t="n">
        <v>3.21</v>
      </c>
      <c r="L523" s="17">
        <f>$J523-$B523</f>
        <v/>
      </c>
      <c r="M523" s="17">
        <f>$I523-$L523</f>
        <v/>
      </c>
      <c r="N523" s="23">
        <f>($G523-$M523)*100</f>
        <v/>
      </c>
      <c r="O523" s="15">
        <f>($E523-$C523)*100</f>
        <v/>
      </c>
      <c r="P523" s="15">
        <f>($G523-$E523)*100</f>
        <v/>
      </c>
      <c r="Q523" s="15">
        <f>($G523-$C523)*100</f>
        <v/>
      </c>
      <c r="R523" s="15">
        <f>IF($H523="","",($H523-$F523)*100)</f>
        <v/>
      </c>
      <c r="S523" s="15">
        <f>IF($H523="","",($H523-$G523)*100)</f>
        <v/>
      </c>
    </row>
    <row r="524">
      <c r="A524" s="11" t="n">
        <v>40151</v>
      </c>
      <c r="B524" s="22" t="n">
        <v>0.14</v>
      </c>
      <c r="C524" s="22" t="n">
        <v>0.169</v>
      </c>
      <c r="D524" s="22" t="n">
        <v>0.511</v>
      </c>
      <c r="E524" s="22" t="n">
        <v>1.281</v>
      </c>
      <c r="F524" s="22" t="n">
        <v>2.058</v>
      </c>
      <c r="G524" s="22" t="n">
        <v>2.187</v>
      </c>
      <c r="H524" s="22" t="n">
        <v>2.225</v>
      </c>
      <c r="I524" s="22" t="n">
        <v>4.4</v>
      </c>
      <c r="J524" s="22" t="n">
        <v>0.36</v>
      </c>
      <c r="K524" s="22" t="n">
        <v>3.48</v>
      </c>
      <c r="L524" s="17">
        <f>$J524-$B524</f>
        <v/>
      </c>
      <c r="M524" s="17">
        <f>$I524-$L524</f>
        <v/>
      </c>
      <c r="N524" s="23">
        <f>($G524-$M524)*100</f>
        <v/>
      </c>
      <c r="O524" s="15">
        <f>($E524-$C524)*100</f>
        <v/>
      </c>
      <c r="P524" s="15">
        <f>($G524-$E524)*100</f>
        <v/>
      </c>
      <c r="Q524" s="15">
        <f>($G524-$C524)*100</f>
        <v/>
      </c>
      <c r="R524" s="15">
        <f>IF($H524="","",($H524-$F524)*100)</f>
        <v/>
      </c>
      <c r="S524" s="15">
        <f>IF($H524="","",($H524-$G524)*100)</f>
        <v/>
      </c>
    </row>
    <row r="525">
      <c r="A525" s="11" t="n">
        <v>40158</v>
      </c>
      <c r="B525" s="22" t="n">
        <v>0.143</v>
      </c>
      <c r="C525" s="22" t="n">
        <v>0.169</v>
      </c>
      <c r="D525" s="22" t="n">
        <v>0.502</v>
      </c>
      <c r="E525" s="22" t="n">
        <v>1.278</v>
      </c>
      <c r="F525" s="22" t="n">
        <v>2.067</v>
      </c>
      <c r="G525" s="22" t="n">
        <v>2.231</v>
      </c>
      <c r="H525" s="22" t="n">
        <v>2.276</v>
      </c>
      <c r="I525" s="22" t="n">
        <v>4.49</v>
      </c>
      <c r="J525" s="22" t="n">
        <v>0.35</v>
      </c>
      <c r="K525" s="22" t="n">
        <v>3.55</v>
      </c>
      <c r="L525" s="17">
        <f>$J525-$B525</f>
        <v/>
      </c>
      <c r="M525" s="17">
        <f>$I525-$L525</f>
        <v/>
      </c>
      <c r="N525" s="23">
        <f>($G525-$M525)*100</f>
        <v/>
      </c>
      <c r="O525" s="15">
        <f>($E525-$C525)*100</f>
        <v/>
      </c>
      <c r="P525" s="15">
        <f>($G525-$E525)*100</f>
        <v/>
      </c>
      <c r="Q525" s="15">
        <f>($G525-$C525)*100</f>
        <v/>
      </c>
      <c r="R525" s="15">
        <f>IF($H525="","",($H525-$F525)*100)</f>
        <v/>
      </c>
      <c r="S525" s="15">
        <f>IF($H525="","",($H525-$G525)*100)</f>
        <v/>
      </c>
    </row>
    <row r="526">
      <c r="A526" s="11" t="n">
        <v>40165</v>
      </c>
      <c r="B526" s="22" t="n">
        <v>0.136</v>
      </c>
      <c r="C526" s="22" t="n">
        <v>0.159</v>
      </c>
      <c r="D526" s="22" t="n">
        <v>0.453</v>
      </c>
      <c r="E526" s="22" t="n">
        <v>1.23</v>
      </c>
      <c r="F526" s="22" t="n">
        <v>2.069</v>
      </c>
      <c r="G526" s="22" t="n">
        <v>2.228</v>
      </c>
      <c r="H526" s="22" t="n">
        <v>2.272</v>
      </c>
      <c r="I526" s="22" t="n">
        <v>4.46</v>
      </c>
      <c r="J526" s="22" t="n">
        <v>0.36</v>
      </c>
      <c r="K526" s="22" t="n">
        <v>3.55</v>
      </c>
      <c r="L526" s="17">
        <f>$J526-$B526</f>
        <v/>
      </c>
      <c r="M526" s="17">
        <f>$I526-$L526</f>
        <v/>
      </c>
      <c r="N526" s="23">
        <f>($G526-$M526)*100</f>
        <v/>
      </c>
      <c r="O526" s="15">
        <f>($E526-$C526)*100</f>
        <v/>
      </c>
      <c r="P526" s="15">
        <f>($G526-$E526)*100</f>
        <v/>
      </c>
      <c r="Q526" s="15">
        <f>($G526-$C526)*100</f>
        <v/>
      </c>
      <c r="R526" s="15">
        <f>IF($H526="","",($H526-$F526)*100)</f>
        <v/>
      </c>
      <c r="S526" s="15">
        <f>IF($H526="","",($H526-$G526)*100)</f>
        <v/>
      </c>
    </row>
    <row r="527">
      <c r="A527" s="11" t="n">
        <v>40172</v>
      </c>
      <c r="B527" s="22" t="n">
        <v>0.137</v>
      </c>
      <c r="C527" s="22" t="n">
        <v>0.155</v>
      </c>
      <c r="D527" s="22" t="n">
        <v>0.471</v>
      </c>
      <c r="E527" s="22" t="n">
        <v>1.274</v>
      </c>
      <c r="F527" s="22" t="n">
        <v>2.092</v>
      </c>
      <c r="G527" s="22" t="n">
        <v>2.259</v>
      </c>
      <c r="H527" s="22" t="n">
        <v>2.296</v>
      </c>
      <c r="I527" s="22" t="n">
        <v>4.68</v>
      </c>
      <c r="J527" s="22" t="n">
        <v>0.43</v>
      </c>
      <c r="K527" s="22" t="n">
        <v>3.82</v>
      </c>
      <c r="L527" s="17">
        <f>$J527-$B527</f>
        <v/>
      </c>
      <c r="M527" s="17">
        <f>$I527-$L527</f>
        <v/>
      </c>
      <c r="N527" s="23">
        <f>($G527-$M527)*100</f>
        <v/>
      </c>
      <c r="O527" s="15">
        <f>($E527-$C527)*100</f>
        <v/>
      </c>
      <c r="P527" s="15">
        <f>($G527-$E527)*100</f>
        <v/>
      </c>
      <c r="Q527" s="15">
        <f>($G527-$C527)*100</f>
        <v/>
      </c>
      <c r="R527" s="15">
        <f>IF($H527="","",($H527-$F527)*100)</f>
        <v/>
      </c>
      <c r="S527" s="15">
        <f>IF($H527="","",($H527-$G527)*100)</f>
        <v/>
      </c>
    </row>
    <row r="528">
      <c r="A528" s="11" t="n">
        <v>40179</v>
      </c>
      <c r="B528" s="22" t="n">
        <v>0.132</v>
      </c>
      <c r="C528" s="22" t="n">
        <v>0.136</v>
      </c>
      <c r="D528" s="22" t="n">
        <v>0.469</v>
      </c>
      <c r="E528" s="22" t="n">
        <v>1.289</v>
      </c>
      <c r="F528" s="22" t="n">
        <v>2.096</v>
      </c>
      <c r="G528" s="22" t="n">
        <v>2.255</v>
      </c>
      <c r="H528" s="22" t="n">
        <v>2.3</v>
      </c>
      <c r="I528" s="22" t="n">
        <v>4.63</v>
      </c>
      <c r="J528" s="22" t="n">
        <v>0.47</v>
      </c>
      <c r="K528" s="22" t="n">
        <v>3.85</v>
      </c>
      <c r="L528" s="17">
        <f>$J528-$B528</f>
        <v/>
      </c>
      <c r="M528" s="17">
        <f>$I528-$L528</f>
        <v/>
      </c>
      <c r="N528" s="23">
        <f>($G528-$M528)*100</f>
        <v/>
      </c>
      <c r="O528" s="15">
        <f>($E528-$C528)*100</f>
        <v/>
      </c>
      <c r="P528" s="15">
        <f>($G528-$E528)*100</f>
        <v/>
      </c>
      <c r="Q528" s="15">
        <f>($G528-$C528)*100</f>
        <v/>
      </c>
      <c r="R528" s="15">
        <f>IF($H528="","",($H528-$F528)*100)</f>
        <v/>
      </c>
      <c r="S528" s="15">
        <f>IF($H528="","",($H528-$G528)*100)</f>
        <v/>
      </c>
    </row>
    <row r="529">
      <c r="A529" s="11" t="n">
        <v>40186</v>
      </c>
      <c r="B529" s="22" t="n">
        <v>0.136</v>
      </c>
      <c r="C529" s="22" t="n">
        <v>0.164</v>
      </c>
      <c r="D529" s="22" t="n">
        <v>0.521</v>
      </c>
      <c r="E529" s="22" t="n">
        <v>1.359</v>
      </c>
      <c r="F529" s="22" t="n">
        <v>2.147</v>
      </c>
      <c r="G529" s="22" t="n">
        <v>2.297</v>
      </c>
      <c r="H529" s="22" t="n">
        <v>2.346</v>
      </c>
      <c r="I529" s="22" t="n">
        <v>4.7</v>
      </c>
      <c r="J529" s="22" t="n">
        <v>0.37</v>
      </c>
      <c r="K529" s="22" t="n">
        <v>3.83</v>
      </c>
      <c r="L529" s="17">
        <f>$J529-$B529</f>
        <v/>
      </c>
      <c r="M529" s="17">
        <f>$I529-$L529</f>
        <v/>
      </c>
      <c r="N529" s="23">
        <f>($G529-$M529)*100</f>
        <v/>
      </c>
      <c r="O529" s="15">
        <f>($E529-$C529)*100</f>
        <v/>
      </c>
      <c r="P529" s="15">
        <f>($G529-$E529)*100</f>
        <v/>
      </c>
      <c r="Q529" s="15">
        <f>($G529-$C529)*100</f>
        <v/>
      </c>
      <c r="R529" s="15">
        <f>IF($H529="","",($H529-$F529)*100)</f>
        <v/>
      </c>
      <c r="S529" s="15">
        <f>IF($H529="","",($H529-$G529)*100)</f>
        <v/>
      </c>
    </row>
    <row r="530">
      <c r="A530" s="11" t="n">
        <v>40193</v>
      </c>
      <c r="B530" s="22" t="n">
        <v>0.14</v>
      </c>
      <c r="C530" s="22" t="n">
        <v>0.155</v>
      </c>
      <c r="D530" s="22" t="n">
        <v>0.524</v>
      </c>
      <c r="E530" s="22" t="n">
        <v>1.329</v>
      </c>
      <c r="F530" s="22" t="n">
        <v>2.12</v>
      </c>
      <c r="G530" s="22" t="n">
        <v>2.265</v>
      </c>
      <c r="H530" s="22" t="n">
        <v>2.319</v>
      </c>
      <c r="I530" s="22" t="n">
        <v>4.58</v>
      </c>
      <c r="J530" s="22" t="n">
        <v>0.33</v>
      </c>
      <c r="K530" s="22" t="n">
        <v>3.7</v>
      </c>
      <c r="L530" s="17">
        <f>$J530-$B530</f>
        <v/>
      </c>
      <c r="M530" s="17">
        <f>$I530-$L530</f>
        <v/>
      </c>
      <c r="N530" s="23">
        <f>($G530-$M530)*100</f>
        <v/>
      </c>
      <c r="O530" s="15">
        <f>($E530-$C530)*100</f>
        <v/>
      </c>
      <c r="P530" s="15">
        <f>($G530-$E530)*100</f>
        <v/>
      </c>
      <c r="Q530" s="15">
        <f>($G530-$C530)*100</f>
        <v/>
      </c>
      <c r="R530" s="15">
        <f>IF($H530="","",($H530-$F530)*100)</f>
        <v/>
      </c>
      <c r="S530" s="15">
        <f>IF($H530="","",($H530-$G530)*100)</f>
        <v/>
      </c>
    </row>
    <row r="531">
      <c r="A531" s="11" t="n">
        <v>40200</v>
      </c>
      <c r="B531" s="22" t="n">
        <v>0.123</v>
      </c>
      <c r="C531" s="22" t="n">
        <v>0.161</v>
      </c>
      <c r="D531" s="22" t="n">
        <v>0.522</v>
      </c>
      <c r="E531" s="22" t="n">
        <v>1.331</v>
      </c>
      <c r="F531" s="22" t="n">
        <v>2.123</v>
      </c>
      <c r="G531" s="22" t="n">
        <v>2.281</v>
      </c>
      <c r="H531" s="22" t="n">
        <v>2.325</v>
      </c>
      <c r="I531" s="22" t="n">
        <v>4.5</v>
      </c>
      <c r="J531" s="22" t="n">
        <v>0.3</v>
      </c>
      <c r="K531" s="22" t="n">
        <v>3.62</v>
      </c>
      <c r="L531" s="17">
        <f>$J531-$B531</f>
        <v/>
      </c>
      <c r="M531" s="17">
        <f>$I531-$L531</f>
        <v/>
      </c>
      <c r="N531" s="23">
        <f>($G531-$M531)*100</f>
        <v/>
      </c>
      <c r="O531" s="15">
        <f>($E531-$C531)*100</f>
        <v/>
      </c>
      <c r="P531" s="15">
        <f>($G531-$E531)*100</f>
        <v/>
      </c>
      <c r="Q531" s="15">
        <f>($G531-$C531)*100</f>
        <v/>
      </c>
      <c r="R531" s="15">
        <f>IF($H531="","",($H531-$F531)*100)</f>
        <v/>
      </c>
      <c r="S531" s="15">
        <f>IF($H531="","",($H531-$G531)*100)</f>
        <v/>
      </c>
    </row>
    <row r="532">
      <c r="A532" s="11" t="n">
        <v>40207</v>
      </c>
      <c r="B532" s="22" t="n">
        <v>0.124</v>
      </c>
      <c r="C532" s="22" t="n">
        <v>0.155</v>
      </c>
      <c r="D532" s="22" t="n">
        <v>0.505</v>
      </c>
      <c r="E532" s="22" t="n">
        <v>1.33</v>
      </c>
      <c r="F532" s="22" t="n">
        <v>2.116</v>
      </c>
      <c r="G532" s="22" t="n">
        <v>2.274</v>
      </c>
      <c r="H532" s="22" t="n">
        <v>2.315</v>
      </c>
      <c r="I532" s="22" t="n">
        <v>4.51</v>
      </c>
      <c r="J532" s="22" t="n">
        <v>0.3</v>
      </c>
      <c r="K532" s="22" t="n">
        <v>3.63</v>
      </c>
      <c r="L532" s="17">
        <f>$J532-$B532</f>
        <v/>
      </c>
      <c r="M532" s="17">
        <f>$I532-$L532</f>
        <v/>
      </c>
      <c r="N532" s="23">
        <f>($G532-$M532)*100</f>
        <v/>
      </c>
      <c r="O532" s="15">
        <f>($E532-$C532)*100</f>
        <v/>
      </c>
      <c r="P532" s="15">
        <f>($G532-$E532)*100</f>
        <v/>
      </c>
      <c r="Q532" s="15">
        <f>($G532-$C532)*100</f>
        <v/>
      </c>
      <c r="R532" s="15">
        <f>IF($H532="","",($H532-$F532)*100)</f>
        <v/>
      </c>
      <c r="S532" s="15">
        <f>IF($H532="","",($H532-$G532)*100)</f>
        <v/>
      </c>
    </row>
    <row r="533">
      <c r="A533" s="11" t="n">
        <v>40214</v>
      </c>
      <c r="B533" s="22" t="n">
        <v>0.116</v>
      </c>
      <c r="C533" s="22" t="n">
        <v>0.155</v>
      </c>
      <c r="D533" s="22" t="n">
        <v>0.546</v>
      </c>
      <c r="E533" s="22" t="n">
        <v>1.376</v>
      </c>
      <c r="F533" s="22" t="n">
        <v>2.147</v>
      </c>
      <c r="G533" s="22" t="n">
        <v>2.301</v>
      </c>
      <c r="H533" s="22" t="n">
        <v>2.342</v>
      </c>
      <c r="I533" s="22" t="n">
        <v>4.51</v>
      </c>
      <c r="J533" s="22" t="n">
        <v>0.31</v>
      </c>
      <c r="K533" s="22" t="n">
        <v>3.59</v>
      </c>
      <c r="L533" s="17">
        <f>$J533-$B533</f>
        <v/>
      </c>
      <c r="M533" s="17">
        <f>$I533-$L533</f>
        <v/>
      </c>
      <c r="N533" s="23">
        <f>($G533-$M533)*100</f>
        <v/>
      </c>
      <c r="O533" s="15">
        <f>($E533-$C533)*100</f>
        <v/>
      </c>
      <c r="P533" s="15">
        <f>($G533-$E533)*100</f>
        <v/>
      </c>
      <c r="Q533" s="15">
        <f>($G533-$C533)*100</f>
        <v/>
      </c>
      <c r="R533" s="15">
        <f>IF($H533="","",($H533-$F533)*100)</f>
        <v/>
      </c>
      <c r="S533" s="15">
        <f>IF($H533="","",($H533-$G533)*100)</f>
        <v/>
      </c>
    </row>
    <row r="534">
      <c r="A534" s="11" t="n">
        <v>40221</v>
      </c>
      <c r="B534" s="22" t="n">
        <v>0.12</v>
      </c>
      <c r="C534" s="22" t="n">
        <v>0.154</v>
      </c>
      <c r="D534" s="22" t="n">
        <v>0.537</v>
      </c>
      <c r="E534" s="22" t="n">
        <v>1.342</v>
      </c>
      <c r="F534" s="22" t="n">
        <v>2.145</v>
      </c>
      <c r="G534" s="22" t="n">
        <v>2.294</v>
      </c>
      <c r="H534" s="22" t="n">
        <v>2.342</v>
      </c>
      <c r="I534" s="22" t="n">
        <v>4.66</v>
      </c>
      <c r="J534" s="22" t="n">
        <v>0.35</v>
      </c>
      <c r="K534" s="22" t="n">
        <v>3.69</v>
      </c>
      <c r="L534" s="17">
        <f>$J534-$B534</f>
        <v/>
      </c>
      <c r="M534" s="17">
        <f>$I534-$L534</f>
        <v/>
      </c>
      <c r="N534" s="23">
        <f>($G534-$M534)*100</f>
        <v/>
      </c>
      <c r="O534" s="15">
        <f>($E534-$C534)*100</f>
        <v/>
      </c>
      <c r="P534" s="15">
        <f>($G534-$E534)*100</f>
        <v/>
      </c>
      <c r="Q534" s="15">
        <f>($G534-$C534)*100</f>
        <v/>
      </c>
      <c r="R534" s="15">
        <f>IF($H534="","",($H534-$F534)*100)</f>
        <v/>
      </c>
      <c r="S534" s="15">
        <f>IF($H534="","",($H534-$G534)*100)</f>
        <v/>
      </c>
    </row>
    <row r="535">
      <c r="A535" s="11" t="n">
        <v>40228</v>
      </c>
      <c r="B535" s="22" t="n">
        <v>0.117</v>
      </c>
      <c r="C535" s="22" t="n">
        <v>0.155</v>
      </c>
      <c r="D535" s="22" t="n">
        <v>0.53</v>
      </c>
      <c r="E535" s="22" t="n">
        <v>1.351</v>
      </c>
      <c r="F535" s="22" t="n">
        <v>2.166</v>
      </c>
      <c r="G535" s="22" t="n">
        <v>2.318</v>
      </c>
      <c r="H535" s="22" t="n">
        <v>2.358</v>
      </c>
      <c r="I535" s="22" t="n">
        <v>4.71</v>
      </c>
      <c r="J535" s="22" t="n">
        <v>0.39</v>
      </c>
      <c r="K535" s="22" t="n">
        <v>3.78</v>
      </c>
      <c r="L535" s="17">
        <f>$J535-$B535</f>
        <v/>
      </c>
      <c r="M535" s="17">
        <f>$I535-$L535</f>
        <v/>
      </c>
      <c r="N535" s="23">
        <f>($G535-$M535)*100</f>
        <v/>
      </c>
      <c r="O535" s="15">
        <f>($E535-$C535)*100</f>
        <v/>
      </c>
      <c r="P535" s="15">
        <f>($G535-$E535)*100</f>
        <v/>
      </c>
      <c r="Q535" s="15">
        <f>($G535-$C535)*100</f>
        <v/>
      </c>
      <c r="R535" s="15">
        <f>IF($H535="","",($H535-$F535)*100)</f>
        <v/>
      </c>
      <c r="S535" s="15">
        <f>IF($H535="","",($H535-$G535)*100)</f>
        <v/>
      </c>
    </row>
    <row r="536">
      <c r="A536" s="11" t="n">
        <v>40235</v>
      </c>
      <c r="B536" s="22" t="n">
        <v>0.123</v>
      </c>
      <c r="C536" s="22" t="n">
        <v>0.155</v>
      </c>
      <c r="D536" s="22" t="n">
        <v>0.522</v>
      </c>
      <c r="E536" s="22" t="n">
        <v>1.318</v>
      </c>
      <c r="F536" s="22" t="n">
        <v>2.137</v>
      </c>
      <c r="G536" s="22" t="n">
        <v>2.28</v>
      </c>
      <c r="H536" s="22" t="n">
        <v>2.324</v>
      </c>
      <c r="I536" s="22" t="n">
        <v>4.55</v>
      </c>
      <c r="J536" s="22" t="n">
        <v>0.32</v>
      </c>
      <c r="K536" s="22" t="n">
        <v>3.61</v>
      </c>
      <c r="L536" s="17">
        <f>$J536-$B536</f>
        <v/>
      </c>
      <c r="M536" s="17">
        <f>$I536-$L536</f>
        <v/>
      </c>
      <c r="N536" s="23">
        <f>($G536-$M536)*100</f>
        <v/>
      </c>
      <c r="O536" s="15">
        <f>($E536-$C536)*100</f>
        <v/>
      </c>
      <c r="P536" s="15">
        <f>($G536-$E536)*100</f>
        <v/>
      </c>
      <c r="Q536" s="15">
        <f>($G536-$C536)*100</f>
        <v/>
      </c>
      <c r="R536" s="15">
        <f>IF($H536="","",($H536-$F536)*100)</f>
        <v/>
      </c>
      <c r="S536" s="15">
        <f>IF($H536="","",($H536-$G536)*100)</f>
        <v/>
      </c>
    </row>
    <row r="537">
      <c r="A537" s="11" t="n">
        <v>40242</v>
      </c>
      <c r="B537" s="22" t="n">
        <v>0.118</v>
      </c>
      <c r="C537" s="22" t="n">
        <v>0.14</v>
      </c>
      <c r="D537" s="22" t="n">
        <v>0.495</v>
      </c>
      <c r="E537" s="22" t="n">
        <v>1.305</v>
      </c>
      <c r="F537" s="22" t="n">
        <v>2.143</v>
      </c>
      <c r="G537" s="22" t="n">
        <v>2.297</v>
      </c>
      <c r="H537" s="22" t="n">
        <v>2.325</v>
      </c>
      <c r="I537" s="22" t="n">
        <v>4.64</v>
      </c>
      <c r="J537" s="22" t="n">
        <v>0.38</v>
      </c>
      <c r="K537" s="22" t="n">
        <v>3.69</v>
      </c>
      <c r="L537" s="17">
        <f>$J537-$B537</f>
        <v/>
      </c>
      <c r="M537" s="17">
        <f>$I537-$L537</f>
        <v/>
      </c>
      <c r="N537" s="23">
        <f>($G537-$M537)*100</f>
        <v/>
      </c>
      <c r="O537" s="15">
        <f>($E537-$C537)*100</f>
        <v/>
      </c>
      <c r="P537" s="15">
        <f>($G537-$E537)*100</f>
        <v/>
      </c>
      <c r="Q537" s="15">
        <f>($G537-$C537)*100</f>
        <v/>
      </c>
      <c r="R537" s="15">
        <f>IF($H537="","",($H537-$F537)*100)</f>
        <v/>
      </c>
      <c r="S537" s="15">
        <f>IF($H537="","",($H537-$G537)*100)</f>
        <v/>
      </c>
    </row>
    <row r="538">
      <c r="A538" s="11" t="n">
        <v>40249</v>
      </c>
      <c r="B538" s="22" t="n">
        <v>0.123</v>
      </c>
      <c r="C538" s="22" t="n">
        <v>0.14</v>
      </c>
      <c r="D538" s="22" t="n">
        <v>0.514</v>
      </c>
      <c r="E538" s="22" t="n">
        <v>1.341</v>
      </c>
      <c r="F538" s="22" t="n">
        <v>2.149</v>
      </c>
      <c r="G538" s="22" t="n">
        <v>2.285</v>
      </c>
      <c r="H538" s="22" t="n">
        <v>2.312</v>
      </c>
      <c r="I538" s="22" t="n">
        <v>4.62</v>
      </c>
      <c r="J538" s="22" t="n">
        <v>0.41</v>
      </c>
      <c r="K538" s="22" t="n">
        <v>3.71</v>
      </c>
      <c r="L538" s="17">
        <f>$J538-$B538</f>
        <v/>
      </c>
      <c r="M538" s="17">
        <f>$I538-$L538</f>
        <v/>
      </c>
      <c r="N538" s="23">
        <f>($G538-$M538)*100</f>
        <v/>
      </c>
      <c r="O538" s="15">
        <f>($E538-$C538)*100</f>
        <v/>
      </c>
      <c r="P538" s="15">
        <f>($G538-$E538)*100</f>
        <v/>
      </c>
      <c r="Q538" s="15">
        <f>($G538-$C538)*100</f>
        <v/>
      </c>
      <c r="R538" s="15">
        <f>IF($H538="","",($H538-$F538)*100)</f>
        <v/>
      </c>
      <c r="S538" s="15">
        <f>IF($H538="","",($H538-$G538)*100)</f>
        <v/>
      </c>
    </row>
    <row r="539">
      <c r="A539" s="11" t="n">
        <v>40256</v>
      </c>
      <c r="B539" s="22" t="n">
        <v>0.117</v>
      </c>
      <c r="C539" s="22" t="n">
        <v>0.145</v>
      </c>
      <c r="D539" s="22" t="n">
        <v>0.52</v>
      </c>
      <c r="E539" s="22" t="n">
        <v>1.364</v>
      </c>
      <c r="F539" s="22" t="n">
        <v>2.166</v>
      </c>
      <c r="G539" s="22" t="n">
        <v>2.293</v>
      </c>
      <c r="H539" s="22" t="n">
        <v>2.316</v>
      </c>
      <c r="I539" s="22" t="n">
        <v>4.58</v>
      </c>
      <c r="J539" s="22" t="n">
        <v>0.42</v>
      </c>
      <c r="K539" s="22" t="n">
        <v>3.7</v>
      </c>
      <c r="L539" s="17">
        <f>$J539-$B539</f>
        <v/>
      </c>
      <c r="M539" s="17">
        <f>$I539-$L539</f>
        <v/>
      </c>
      <c r="N539" s="23">
        <f>($G539-$M539)*100</f>
        <v/>
      </c>
      <c r="O539" s="15">
        <f>($E539-$C539)*100</f>
        <v/>
      </c>
      <c r="P539" s="15">
        <f>($G539-$E539)*100</f>
        <v/>
      </c>
      <c r="Q539" s="15">
        <f>($G539-$C539)*100</f>
        <v/>
      </c>
      <c r="R539" s="15">
        <f>IF($H539="","",($H539-$F539)*100)</f>
        <v/>
      </c>
      <c r="S539" s="15">
        <f>IF($H539="","",($H539-$G539)*100)</f>
        <v/>
      </c>
    </row>
    <row r="540">
      <c r="A540" s="11" t="n">
        <v>40263</v>
      </c>
      <c r="B540" s="22" t="n">
        <v>0.123</v>
      </c>
      <c r="C540" s="22" t="n">
        <v>0.157</v>
      </c>
      <c r="D540" s="22" t="n">
        <v>0.545</v>
      </c>
      <c r="E540" s="22" t="n">
        <v>1.378</v>
      </c>
      <c r="F540" s="22" t="n">
        <v>2.139</v>
      </c>
      <c r="G540" s="22" t="n">
        <v>2.267</v>
      </c>
      <c r="H540" s="22" t="n">
        <v>2.285</v>
      </c>
      <c r="I540" s="22" t="n">
        <v>4.75</v>
      </c>
      <c r="J540" s="22" t="n">
        <v>0.43</v>
      </c>
      <c r="K540" s="22" t="n">
        <v>3.86</v>
      </c>
      <c r="L540" s="17">
        <f>$J540-$B540</f>
        <v/>
      </c>
      <c r="M540" s="17">
        <f>$I540-$L540</f>
        <v/>
      </c>
      <c r="N540" s="23">
        <f>($G540-$M540)*100</f>
        <v/>
      </c>
      <c r="O540" s="15">
        <f>($E540-$C540)*100</f>
        <v/>
      </c>
      <c r="P540" s="15">
        <f>($G540-$E540)*100</f>
        <v/>
      </c>
      <c r="Q540" s="15">
        <f>($G540-$C540)*100</f>
        <v/>
      </c>
      <c r="R540" s="15">
        <f>IF($H540="","",($H540-$F540)*100)</f>
        <v/>
      </c>
      <c r="S540" s="15">
        <f>IF($H540="","",($H540-$G540)*100)</f>
        <v/>
      </c>
    </row>
    <row r="541">
      <c r="A541" s="11" t="n">
        <v>40270</v>
      </c>
      <c r="B541" s="22" t="n">
        <v>0.128</v>
      </c>
      <c r="C541" s="22" t="n">
        <v>0.163</v>
      </c>
      <c r="D541" s="22" t="n">
        <v>0.531</v>
      </c>
      <c r="E541" s="22" t="n">
        <v>1.36</v>
      </c>
      <c r="F541" s="22" t="n">
        <v>2.128</v>
      </c>
      <c r="G541" s="22" t="n">
        <v>2.238</v>
      </c>
      <c r="H541" s="22" t="n">
        <v>2.258</v>
      </c>
      <c r="I541" s="22" t="n">
        <v>4.81</v>
      </c>
      <c r="J541" s="22" t="n">
        <v>0.46</v>
      </c>
      <c r="K541" s="22" t="n">
        <v>3.96</v>
      </c>
      <c r="L541" s="17">
        <f>$J541-$B541</f>
        <v/>
      </c>
      <c r="M541" s="17">
        <f>$I541-$L541</f>
        <v/>
      </c>
      <c r="N541" s="23">
        <f>($G541-$M541)*100</f>
        <v/>
      </c>
      <c r="O541" s="15">
        <f>($E541-$C541)*100</f>
        <v/>
      </c>
      <c r="P541" s="15">
        <f>($G541-$E541)*100</f>
        <v/>
      </c>
      <c r="Q541" s="15">
        <f>($G541-$C541)*100</f>
        <v/>
      </c>
      <c r="R541" s="15">
        <f>IF($H541="","",($H541-$F541)*100)</f>
        <v/>
      </c>
      <c r="S541" s="15">
        <f>IF($H541="","",($H541-$G541)*100)</f>
        <v/>
      </c>
    </row>
    <row r="542">
      <c r="A542" s="11" t="n">
        <v>40277</v>
      </c>
      <c r="B542" s="22" t="n">
        <v>0.134</v>
      </c>
      <c r="C542" s="22" t="n">
        <v>0.155</v>
      </c>
      <c r="D542" s="22" t="n">
        <v>0.549</v>
      </c>
      <c r="E542" s="22" t="n">
        <v>1.389</v>
      </c>
      <c r="F542" s="22" t="n">
        <v>2.119</v>
      </c>
      <c r="G542" s="22" t="n">
        <v>2.23</v>
      </c>
      <c r="H542" s="22" t="n">
        <v>2.259</v>
      </c>
      <c r="I542" s="22" t="n">
        <v>4.74</v>
      </c>
      <c r="J542" s="22" t="n">
        <v>0.46</v>
      </c>
      <c r="K542" s="22" t="n">
        <v>3.9</v>
      </c>
      <c r="L542" s="17">
        <f>$J542-$B542</f>
        <v/>
      </c>
      <c r="M542" s="17">
        <f>$I542-$L542</f>
        <v/>
      </c>
      <c r="N542" s="23">
        <f>($G542-$M542)*100</f>
        <v/>
      </c>
      <c r="O542" s="15">
        <f>($E542-$C542)*100</f>
        <v/>
      </c>
      <c r="P542" s="15">
        <f>($G542-$E542)*100</f>
        <v/>
      </c>
      <c r="Q542" s="15">
        <f>($G542-$C542)*100</f>
        <v/>
      </c>
      <c r="R542" s="15">
        <f>IF($H542="","",($H542-$F542)*100)</f>
        <v/>
      </c>
      <c r="S542" s="15">
        <f>IF($H542="","",($H542-$G542)*100)</f>
        <v/>
      </c>
    </row>
    <row r="543">
      <c r="A543" s="11" t="n">
        <v>40284</v>
      </c>
      <c r="B543" s="22" t="n">
        <v>0.129</v>
      </c>
      <c r="C543" s="22" t="n">
        <v>0.165</v>
      </c>
      <c r="D543" s="22" t="n">
        <v>0.52</v>
      </c>
      <c r="E543" s="22" t="n">
        <v>1.355</v>
      </c>
      <c r="F543" s="22" t="n">
        <v>2.119</v>
      </c>
      <c r="G543" s="22" t="n">
        <v>2.229</v>
      </c>
      <c r="H543" s="22" t="n">
        <v>2.266</v>
      </c>
      <c r="I543" s="22" t="n">
        <v>4.67</v>
      </c>
      <c r="J543" s="22" t="n">
        <v>0.41</v>
      </c>
      <c r="K543" s="22" t="n">
        <v>3.79</v>
      </c>
      <c r="L543" s="17">
        <f>$J543-$B543</f>
        <v/>
      </c>
      <c r="M543" s="17">
        <f>$I543-$L543</f>
        <v/>
      </c>
      <c r="N543" s="23">
        <f>($G543-$M543)*100</f>
        <v/>
      </c>
      <c r="O543" s="15">
        <f>($E543-$C543)*100</f>
        <v/>
      </c>
      <c r="P543" s="15">
        <f>($G543-$E543)*100</f>
        <v/>
      </c>
      <c r="Q543" s="15">
        <f>($G543-$C543)*100</f>
        <v/>
      </c>
      <c r="R543" s="15">
        <f>IF($H543="","",($H543-$F543)*100)</f>
        <v/>
      </c>
      <c r="S543" s="15">
        <f>IF($H543="","",($H543-$G543)*100)</f>
        <v/>
      </c>
    </row>
    <row r="544">
      <c r="A544" s="11" t="n">
        <v>40291</v>
      </c>
      <c r="B544" s="22" t="n">
        <v>0.135</v>
      </c>
      <c r="C544" s="22" t="n">
        <v>0.16</v>
      </c>
      <c r="D544" s="22" t="n">
        <v>0.491</v>
      </c>
      <c r="E544" s="22" t="n">
        <v>1.329</v>
      </c>
      <c r="F544" s="22" t="n">
        <v>2.088</v>
      </c>
      <c r="G544" s="22" t="n">
        <v>2.196</v>
      </c>
      <c r="H544" s="22" t="n">
        <v>2.228</v>
      </c>
      <c r="I544" s="22" t="n">
        <v>4.67</v>
      </c>
      <c r="J544" s="22" t="n">
        <v>0.46</v>
      </c>
      <c r="K544" s="22" t="n">
        <v>3.84</v>
      </c>
      <c r="L544" s="17">
        <f>$J544-$B544</f>
        <v/>
      </c>
      <c r="M544" s="17">
        <f>$I544-$L544</f>
        <v/>
      </c>
      <c r="N544" s="23">
        <f>($G544-$M544)*100</f>
        <v/>
      </c>
      <c r="O544" s="15">
        <f>($E544-$C544)*100</f>
        <v/>
      </c>
      <c r="P544" s="15">
        <f>($G544-$E544)*100</f>
        <v/>
      </c>
      <c r="Q544" s="15">
        <f>($G544-$C544)*100</f>
        <v/>
      </c>
      <c r="R544" s="15">
        <f>IF($H544="","",($H544-$F544)*100)</f>
        <v/>
      </c>
      <c r="S544" s="15">
        <f>IF($H544="","",($H544-$G544)*100)</f>
        <v/>
      </c>
    </row>
    <row r="545">
      <c r="A545" s="11" t="n">
        <v>40298</v>
      </c>
      <c r="B545" s="22" t="n">
        <v>0.13</v>
      </c>
      <c r="C545" s="22" t="n">
        <v>0.16</v>
      </c>
      <c r="D545" s="22" t="n">
        <v>0.475</v>
      </c>
      <c r="E545" s="22" t="n">
        <v>1.301</v>
      </c>
      <c r="F545" s="22" t="n">
        <v>2.052</v>
      </c>
      <c r="G545" s="22" t="n">
        <v>2.15</v>
      </c>
      <c r="H545" s="22" t="n">
        <v>2.178</v>
      </c>
      <c r="I545" s="22" t="n">
        <v>4.53</v>
      </c>
      <c r="J545" s="22" t="n">
        <v>0.41</v>
      </c>
      <c r="K545" s="22" t="n">
        <v>3.69</v>
      </c>
      <c r="L545" s="17">
        <f>$J545-$B545</f>
        <v/>
      </c>
      <c r="M545" s="17">
        <f>$I545-$L545</f>
        <v/>
      </c>
      <c r="N545" s="23">
        <f>($G545-$M545)*100</f>
        <v/>
      </c>
      <c r="O545" s="15">
        <f>($E545-$C545)*100</f>
        <v/>
      </c>
      <c r="P545" s="15">
        <f>($G545-$E545)*100</f>
        <v/>
      </c>
      <c r="Q545" s="15">
        <f>($G545-$C545)*100</f>
        <v/>
      </c>
      <c r="R545" s="15">
        <f>IF($H545="","",($H545-$F545)*100)</f>
        <v/>
      </c>
      <c r="S545" s="15">
        <f>IF($H545="","",($H545-$G545)*100)</f>
        <v/>
      </c>
    </row>
    <row r="546">
      <c r="A546" s="11" t="n">
        <v>40305</v>
      </c>
      <c r="B546" s="22" t="n">
        <v>0.136</v>
      </c>
      <c r="C546" s="22" t="n">
        <v>0.16</v>
      </c>
      <c r="D546" s="22" t="n">
        <v>0.473</v>
      </c>
      <c r="E546" s="22" t="n">
        <v>1.298</v>
      </c>
      <c r="F546" s="22" t="n">
        <v>2.058</v>
      </c>
      <c r="G546" s="22" t="n">
        <v>2.157</v>
      </c>
      <c r="H546" s="22" t="n">
        <v>2.19</v>
      </c>
      <c r="I546" s="22" t="n">
        <v>4.28</v>
      </c>
      <c r="J546" s="22" t="n">
        <v>0.38</v>
      </c>
      <c r="K546" s="22" t="n">
        <v>3.45</v>
      </c>
      <c r="L546" s="17">
        <f>$J546-$B546</f>
        <v/>
      </c>
      <c r="M546" s="17">
        <f>$I546-$L546</f>
        <v/>
      </c>
      <c r="N546" s="23">
        <f>($G546-$M546)*100</f>
        <v/>
      </c>
      <c r="O546" s="15">
        <f>($E546-$C546)*100</f>
        <v/>
      </c>
      <c r="P546" s="15">
        <f>($G546-$E546)*100</f>
        <v/>
      </c>
      <c r="Q546" s="15">
        <f>($G546-$C546)*100</f>
        <v/>
      </c>
      <c r="R546" s="15">
        <f>IF($H546="","",($H546-$F546)*100)</f>
        <v/>
      </c>
      <c r="S546" s="15">
        <f>IF($H546="","",($H546-$G546)*100)</f>
        <v/>
      </c>
    </row>
    <row r="547">
      <c r="A547" s="11" t="n">
        <v>40312</v>
      </c>
      <c r="B547" s="22" t="n">
        <v>0.132</v>
      </c>
      <c r="C547" s="22" t="n">
        <v>0.16</v>
      </c>
      <c r="D547" s="22" t="n">
        <v>0.477</v>
      </c>
      <c r="E547" s="22" t="n">
        <v>1.316</v>
      </c>
      <c r="F547" s="22" t="n">
        <v>2.094</v>
      </c>
      <c r="G547" s="22" t="n">
        <v>2.191</v>
      </c>
      <c r="H547" s="22" t="n">
        <v>2.217</v>
      </c>
      <c r="I547" s="22" t="n">
        <v>4.32</v>
      </c>
      <c r="J547" s="22" t="n">
        <v>0.34</v>
      </c>
      <c r="K547" s="22" t="n">
        <v>3.44</v>
      </c>
      <c r="L547" s="17">
        <f>$J547-$B547</f>
        <v/>
      </c>
      <c r="M547" s="17">
        <f>$I547-$L547</f>
        <v/>
      </c>
      <c r="N547" s="23">
        <f>($G547-$M547)*100</f>
        <v/>
      </c>
      <c r="O547" s="15">
        <f>($E547-$C547)*100</f>
        <v/>
      </c>
      <c r="P547" s="15">
        <f>($G547-$E547)*100</f>
        <v/>
      </c>
      <c r="Q547" s="15">
        <f>($G547-$C547)*100</f>
        <v/>
      </c>
      <c r="R547" s="15">
        <f>IF($H547="","",($H547-$F547)*100)</f>
        <v/>
      </c>
      <c r="S547" s="15">
        <f>IF($H547="","",($H547-$G547)*100)</f>
        <v/>
      </c>
    </row>
    <row r="548">
      <c r="A548" s="11" t="n">
        <v>40319</v>
      </c>
      <c r="B548" s="22" t="n">
        <v>0.136</v>
      </c>
      <c r="C548" s="22" t="n">
        <v>0.155</v>
      </c>
      <c r="D548" s="22" t="n">
        <v>0.437</v>
      </c>
      <c r="E548" s="22" t="n">
        <v>1.262</v>
      </c>
      <c r="F548" s="22" t="n">
        <v>2.019</v>
      </c>
      <c r="G548" s="22" t="n">
        <v>2.119</v>
      </c>
      <c r="H548" s="22" t="n">
        <v>2.144</v>
      </c>
      <c r="I548" s="22" t="n">
        <v>4.07</v>
      </c>
      <c r="J548" s="22" t="n">
        <v>0.35</v>
      </c>
      <c r="K548" s="22" t="n">
        <v>3.2</v>
      </c>
      <c r="L548" s="17">
        <f>$J548-$B548</f>
        <v/>
      </c>
      <c r="M548" s="17">
        <f>$I548-$L548</f>
        <v/>
      </c>
      <c r="N548" s="23">
        <f>($G548-$M548)*100</f>
        <v/>
      </c>
      <c r="O548" s="15">
        <f>($E548-$C548)*100</f>
        <v/>
      </c>
      <c r="P548" s="15">
        <f>($G548-$E548)*100</f>
        <v/>
      </c>
      <c r="Q548" s="15">
        <f>($G548-$C548)*100</f>
        <v/>
      </c>
      <c r="R548" s="15">
        <f>IF($H548="","",($H548-$F548)*100)</f>
        <v/>
      </c>
      <c r="S548" s="15">
        <f>IF($H548="","",($H548-$G548)*100)</f>
        <v/>
      </c>
    </row>
    <row r="549">
      <c r="A549" s="11" t="n">
        <v>40326</v>
      </c>
      <c r="B549" s="22" t="n">
        <v>0.131</v>
      </c>
      <c r="C549" s="22" t="n">
        <v>0.16</v>
      </c>
      <c r="D549" s="22" t="n">
        <v>0.458</v>
      </c>
      <c r="E549" s="22" t="n">
        <v>1.278</v>
      </c>
      <c r="F549" s="22" t="n">
        <v>2.022</v>
      </c>
      <c r="G549" s="22" t="n">
        <v>2.103</v>
      </c>
      <c r="H549" s="22" t="n">
        <v>2.126</v>
      </c>
      <c r="I549" s="22" t="n">
        <v>4.22</v>
      </c>
      <c r="J549" s="22" t="n">
        <v>0.34</v>
      </c>
      <c r="K549" s="22" t="n">
        <v>3.31</v>
      </c>
      <c r="L549" s="17">
        <f>$J549-$B549</f>
        <v/>
      </c>
      <c r="M549" s="17">
        <f>$I549-$L549</f>
        <v/>
      </c>
      <c r="N549" s="23">
        <f>($G549-$M549)*100</f>
        <v/>
      </c>
      <c r="O549" s="15">
        <f>($E549-$C549)*100</f>
        <v/>
      </c>
      <c r="P549" s="15">
        <f>($G549-$E549)*100</f>
        <v/>
      </c>
      <c r="Q549" s="15">
        <f>($G549-$C549)*100</f>
        <v/>
      </c>
      <c r="R549" s="15">
        <f>IF($H549="","",($H549-$F549)*100)</f>
        <v/>
      </c>
      <c r="S549" s="15">
        <f>IF($H549="","",($H549-$G549)*100)</f>
        <v/>
      </c>
    </row>
    <row r="550">
      <c r="A550" s="11" t="n">
        <v>40333</v>
      </c>
      <c r="B550" s="22" t="n">
        <v>0.137</v>
      </c>
      <c r="C550" s="22" t="n">
        <v>0.145</v>
      </c>
      <c r="D550" s="22" t="n">
        <v>0.411</v>
      </c>
      <c r="E550" s="22" t="n">
        <v>1.262</v>
      </c>
      <c r="F550" s="22" t="n">
        <v>2.025</v>
      </c>
      <c r="G550" s="22" t="n">
        <v>2.12</v>
      </c>
      <c r="H550" s="22" t="n">
        <v>2.155</v>
      </c>
      <c r="I550" s="22" t="n">
        <v>4.13</v>
      </c>
      <c r="J550" s="22" t="n">
        <v>0.34</v>
      </c>
      <c r="K550" s="22" t="n">
        <v>3.2</v>
      </c>
      <c r="L550" s="17">
        <f>$J550-$B550</f>
        <v/>
      </c>
      <c r="M550" s="17">
        <f>$I550-$L550</f>
        <v/>
      </c>
      <c r="N550" s="23">
        <f>($G550-$M550)*100</f>
        <v/>
      </c>
      <c r="O550" s="15">
        <f>($E550-$C550)*100</f>
        <v/>
      </c>
      <c r="P550" s="15">
        <f>($G550-$E550)*100</f>
        <v/>
      </c>
      <c r="Q550" s="15">
        <f>($G550-$C550)*100</f>
        <v/>
      </c>
      <c r="R550" s="15">
        <f>IF($H550="","",($H550-$F550)*100)</f>
        <v/>
      </c>
      <c r="S550" s="15">
        <f>IF($H550="","",($H550-$G550)*100)</f>
        <v/>
      </c>
    </row>
    <row r="551">
      <c r="A551" s="11" t="n">
        <v>40340</v>
      </c>
      <c r="B551" s="22" t="n">
        <v>0.143</v>
      </c>
      <c r="C551" s="22" t="n">
        <v>0.15</v>
      </c>
      <c r="D551" s="22" t="n">
        <v>0.418</v>
      </c>
      <c r="E551" s="22" t="n">
        <v>1.229</v>
      </c>
      <c r="F551" s="22" t="n">
        <v>1.993</v>
      </c>
      <c r="G551" s="22" t="n">
        <v>2.086</v>
      </c>
      <c r="H551" s="22" t="n">
        <v>2.127</v>
      </c>
      <c r="I551" s="22" t="n">
        <v>4.15</v>
      </c>
      <c r="J551" s="22" t="n">
        <v>0.3</v>
      </c>
      <c r="K551" s="22" t="n">
        <v>3.24</v>
      </c>
      <c r="L551" s="17">
        <f>$J551-$B551</f>
        <v/>
      </c>
      <c r="M551" s="17">
        <f>$I551-$L551</f>
        <v/>
      </c>
      <c r="N551" s="23">
        <f>($G551-$M551)*100</f>
        <v/>
      </c>
      <c r="O551" s="15">
        <f>($E551-$C551)*100</f>
        <v/>
      </c>
      <c r="P551" s="15">
        <f>($G551-$E551)*100</f>
        <v/>
      </c>
      <c r="Q551" s="15">
        <f>($G551-$C551)*100</f>
        <v/>
      </c>
      <c r="R551" s="15">
        <f>IF($H551="","",($H551-$F551)*100)</f>
        <v/>
      </c>
      <c r="S551" s="15">
        <f>IF($H551="","",($H551-$G551)*100)</f>
        <v/>
      </c>
    </row>
    <row r="552">
      <c r="A552" s="11" t="n">
        <v>40347</v>
      </c>
      <c r="B552" s="22" t="n">
        <v>0.137</v>
      </c>
      <c r="C552" s="22" t="n">
        <v>0.155</v>
      </c>
      <c r="D552" s="22" t="n">
        <v>0.396</v>
      </c>
      <c r="E552" s="22" t="n">
        <v>1.201</v>
      </c>
      <c r="F552" s="22" t="n">
        <v>1.974</v>
      </c>
      <c r="G552" s="22" t="n">
        <v>2.085</v>
      </c>
      <c r="H552" s="22" t="n">
        <v>2.126</v>
      </c>
      <c r="I552" s="22" t="n">
        <v>4.15</v>
      </c>
      <c r="J552" s="22" t="n">
        <v>0.3</v>
      </c>
      <c r="K552" s="22" t="n">
        <v>3.24</v>
      </c>
      <c r="L552" s="17">
        <f>$J552-$B552</f>
        <v/>
      </c>
      <c r="M552" s="17">
        <f>$I552-$L552</f>
        <v/>
      </c>
      <c r="N552" s="23">
        <f>($G552-$M552)*100</f>
        <v/>
      </c>
      <c r="O552" s="15">
        <f>($E552-$C552)*100</f>
        <v/>
      </c>
      <c r="P552" s="15">
        <f>($G552-$E552)*100</f>
        <v/>
      </c>
      <c r="Q552" s="15">
        <f>($G552-$C552)*100</f>
        <v/>
      </c>
      <c r="R552" s="15">
        <f>IF($H552="","",($H552-$F552)*100)</f>
        <v/>
      </c>
      <c r="S552" s="15">
        <f>IF($H552="","",($H552-$G552)*100)</f>
        <v/>
      </c>
    </row>
    <row r="553">
      <c r="A553" s="11" t="n">
        <v>40354</v>
      </c>
      <c r="B553" s="22" t="n">
        <v>0.142</v>
      </c>
      <c r="C553" s="22" t="n">
        <v>0.15</v>
      </c>
      <c r="D553" s="22" t="n">
        <v>0.383</v>
      </c>
      <c r="E553" s="22" t="n">
        <v>1.15</v>
      </c>
      <c r="F553" s="22" t="n">
        <v>1.891</v>
      </c>
      <c r="G553" s="22" t="n">
        <v>1.989</v>
      </c>
      <c r="H553" s="22" t="n">
        <v>2.041</v>
      </c>
      <c r="I553" s="22" t="n">
        <v>4.07</v>
      </c>
      <c r="J553" s="22" t="n">
        <v>0.29</v>
      </c>
      <c r="K553" s="22" t="n">
        <v>3.12</v>
      </c>
      <c r="L553" s="17">
        <f>$J553-$B553</f>
        <v/>
      </c>
      <c r="M553" s="17">
        <f>$I553-$L553</f>
        <v/>
      </c>
      <c r="N553" s="23">
        <f>($G553-$M553)*100</f>
        <v/>
      </c>
      <c r="O553" s="15">
        <f>($E553-$C553)*100</f>
        <v/>
      </c>
      <c r="P553" s="15">
        <f>($G553-$E553)*100</f>
        <v/>
      </c>
      <c r="Q553" s="15">
        <f>($G553-$C553)*100</f>
        <v/>
      </c>
      <c r="R553" s="15">
        <f>IF($H553="","",($H553-$F553)*100)</f>
        <v/>
      </c>
      <c r="S553" s="15">
        <f>IF($H553="","",($H553-$G553)*100)</f>
        <v/>
      </c>
    </row>
    <row r="554">
      <c r="A554" s="11" t="n">
        <v>40361</v>
      </c>
      <c r="B554" s="22" t="n">
        <v>0.137</v>
      </c>
      <c r="C554" s="22" t="n">
        <v>0.14</v>
      </c>
      <c r="D554" s="22" t="n">
        <v>0.334</v>
      </c>
      <c r="E554" s="22" t="n">
        <v>1.106</v>
      </c>
      <c r="F554" s="22" t="n">
        <v>1.789</v>
      </c>
      <c r="G554" s="22" t="n">
        <v>1.89</v>
      </c>
      <c r="H554" s="22" t="n">
        <v>1.931</v>
      </c>
      <c r="I554" s="22" t="n">
        <v>3.94</v>
      </c>
      <c r="J554" s="22" t="n">
        <v>0.31</v>
      </c>
      <c r="K554" s="22" t="n">
        <v>3</v>
      </c>
      <c r="L554" s="17">
        <f>$J554-$B554</f>
        <v/>
      </c>
      <c r="M554" s="17">
        <f>$I554-$L554</f>
        <v/>
      </c>
      <c r="N554" s="23">
        <f>($G554-$M554)*100</f>
        <v/>
      </c>
      <c r="O554" s="15">
        <f>($E554-$C554)*100</f>
        <v/>
      </c>
      <c r="P554" s="15">
        <f>($G554-$E554)*100</f>
        <v/>
      </c>
      <c r="Q554" s="15">
        <f>($G554-$C554)*100</f>
        <v/>
      </c>
      <c r="R554" s="15">
        <f>IF($H554="","",($H554-$F554)*100)</f>
        <v/>
      </c>
      <c r="S554" s="15">
        <f>IF($H554="","",($H554-$G554)*100)</f>
        <v/>
      </c>
    </row>
    <row r="555">
      <c r="A555" s="11" t="n">
        <v>40368</v>
      </c>
      <c r="B555" s="22" t="n">
        <v>0.134</v>
      </c>
      <c r="C555" s="22" t="n">
        <v>0.14</v>
      </c>
      <c r="D555" s="22" t="n">
        <v>0.377</v>
      </c>
      <c r="E555" s="22" t="n">
        <v>1.16</v>
      </c>
      <c r="F555" s="22" t="n">
        <v>1.901</v>
      </c>
      <c r="G555" s="22" t="n">
        <v>2.012</v>
      </c>
      <c r="H555" s="22" t="n">
        <v>2.038</v>
      </c>
      <c r="I555" s="22" t="n">
        <v>4.04</v>
      </c>
      <c r="J555" s="22" t="n">
        <v>0.3</v>
      </c>
      <c r="K555" s="22" t="n">
        <v>3.07</v>
      </c>
      <c r="L555" s="17">
        <f>$J555-$B555</f>
        <v/>
      </c>
      <c r="M555" s="17">
        <f>$I555-$L555</f>
        <v/>
      </c>
      <c r="N555" s="23">
        <f>($G555-$M555)*100</f>
        <v/>
      </c>
      <c r="O555" s="15">
        <f>($E555-$C555)*100</f>
        <v/>
      </c>
      <c r="P555" s="15">
        <f>($G555-$E555)*100</f>
        <v/>
      </c>
      <c r="Q555" s="15">
        <f>($G555-$C555)*100</f>
        <v/>
      </c>
      <c r="R555" s="15">
        <f>IF($H555="","",($H555-$F555)*100)</f>
        <v/>
      </c>
      <c r="S555" s="15">
        <f>IF($H555="","",($H555-$G555)*100)</f>
        <v/>
      </c>
    </row>
    <row r="556">
      <c r="A556" s="11" t="n">
        <v>40375</v>
      </c>
      <c r="B556" s="22" t="n">
        <v>0.13</v>
      </c>
      <c r="C556" s="22" t="n">
        <v>0.14</v>
      </c>
      <c r="D556" s="22" t="n">
        <v>0.355</v>
      </c>
      <c r="E556" s="22" t="n">
        <v>1.095</v>
      </c>
      <c r="F556" s="22" t="n">
        <v>1.811</v>
      </c>
      <c r="G556" s="22" t="n">
        <v>1.916</v>
      </c>
      <c r="H556" s="22" t="n">
        <v>1.961</v>
      </c>
      <c r="I556" s="22" t="n">
        <v>3.95</v>
      </c>
      <c r="J556" s="22" t="n">
        <v>0.28</v>
      </c>
      <c r="K556" s="22" t="n">
        <v>2.96</v>
      </c>
      <c r="L556" s="17">
        <f>$J556-$B556</f>
        <v/>
      </c>
      <c r="M556" s="17">
        <f>$I556-$L556</f>
        <v/>
      </c>
      <c r="N556" s="23">
        <f>($G556-$M556)*100</f>
        <v/>
      </c>
      <c r="O556" s="15">
        <f>($E556-$C556)*100</f>
        <v/>
      </c>
      <c r="P556" s="15">
        <f>($G556-$E556)*100</f>
        <v/>
      </c>
      <c r="Q556" s="15">
        <f>($G556-$C556)*100</f>
        <v/>
      </c>
      <c r="R556" s="15">
        <f>IF($H556="","",($H556-$F556)*100)</f>
        <v/>
      </c>
      <c r="S556" s="15">
        <f>IF($H556="","",($H556-$G556)*100)</f>
        <v/>
      </c>
    </row>
    <row r="557">
      <c r="A557" s="11" t="n">
        <v>40382</v>
      </c>
      <c r="B557" s="22" t="n">
        <v>0.127</v>
      </c>
      <c r="C557" s="22" t="n">
        <v>0.144</v>
      </c>
      <c r="D557" s="22" t="n">
        <v>0.361</v>
      </c>
      <c r="E557" s="22" t="n">
        <v>1.079</v>
      </c>
      <c r="F557" s="22" t="n">
        <v>1.793</v>
      </c>
      <c r="G557" s="22" t="n">
        <v>1.893</v>
      </c>
      <c r="H557" s="22" t="n">
        <v>1.94</v>
      </c>
      <c r="I557" s="22" t="n">
        <v>4.01</v>
      </c>
      <c r="J557" s="22" t="n">
        <v>0.27</v>
      </c>
      <c r="K557" s="22" t="n">
        <v>3.02</v>
      </c>
      <c r="L557" s="17">
        <f>$J557-$B557</f>
        <v/>
      </c>
      <c r="M557" s="17">
        <f>$I557-$L557</f>
        <v/>
      </c>
      <c r="N557" s="23">
        <f>($G557-$M557)*100</f>
        <v/>
      </c>
      <c r="O557" s="15">
        <f>($E557-$C557)*100</f>
        <v/>
      </c>
      <c r="P557" s="15">
        <f>($G557-$E557)*100</f>
        <v/>
      </c>
      <c r="Q557" s="15">
        <f>($G557-$C557)*100</f>
        <v/>
      </c>
      <c r="R557" s="15">
        <f>IF($H557="","",($H557-$F557)*100)</f>
        <v/>
      </c>
      <c r="S557" s="15">
        <f>IF($H557="","",($H557-$G557)*100)</f>
        <v/>
      </c>
    </row>
    <row r="558">
      <c r="A558" s="11" t="n">
        <v>40389</v>
      </c>
      <c r="B558" s="22" t="n">
        <v>0.131</v>
      </c>
      <c r="C558" s="22" t="n">
        <v>0.145</v>
      </c>
      <c r="D558" s="22" t="n">
        <v>0.361</v>
      </c>
      <c r="E558" s="22" t="n">
        <v>1.081</v>
      </c>
      <c r="F558" s="22" t="n">
        <v>1.753</v>
      </c>
      <c r="G558" s="22" t="n">
        <v>1.852</v>
      </c>
      <c r="H558" s="22" t="n">
        <v>1.898</v>
      </c>
      <c r="I558" s="22" t="n">
        <v>3.98</v>
      </c>
      <c r="J558" s="22" t="n">
        <v>0.29</v>
      </c>
      <c r="K558" s="22" t="n">
        <v>2.94</v>
      </c>
      <c r="L558" s="17">
        <f>$J558-$B558</f>
        <v/>
      </c>
      <c r="M558" s="17">
        <f>$I558-$L558</f>
        <v/>
      </c>
      <c r="N558" s="23">
        <f>($G558-$M558)*100</f>
        <v/>
      </c>
      <c r="O558" s="15">
        <f>($E558-$C558)*100</f>
        <v/>
      </c>
      <c r="P558" s="15">
        <f>($G558-$E558)*100</f>
        <v/>
      </c>
      <c r="Q558" s="15">
        <f>($G558-$C558)*100</f>
        <v/>
      </c>
      <c r="R558" s="15">
        <f>IF($H558="","",($H558-$F558)*100)</f>
        <v/>
      </c>
      <c r="S558" s="15">
        <f>IF($H558="","",($H558-$G558)*100)</f>
        <v/>
      </c>
    </row>
    <row r="559">
      <c r="A559" s="11" t="n">
        <v>40396</v>
      </c>
      <c r="B559" s="22" t="n">
        <v>0.126</v>
      </c>
      <c r="C559" s="22" t="n">
        <v>0.14</v>
      </c>
      <c r="D559" s="22" t="n">
        <v>0.358</v>
      </c>
      <c r="E559" s="22" t="n">
        <v>1.072</v>
      </c>
      <c r="F559" s="22" t="n">
        <v>1.721</v>
      </c>
      <c r="G559" s="22" t="n">
        <v>1.813</v>
      </c>
      <c r="H559" s="22" t="n">
        <v>1.855</v>
      </c>
      <c r="I559" s="22" t="n">
        <v>4</v>
      </c>
      <c r="J559" s="22" t="n">
        <v>0.25</v>
      </c>
      <c r="K559" s="22" t="n">
        <v>2.86</v>
      </c>
      <c r="L559" s="17">
        <f>$J559-$B559</f>
        <v/>
      </c>
      <c r="M559" s="17">
        <f>$I559-$L559</f>
        <v/>
      </c>
      <c r="N559" s="23">
        <f>($G559-$M559)*100</f>
        <v/>
      </c>
      <c r="O559" s="15">
        <f>($E559-$C559)*100</f>
        <v/>
      </c>
      <c r="P559" s="15">
        <f>($G559-$E559)*100</f>
        <v/>
      </c>
      <c r="Q559" s="15">
        <f>($G559-$C559)*100</f>
        <v/>
      </c>
      <c r="R559" s="15">
        <f>IF($H559="","",($H559-$F559)*100)</f>
        <v/>
      </c>
      <c r="S559" s="15">
        <f>IF($H559="","",($H559-$G559)*100)</f>
        <v/>
      </c>
    </row>
    <row r="560">
      <c r="A560" s="11" t="n">
        <v>40403</v>
      </c>
      <c r="B560" s="22" t="n">
        <v>0.122</v>
      </c>
      <c r="C560" s="22" t="n">
        <v>0.131</v>
      </c>
      <c r="D560" s="22" t="n">
        <v>0.298</v>
      </c>
      <c r="E560" s="22" t="n">
        <v>1.003</v>
      </c>
      <c r="F560" s="22" t="n">
        <v>1.634</v>
      </c>
      <c r="G560" s="22" t="n">
        <v>1.725</v>
      </c>
      <c r="H560" s="22" t="n">
        <v>1.764</v>
      </c>
      <c r="I560" s="22" t="n">
        <v>3.87</v>
      </c>
      <c r="J560" s="22" t="n">
        <v>0.26</v>
      </c>
      <c r="K560" s="22" t="n">
        <v>2.68</v>
      </c>
      <c r="L560" s="17">
        <f>$J560-$B560</f>
        <v/>
      </c>
      <c r="M560" s="17">
        <f>$I560-$L560</f>
        <v/>
      </c>
      <c r="N560" s="23">
        <f>($G560-$M560)*100</f>
        <v/>
      </c>
      <c r="O560" s="15">
        <f>($E560-$C560)*100</f>
        <v/>
      </c>
      <c r="P560" s="15">
        <f>($G560-$E560)*100</f>
        <v/>
      </c>
      <c r="Q560" s="15">
        <f>($G560-$C560)*100</f>
        <v/>
      </c>
      <c r="R560" s="15">
        <f>IF($H560="","",($H560-$F560)*100)</f>
        <v/>
      </c>
      <c r="S560" s="15">
        <f>IF($H560="","",($H560-$G560)*100)</f>
        <v/>
      </c>
    </row>
    <row r="561">
      <c r="A561" s="11" t="n">
        <v>40410</v>
      </c>
      <c r="B561" s="22" t="n">
        <v>0.108</v>
      </c>
      <c r="C561" s="22" t="n">
        <v>0.114</v>
      </c>
      <c r="D561" s="22" t="n">
        <v>0.269</v>
      </c>
      <c r="E561" s="22" t="n">
        <v>0.953</v>
      </c>
      <c r="F561" s="22" t="n">
        <v>1.585</v>
      </c>
      <c r="G561" s="22" t="n">
        <v>1.68</v>
      </c>
      <c r="H561" s="22" t="n">
        <v>1.725</v>
      </c>
      <c r="I561" s="22" t="n">
        <v>3.67</v>
      </c>
      <c r="J561" s="22" t="n">
        <v>0.26</v>
      </c>
      <c r="K561" s="22" t="n">
        <v>2.62</v>
      </c>
      <c r="L561" s="17">
        <f>$J561-$B561</f>
        <v/>
      </c>
      <c r="M561" s="17">
        <f>$I561-$L561</f>
        <v/>
      </c>
      <c r="N561" s="23">
        <f>($G561-$M561)*100</f>
        <v/>
      </c>
      <c r="O561" s="15">
        <f>($E561-$C561)*100</f>
        <v/>
      </c>
      <c r="P561" s="15">
        <f>($G561-$E561)*100</f>
        <v/>
      </c>
      <c r="Q561" s="15">
        <f>($G561-$C561)*100</f>
        <v/>
      </c>
      <c r="R561" s="15">
        <f>IF($H561="","",($H561-$F561)*100)</f>
        <v/>
      </c>
      <c r="S561" s="15">
        <f>IF($H561="","",($H561-$G561)*100)</f>
        <v/>
      </c>
    </row>
    <row r="562">
      <c r="A562" s="11" t="n">
        <v>40417</v>
      </c>
      <c r="B562" s="22" t="n">
        <v>0.112</v>
      </c>
      <c r="C562" s="22" t="n">
        <v>0.129</v>
      </c>
      <c r="D562" s="22" t="n">
        <v>0.296</v>
      </c>
      <c r="E562" s="22" t="n">
        <v>1.029</v>
      </c>
      <c r="F562" s="22" t="n">
        <v>1.691</v>
      </c>
      <c r="G562" s="22" t="n">
        <v>1.799</v>
      </c>
      <c r="H562" s="22" t="n">
        <v>1.832</v>
      </c>
      <c r="I562" s="22" t="n">
        <v>3.69</v>
      </c>
      <c r="J562" s="22" t="n">
        <v>0.27</v>
      </c>
      <c r="K562" s="22" t="n">
        <v>2.66</v>
      </c>
      <c r="L562" s="17">
        <f>$J562-$B562</f>
        <v/>
      </c>
      <c r="M562" s="17">
        <f>$I562-$L562</f>
        <v/>
      </c>
      <c r="N562" s="23">
        <f>($G562-$M562)*100</f>
        <v/>
      </c>
      <c r="O562" s="15">
        <f>($E562-$C562)*100</f>
        <v/>
      </c>
      <c r="P562" s="15">
        <f>($G562-$E562)*100</f>
        <v/>
      </c>
      <c r="Q562" s="15">
        <f>($G562-$C562)*100</f>
        <v/>
      </c>
      <c r="R562" s="15">
        <f>IF($H562="","",($H562-$F562)*100)</f>
        <v/>
      </c>
      <c r="S562" s="15">
        <f>IF($H562="","",($H562-$G562)*100)</f>
        <v/>
      </c>
    </row>
    <row r="563">
      <c r="A563" s="11" t="n">
        <v>40424</v>
      </c>
      <c r="B563" s="22" t="n">
        <v>0.107</v>
      </c>
      <c r="C563" s="22" t="n">
        <v>0.129</v>
      </c>
      <c r="D563" s="22" t="n">
        <v>0.331</v>
      </c>
      <c r="E563" s="22" t="n">
        <v>1.123</v>
      </c>
      <c r="F563" s="22" t="n">
        <v>1.841</v>
      </c>
      <c r="G563" s="22" t="n">
        <v>1.976</v>
      </c>
      <c r="H563" s="22" t="n">
        <v>1.999</v>
      </c>
      <c r="I563" s="22" t="n">
        <v>3.79</v>
      </c>
      <c r="J563" s="22" t="n">
        <v>0.25</v>
      </c>
      <c r="K563" s="22" t="n">
        <v>2.72</v>
      </c>
      <c r="L563" s="17">
        <f>$J563-$B563</f>
        <v/>
      </c>
      <c r="M563" s="17">
        <f>$I563-$L563</f>
        <v/>
      </c>
      <c r="N563" s="23">
        <f>($G563-$M563)*100</f>
        <v/>
      </c>
      <c r="O563" s="15">
        <f>($E563-$C563)*100</f>
        <v/>
      </c>
      <c r="P563" s="15">
        <f>($G563-$E563)*100</f>
        <v/>
      </c>
      <c r="Q563" s="15">
        <f>($G563-$C563)*100</f>
        <v/>
      </c>
      <c r="R563" s="15">
        <f>IF($H563="","",($H563-$F563)*100)</f>
        <v/>
      </c>
      <c r="S563" s="15">
        <f>IF($H563="","",($H563-$G563)*100)</f>
        <v/>
      </c>
    </row>
    <row r="564">
      <c r="A564" s="11" t="n">
        <v>40431</v>
      </c>
      <c r="B564" s="22" t="n">
        <v>0.112</v>
      </c>
      <c r="C564" s="22" t="n">
        <v>0.144</v>
      </c>
      <c r="D564" s="22" t="n">
        <v>0.376</v>
      </c>
      <c r="E564" s="22" t="n">
        <v>1.14</v>
      </c>
      <c r="F564" s="22" t="n">
        <v>1.885</v>
      </c>
      <c r="G564" s="22" t="n">
        <v>2.016</v>
      </c>
      <c r="H564" s="22" t="n">
        <v>2.037</v>
      </c>
      <c r="I564" s="22" t="n">
        <v>3.88</v>
      </c>
      <c r="J564" s="22" t="n">
        <v>0.27</v>
      </c>
      <c r="K564" s="22" t="n">
        <v>2.81</v>
      </c>
      <c r="L564" s="17">
        <f>$J564-$B564</f>
        <v/>
      </c>
      <c r="M564" s="17">
        <f>$I564-$L564</f>
        <v/>
      </c>
      <c r="N564" s="23">
        <f>($G564-$M564)*100</f>
        <v/>
      </c>
      <c r="O564" s="15">
        <f>($E564-$C564)*100</f>
        <v/>
      </c>
      <c r="P564" s="15">
        <f>($G564-$E564)*100</f>
        <v/>
      </c>
      <c r="Q564" s="15">
        <f>($G564-$C564)*100</f>
        <v/>
      </c>
      <c r="R564" s="15">
        <f>IF($H564="","",($H564-$F564)*100)</f>
        <v/>
      </c>
      <c r="S564" s="15">
        <f>IF($H564="","",($H564-$G564)*100)</f>
        <v/>
      </c>
    </row>
    <row r="565">
      <c r="A565" s="11" t="n">
        <v>40438</v>
      </c>
      <c r="B565" s="22" t="n">
        <v>0.119</v>
      </c>
      <c r="C565" s="22" t="n">
        <v>0.125</v>
      </c>
      <c r="D565" s="22" t="n">
        <v>0.3</v>
      </c>
      <c r="E565" s="22" t="n">
        <v>1.066</v>
      </c>
      <c r="F565" s="22" t="n">
        <v>1.847</v>
      </c>
      <c r="G565" s="22" t="n">
        <v>1.974</v>
      </c>
      <c r="H565" s="22" t="n">
        <v>2</v>
      </c>
      <c r="I565" s="22" t="n">
        <v>3.9</v>
      </c>
      <c r="J565" s="22" t="n">
        <v>0.26</v>
      </c>
      <c r="K565" s="22" t="n">
        <v>2.75</v>
      </c>
      <c r="L565" s="17">
        <f>$J565-$B565</f>
        <v/>
      </c>
      <c r="M565" s="17">
        <f>$I565-$L565</f>
        <v/>
      </c>
      <c r="N565" s="23">
        <f>($G565-$M565)*100</f>
        <v/>
      </c>
      <c r="O565" s="15">
        <f>($E565-$C565)*100</f>
        <v/>
      </c>
      <c r="P565" s="15">
        <f>($G565-$E565)*100</f>
        <v/>
      </c>
      <c r="Q565" s="15">
        <f>($G565-$C565)*100</f>
        <v/>
      </c>
      <c r="R565" s="15">
        <f>IF($H565="","",($H565-$F565)*100)</f>
        <v/>
      </c>
      <c r="S565" s="15">
        <f>IF($H565="","",($H565-$G565)*100)</f>
        <v/>
      </c>
    </row>
    <row r="566">
      <c r="A566" s="11" t="n">
        <v>40445</v>
      </c>
      <c r="B566" s="22" t="n">
        <v>0.115</v>
      </c>
      <c r="C566" s="22" t="n">
        <v>0.131</v>
      </c>
      <c r="D566" s="22" t="n">
        <v>0.286</v>
      </c>
      <c r="E566" s="22" t="n">
        <v>0.997</v>
      </c>
      <c r="F566" s="22" t="n">
        <v>1.746</v>
      </c>
      <c r="G566" s="22" t="n">
        <v>1.874</v>
      </c>
      <c r="H566" s="22" t="n">
        <v>1.896</v>
      </c>
      <c r="I566" s="22" t="n">
        <v>3.79</v>
      </c>
      <c r="J566" s="22" t="n">
        <v>0.25</v>
      </c>
      <c r="K566" s="22" t="n">
        <v>2.62</v>
      </c>
      <c r="L566" s="17">
        <f>$J566-$B566</f>
        <v/>
      </c>
      <c r="M566" s="17">
        <f>$I566-$L566</f>
        <v/>
      </c>
      <c r="N566" s="23">
        <f>($G566-$M566)*100</f>
        <v/>
      </c>
      <c r="O566" s="15">
        <f>($E566-$C566)*100</f>
        <v/>
      </c>
      <c r="P566" s="15">
        <f>($G566-$E566)*100</f>
        <v/>
      </c>
      <c r="Q566" s="15">
        <f>($G566-$C566)*100</f>
        <v/>
      </c>
      <c r="R566" s="15">
        <f>IF($H566="","",($H566-$F566)*100)</f>
        <v/>
      </c>
      <c r="S566" s="15">
        <f>IF($H566="","",($H566-$G566)*100)</f>
        <v/>
      </c>
    </row>
    <row r="567">
      <c r="A567" s="11" t="n">
        <v>40452</v>
      </c>
      <c r="B567" s="22" t="n">
        <v>0.112</v>
      </c>
      <c r="C567" s="22" t="n">
        <v>0.128</v>
      </c>
      <c r="D567" s="22" t="n">
        <v>0.254</v>
      </c>
      <c r="E567" s="22" t="n">
        <v>0.962</v>
      </c>
      <c r="F567" s="22" t="n">
        <v>1.72</v>
      </c>
      <c r="G567" s="22" t="n">
        <v>1.861</v>
      </c>
      <c r="H567" s="22" t="n">
        <v>1.88</v>
      </c>
      <c r="I567" s="22" t="n">
        <v>3.71</v>
      </c>
      <c r="J567" s="22" t="n">
        <v>0.26</v>
      </c>
      <c r="K567" s="22" t="n">
        <v>2.54</v>
      </c>
      <c r="L567" s="17">
        <f>$J567-$B567</f>
        <v/>
      </c>
      <c r="M567" s="17">
        <f>$I567-$L567</f>
        <v/>
      </c>
      <c r="N567" s="23">
        <f>($G567-$M567)*100</f>
        <v/>
      </c>
      <c r="O567" s="15">
        <f>($E567-$C567)*100</f>
        <v/>
      </c>
      <c r="P567" s="15">
        <f>($G567-$E567)*100</f>
        <v/>
      </c>
      <c r="Q567" s="15">
        <f>($G567-$C567)*100</f>
        <v/>
      </c>
      <c r="R567" s="15">
        <f>IF($H567="","",($H567-$F567)*100)</f>
        <v/>
      </c>
      <c r="S567" s="15">
        <f>IF($H567="","",($H567-$G567)*100)</f>
        <v/>
      </c>
    </row>
    <row r="568">
      <c r="A568" s="11" t="n">
        <v>40459</v>
      </c>
      <c r="B568" s="22" t="n">
        <v>0.111</v>
      </c>
      <c r="C568" s="22" t="n">
        <v>0.119</v>
      </c>
      <c r="D568" s="22" t="n">
        <v>0.228</v>
      </c>
      <c r="E568" s="22" t="n">
        <v>0.87</v>
      </c>
      <c r="F568" s="22" t="n">
        <v>1.726</v>
      </c>
      <c r="G568" s="22" t="n">
        <v>1.912</v>
      </c>
      <c r="H568" s="22" t="n">
        <v>1.959</v>
      </c>
      <c r="I568" s="22" t="n">
        <v>3.75</v>
      </c>
      <c r="J568" s="22" t="n">
        <v>0.21</v>
      </c>
      <c r="K568" s="22" t="n">
        <v>2.41</v>
      </c>
      <c r="L568" s="17">
        <f>$J568-$B568</f>
        <v/>
      </c>
      <c r="M568" s="17">
        <f>$I568-$L568</f>
        <v/>
      </c>
      <c r="N568" s="23">
        <f>($G568-$M568)*100</f>
        <v/>
      </c>
      <c r="O568" s="15">
        <f>($E568-$C568)*100</f>
        <v/>
      </c>
      <c r="P568" s="15">
        <f>($G568-$E568)*100</f>
        <v/>
      </c>
      <c r="Q568" s="15">
        <f>($G568-$C568)*100</f>
        <v/>
      </c>
      <c r="R568" s="15">
        <f>IF($H568="","",($H568-$F568)*100)</f>
        <v/>
      </c>
      <c r="S568" s="15">
        <f>IF($H568="","",($H568-$G568)*100)</f>
        <v/>
      </c>
    </row>
    <row r="569">
      <c r="A569" s="11" t="n">
        <v>40466</v>
      </c>
      <c r="B569" s="22" t="n">
        <v>0.11</v>
      </c>
      <c r="C569" s="22" t="n">
        <v>0.125</v>
      </c>
      <c r="D569" s="22" t="n">
        <v>0.26</v>
      </c>
      <c r="E569" s="22" t="n">
        <v>0.883</v>
      </c>
      <c r="F569" s="22" t="n">
        <v>1.765</v>
      </c>
      <c r="G569" s="22" t="n">
        <v>1.958</v>
      </c>
      <c r="H569" s="22" t="n">
        <v>2.012</v>
      </c>
      <c r="I569" s="22" t="n">
        <v>3.98</v>
      </c>
      <c r="J569" s="22" t="n">
        <v>0.22</v>
      </c>
      <c r="K569" s="22" t="n">
        <v>2.59</v>
      </c>
      <c r="L569" s="17">
        <f>$J569-$B569</f>
        <v/>
      </c>
      <c r="M569" s="17">
        <f>$I569-$L569</f>
        <v/>
      </c>
      <c r="N569" s="23">
        <f>($G569-$M569)*100</f>
        <v/>
      </c>
      <c r="O569" s="15">
        <f>($E569-$C569)*100</f>
        <v/>
      </c>
      <c r="P569" s="15">
        <f>($G569-$E569)*100</f>
        <v/>
      </c>
      <c r="Q569" s="15">
        <f>($G569-$C569)*100</f>
        <v/>
      </c>
      <c r="R569" s="15">
        <f>IF($H569="","",($H569-$F569)*100)</f>
        <v/>
      </c>
      <c r="S569" s="15">
        <f>IF($H569="","",($H569-$G569)*100)</f>
        <v/>
      </c>
    </row>
    <row r="570">
      <c r="A570" s="11" t="n">
        <v>40473</v>
      </c>
      <c r="B570" s="22" t="n">
        <v>0.109</v>
      </c>
      <c r="C570" s="22" t="n">
        <v>0.136</v>
      </c>
      <c r="D570" s="22" t="n">
        <v>0.29</v>
      </c>
      <c r="E570" s="22" t="n">
        <v>0.894</v>
      </c>
      <c r="F570" s="22" t="n">
        <v>1.763</v>
      </c>
      <c r="G570" s="22" t="n">
        <v>1.951</v>
      </c>
      <c r="H570" s="22" t="n">
        <v>2.012</v>
      </c>
      <c r="I570" s="22" t="n">
        <v>3.94</v>
      </c>
      <c r="J570" s="22" t="n">
        <v>0.21</v>
      </c>
      <c r="K570" s="22" t="n">
        <v>2.59</v>
      </c>
      <c r="L570" s="17">
        <f>$J570-$B570</f>
        <v/>
      </c>
      <c r="M570" s="17">
        <f>$I570-$L570</f>
        <v/>
      </c>
      <c r="N570" s="23">
        <f>($G570-$M570)*100</f>
        <v/>
      </c>
      <c r="O570" s="15">
        <f>($E570-$C570)*100</f>
        <v/>
      </c>
      <c r="P570" s="15">
        <f>($G570-$E570)*100</f>
        <v/>
      </c>
      <c r="Q570" s="15">
        <f>($G570-$C570)*100</f>
        <v/>
      </c>
      <c r="R570" s="15">
        <f>IF($H570="","",($H570-$F570)*100)</f>
        <v/>
      </c>
      <c r="S570" s="15">
        <f>IF($H570="","",($H570-$G570)*100)</f>
        <v/>
      </c>
    </row>
    <row r="571">
      <c r="A571" s="11" t="n">
        <v>40480</v>
      </c>
      <c r="B571" s="22" t="n">
        <v>0.117</v>
      </c>
      <c r="C571" s="22" t="n">
        <v>0.137</v>
      </c>
      <c r="D571" s="22" t="n">
        <v>0.301</v>
      </c>
      <c r="E571" s="22" t="n">
        <v>0.9370000000000001</v>
      </c>
      <c r="F571" s="22" t="n">
        <v>1.819</v>
      </c>
      <c r="G571" s="22" t="n">
        <v>1.979</v>
      </c>
      <c r="H571" s="22" t="n">
        <v>2.038</v>
      </c>
      <c r="I571" s="22" t="n">
        <v>3.99</v>
      </c>
      <c r="J571" s="22" t="n">
        <v>0.22</v>
      </c>
      <c r="K571" s="22" t="n">
        <v>2.63</v>
      </c>
      <c r="L571" s="17">
        <f>$J571-$B571</f>
        <v/>
      </c>
      <c r="M571" s="17">
        <f>$I571-$L571</f>
        <v/>
      </c>
      <c r="N571" s="23">
        <f>($G571-$M571)*100</f>
        <v/>
      </c>
      <c r="O571" s="15">
        <f>($E571-$C571)*100</f>
        <v/>
      </c>
      <c r="P571" s="15">
        <f>($G571-$E571)*100</f>
        <v/>
      </c>
      <c r="Q571" s="15">
        <f>($G571-$C571)*100</f>
        <v/>
      </c>
      <c r="R571" s="15">
        <f>IF($H571="","",($H571-$F571)*100)</f>
        <v/>
      </c>
      <c r="S571" s="15">
        <f>IF($H571="","",($H571-$G571)*100)</f>
        <v/>
      </c>
    </row>
    <row r="572">
      <c r="A572" s="11" t="n">
        <v>40487</v>
      </c>
      <c r="B572" s="22" t="n">
        <v>0.121</v>
      </c>
      <c r="C572" s="22" t="n">
        <v>0.135</v>
      </c>
      <c r="D572" s="22" t="n">
        <v>0.311</v>
      </c>
      <c r="E572" s="22" t="n">
        <v>0.9409999999999999</v>
      </c>
      <c r="F572" s="22" t="n">
        <v>1.825</v>
      </c>
      <c r="G572" s="22" t="n">
        <v>1.99</v>
      </c>
      <c r="H572" s="22" t="n">
        <v>2.058</v>
      </c>
      <c r="I572" s="22" t="n">
        <v>4.12</v>
      </c>
      <c r="J572" s="22" t="n">
        <v>0.22</v>
      </c>
      <c r="K572" s="22" t="n">
        <v>2.58</v>
      </c>
      <c r="L572" s="17">
        <f>$J572-$B572</f>
        <v/>
      </c>
      <c r="M572" s="17">
        <f>$I572-$L572</f>
        <v/>
      </c>
      <c r="N572" s="23">
        <f>($G572-$M572)*100</f>
        <v/>
      </c>
      <c r="O572" s="15">
        <f>($E572-$C572)*100</f>
        <v/>
      </c>
      <c r="P572" s="15">
        <f>($G572-$E572)*100</f>
        <v/>
      </c>
      <c r="Q572" s="15">
        <f>($G572-$C572)*100</f>
        <v/>
      </c>
      <c r="R572" s="15">
        <f>IF($H572="","",($H572-$F572)*100)</f>
        <v/>
      </c>
      <c r="S572" s="15">
        <f>IF($H572="","",($H572-$G572)*100)</f>
        <v/>
      </c>
    </row>
    <row r="573">
      <c r="A573" s="11" t="n">
        <v>40494</v>
      </c>
      <c r="B573" s="22" t="n">
        <v>0.12</v>
      </c>
      <c r="C573" s="22" t="n">
        <v>0.149</v>
      </c>
      <c r="D573" s="22" t="n">
        <v>0.352</v>
      </c>
      <c r="E573" s="22" t="n">
        <v>1.01</v>
      </c>
      <c r="F573" s="22" t="n">
        <v>1.887</v>
      </c>
      <c r="G573" s="22" t="n">
        <v>2.027</v>
      </c>
      <c r="H573" s="22" t="n">
        <v>2.088</v>
      </c>
      <c r="I573" s="22" t="n">
        <v>4.26</v>
      </c>
      <c r="J573" s="22" t="n">
        <v>0.27</v>
      </c>
      <c r="K573" s="22" t="n">
        <v>2.76</v>
      </c>
      <c r="L573" s="17">
        <f>$J573-$B573</f>
        <v/>
      </c>
      <c r="M573" s="17">
        <f>$I573-$L573</f>
        <v/>
      </c>
      <c r="N573" s="23">
        <f>($G573-$M573)*100</f>
        <v/>
      </c>
      <c r="O573" s="15">
        <f>($E573-$C573)*100</f>
        <v/>
      </c>
      <c r="P573" s="15">
        <f>($G573-$E573)*100</f>
        <v/>
      </c>
      <c r="Q573" s="15">
        <f>($G573-$C573)*100</f>
        <v/>
      </c>
      <c r="R573" s="15">
        <f>IF($H573="","",($H573-$F573)*100)</f>
        <v/>
      </c>
      <c r="S573" s="15">
        <f>IF($H573="","",($H573-$G573)*100)</f>
        <v/>
      </c>
    </row>
    <row r="574">
      <c r="A574" s="11" t="n">
        <v>40501</v>
      </c>
      <c r="B574" s="22" t="n">
        <v>0.138</v>
      </c>
      <c r="C574" s="22" t="n">
        <v>0.156</v>
      </c>
      <c r="D574" s="22" t="n">
        <v>0.39</v>
      </c>
      <c r="E574" s="22" t="n">
        <v>1.071</v>
      </c>
      <c r="F574" s="22" t="n">
        <v>1.906</v>
      </c>
      <c r="G574" s="22" t="n">
        <v>2.06</v>
      </c>
      <c r="H574" s="22" t="n">
        <v>2.115</v>
      </c>
      <c r="I574" s="22" t="n">
        <v>4.25</v>
      </c>
      <c r="J574" s="22" t="n">
        <v>0.27</v>
      </c>
      <c r="K574" s="22" t="n">
        <v>2.88</v>
      </c>
      <c r="L574" s="17">
        <f>$J574-$B574</f>
        <v/>
      </c>
      <c r="M574" s="17">
        <f>$I574-$L574</f>
        <v/>
      </c>
      <c r="N574" s="23">
        <f>($G574-$M574)*100</f>
        <v/>
      </c>
      <c r="O574" s="15">
        <f>($E574-$C574)*100</f>
        <v/>
      </c>
      <c r="P574" s="15">
        <f>($G574-$E574)*100</f>
        <v/>
      </c>
      <c r="Q574" s="15">
        <f>($G574-$C574)*100</f>
        <v/>
      </c>
      <c r="R574" s="15">
        <f>IF($H574="","",($H574-$F574)*100)</f>
        <v/>
      </c>
      <c r="S574" s="15">
        <f>IF($H574="","",($H574-$G574)*100)</f>
        <v/>
      </c>
    </row>
    <row r="575">
      <c r="A575" s="11" t="n">
        <v>40508</v>
      </c>
      <c r="B575" s="22" t="n">
        <v>0.149</v>
      </c>
      <c r="C575" s="22" t="n">
        <v>0.189</v>
      </c>
      <c r="D575" s="22" t="n">
        <v>0.478</v>
      </c>
      <c r="E575" s="22" t="n">
        <v>1.187</v>
      </c>
      <c r="F575" s="22" t="n">
        <v>1.942</v>
      </c>
      <c r="G575" s="22" t="n">
        <v>2.065</v>
      </c>
      <c r="H575" s="22" t="n">
        <v>2.104</v>
      </c>
      <c r="I575" s="22" t="n">
        <v>4.21</v>
      </c>
      <c r="J575" s="22" t="n">
        <v>0.28</v>
      </c>
      <c r="K575" s="22" t="n">
        <v>2.87</v>
      </c>
      <c r="L575" s="17">
        <f>$J575-$B575</f>
        <v/>
      </c>
      <c r="M575" s="17">
        <f>$I575-$L575</f>
        <v/>
      </c>
      <c r="N575" s="23">
        <f>($G575-$M575)*100</f>
        <v/>
      </c>
      <c r="O575" s="15">
        <f>($E575-$C575)*100</f>
        <v/>
      </c>
      <c r="P575" s="15">
        <f>($G575-$E575)*100</f>
        <v/>
      </c>
      <c r="Q575" s="15">
        <f>($G575-$C575)*100</f>
        <v/>
      </c>
      <c r="R575" s="15">
        <f>IF($H575="","",($H575-$F575)*100)</f>
        <v/>
      </c>
      <c r="S575" s="15">
        <f>IF($H575="","",($H575-$G575)*100)</f>
        <v/>
      </c>
    </row>
    <row r="576">
      <c r="A576" s="11" t="n">
        <v>40515</v>
      </c>
      <c r="B576" s="22" t="n">
        <v>0.154</v>
      </c>
      <c r="C576" s="22" t="n">
        <v>0.184</v>
      </c>
      <c r="D576" s="22" t="n">
        <v>0.45</v>
      </c>
      <c r="E576" s="22" t="n">
        <v>1.2</v>
      </c>
      <c r="F576" s="22" t="n">
        <v>2.017</v>
      </c>
      <c r="G576" s="22" t="n">
        <v>2.118</v>
      </c>
      <c r="H576" s="22" t="n">
        <v>2.147</v>
      </c>
      <c r="I576" s="22" t="n">
        <v>4.32</v>
      </c>
      <c r="J576" s="22" t="n">
        <v>0.26</v>
      </c>
      <c r="K576" s="22" t="n">
        <v>3.03</v>
      </c>
      <c r="L576" s="17">
        <f>$J576-$B576</f>
        <v/>
      </c>
      <c r="M576" s="17">
        <f>$I576-$L576</f>
        <v/>
      </c>
      <c r="N576" s="23">
        <f>($G576-$M576)*100</f>
        <v/>
      </c>
      <c r="O576" s="15">
        <f>($E576-$C576)*100</f>
        <v/>
      </c>
      <c r="P576" s="15">
        <f>($G576-$E576)*100</f>
        <v/>
      </c>
      <c r="Q576" s="15">
        <f>($G576-$C576)*100</f>
        <v/>
      </c>
      <c r="R576" s="15">
        <f>IF($H576="","",($H576-$F576)*100)</f>
        <v/>
      </c>
      <c r="S576" s="15">
        <f>IF($H576="","",($H576-$G576)*100)</f>
        <v/>
      </c>
    </row>
    <row r="577">
      <c r="A577" s="11" t="n">
        <v>40522</v>
      </c>
      <c r="B577" s="22" t="n">
        <v>0.159</v>
      </c>
      <c r="C577" s="22" t="n">
        <v>0.219</v>
      </c>
      <c r="D577" s="22" t="n">
        <v>0.518</v>
      </c>
      <c r="E577" s="22" t="n">
        <v>1.195</v>
      </c>
      <c r="F577" s="22" t="n">
        <v>2.057</v>
      </c>
      <c r="G577" s="22" t="n">
        <v>2.167</v>
      </c>
      <c r="H577" s="22" t="n">
        <v>2.198</v>
      </c>
      <c r="I577" s="22" t="n">
        <v>4.43</v>
      </c>
      <c r="J577" s="22" t="n">
        <v>0.29</v>
      </c>
      <c r="K577" s="22" t="n">
        <v>3.32</v>
      </c>
      <c r="L577" s="17">
        <f>$J577-$B577</f>
        <v/>
      </c>
      <c r="M577" s="17">
        <f>$I577-$L577</f>
        <v/>
      </c>
      <c r="N577" s="23">
        <f>($G577-$M577)*100</f>
        <v/>
      </c>
      <c r="O577" s="15">
        <f>($E577-$C577)*100</f>
        <v/>
      </c>
      <c r="P577" s="15">
        <f>($G577-$E577)*100</f>
        <v/>
      </c>
      <c r="Q577" s="15">
        <f>($G577-$C577)*100</f>
        <v/>
      </c>
      <c r="R577" s="15">
        <f>IF($H577="","",($H577-$F577)*100)</f>
        <v/>
      </c>
      <c r="S577" s="15">
        <f>IF($H577="","",($H577-$G577)*100)</f>
        <v/>
      </c>
    </row>
    <row r="578">
      <c r="A578" s="11" t="n">
        <v>40529</v>
      </c>
      <c r="B578" s="22" t="n">
        <v>0.159</v>
      </c>
      <c r="C578" s="22" t="n">
        <v>0.2</v>
      </c>
      <c r="D578" s="22" t="n">
        <v>0.471</v>
      </c>
      <c r="E578" s="22" t="n">
        <v>1.191</v>
      </c>
      <c r="F578" s="22" t="n">
        <v>1.987</v>
      </c>
      <c r="G578" s="22" t="n">
        <v>2.092</v>
      </c>
      <c r="H578" s="22" t="n">
        <v>2.123</v>
      </c>
      <c r="I578" s="22" t="n">
        <v>4.41</v>
      </c>
      <c r="J578" s="22" t="n">
        <v>0.3</v>
      </c>
      <c r="K578" s="22" t="n">
        <v>3.33</v>
      </c>
      <c r="L578" s="17">
        <f>$J578-$B578</f>
        <v/>
      </c>
      <c r="M578" s="17">
        <f>$I578-$L578</f>
        <v/>
      </c>
      <c r="N578" s="23">
        <f>($G578-$M578)*100</f>
        <v/>
      </c>
      <c r="O578" s="15">
        <f>($E578-$C578)*100</f>
        <v/>
      </c>
      <c r="P578" s="15">
        <f>($G578-$E578)*100</f>
        <v/>
      </c>
      <c r="Q578" s="15">
        <f>($G578-$C578)*100</f>
        <v/>
      </c>
      <c r="R578" s="15">
        <f>IF($H578="","",($H578-$F578)*100)</f>
        <v/>
      </c>
      <c r="S578" s="15">
        <f>IF($H578="","",($H578-$G578)*100)</f>
        <v/>
      </c>
    </row>
    <row r="579">
      <c r="A579" s="11" t="n">
        <v>40536</v>
      </c>
      <c r="B579" s="22" t="n">
        <v>0.158</v>
      </c>
      <c r="C579" s="22" t="n">
        <v>0.214</v>
      </c>
      <c r="D579" s="22" t="n">
        <v>0.483</v>
      </c>
      <c r="E579" s="22" t="n">
        <v>1.154</v>
      </c>
      <c r="F579" s="22" t="n">
        <v>1.917</v>
      </c>
      <c r="G579" s="22" t="n">
        <v>2.047</v>
      </c>
      <c r="H579" s="22" t="n">
        <v>2.079</v>
      </c>
      <c r="I579" s="22" t="n">
        <v>4.47</v>
      </c>
      <c r="J579" s="22" t="n">
        <v>0.3</v>
      </c>
      <c r="K579" s="22" t="n">
        <v>3.41</v>
      </c>
      <c r="L579" s="17">
        <f>$J579-$B579</f>
        <v/>
      </c>
      <c r="M579" s="17">
        <f>$I579-$L579</f>
        <v/>
      </c>
      <c r="N579" s="23">
        <f>($G579-$M579)*100</f>
        <v/>
      </c>
      <c r="O579" s="15">
        <f>($E579-$C579)*100</f>
        <v/>
      </c>
      <c r="P579" s="15">
        <f>($G579-$E579)*100</f>
        <v/>
      </c>
      <c r="Q579" s="15">
        <f>($G579-$C579)*100</f>
        <v/>
      </c>
      <c r="R579" s="15">
        <f>IF($H579="","",($H579-$F579)*100)</f>
        <v/>
      </c>
      <c r="S579" s="15">
        <f>IF($H579="","",($H579-$G579)*100)</f>
        <v/>
      </c>
    </row>
    <row r="580">
      <c r="A580" s="11" t="n">
        <v>40543</v>
      </c>
      <c r="B580" s="22" t="n">
        <v>0.143</v>
      </c>
      <c r="C580" s="22" t="n">
        <v>0.167</v>
      </c>
      <c r="D580" s="22" t="n">
        <v>0.399</v>
      </c>
      <c r="E580" s="22" t="n">
        <v>1.127</v>
      </c>
      <c r="F580" s="22" t="n">
        <v>1.881</v>
      </c>
      <c r="G580" s="22" t="n">
        <v>1.994</v>
      </c>
      <c r="H580" s="22" t="n">
        <v>2.03</v>
      </c>
      <c r="I580" s="22" t="n">
        <v>4.34</v>
      </c>
      <c r="J580" s="22" t="n">
        <v>0.29</v>
      </c>
      <c r="K580" s="22" t="n">
        <v>3.3</v>
      </c>
      <c r="L580" s="17">
        <f>$J580-$B580</f>
        <v/>
      </c>
      <c r="M580" s="17">
        <f>$I580-$L580</f>
        <v/>
      </c>
      <c r="N580" s="23">
        <f>($G580-$M580)*100</f>
        <v/>
      </c>
      <c r="O580" s="15">
        <f>($E580-$C580)*100</f>
        <v/>
      </c>
      <c r="P580" s="15">
        <f>($G580-$E580)*100</f>
        <v/>
      </c>
      <c r="Q580" s="15">
        <f>($G580-$C580)*100</f>
        <v/>
      </c>
      <c r="R580" s="15">
        <f>IF($H580="","",($H580-$F580)*100)</f>
        <v/>
      </c>
      <c r="S580" s="15">
        <f>IF($H580="","",($H580-$G580)*100)</f>
        <v/>
      </c>
    </row>
    <row r="581">
      <c r="A581" s="11" t="n">
        <v>40550</v>
      </c>
      <c r="B581" s="22" t="n">
        <v>0.14</v>
      </c>
      <c r="C581" s="22" t="n">
        <v>0.173</v>
      </c>
      <c r="D581" s="22" t="n">
        <v>0.47</v>
      </c>
      <c r="E581" s="22" t="n">
        <v>1.2</v>
      </c>
      <c r="F581" s="22" t="n">
        <v>1.961</v>
      </c>
      <c r="G581" s="22" t="n">
        <v>2.075</v>
      </c>
      <c r="H581" s="22" t="n">
        <v>2.121</v>
      </c>
      <c r="I581" s="22" t="n">
        <v>4.48</v>
      </c>
      <c r="J581" s="22" t="n">
        <v>0.29</v>
      </c>
      <c r="K581" s="22" t="n">
        <v>3.34</v>
      </c>
      <c r="L581" s="17">
        <f>$J581-$B581</f>
        <v/>
      </c>
      <c r="M581" s="17">
        <f>$I581-$L581</f>
        <v/>
      </c>
      <c r="N581" s="23">
        <f>($G581-$M581)*100</f>
        <v/>
      </c>
      <c r="O581" s="15">
        <f>($E581-$C581)*100</f>
        <v/>
      </c>
      <c r="P581" s="15">
        <f>($G581-$E581)*100</f>
        <v/>
      </c>
      <c r="Q581" s="15">
        <f>($G581-$C581)*100</f>
        <v/>
      </c>
      <c r="R581" s="15">
        <f>IF($H581="","",($H581-$F581)*100)</f>
        <v/>
      </c>
      <c r="S581" s="15">
        <f>IF($H581="","",($H581-$G581)*100)</f>
        <v/>
      </c>
    </row>
    <row r="582">
      <c r="A582" s="11" t="n">
        <v>40557</v>
      </c>
      <c r="B582" s="22" t="n">
        <v>0.139</v>
      </c>
      <c r="C582" s="22" t="n">
        <v>0.185</v>
      </c>
      <c r="D582" s="22" t="n">
        <v>0.492</v>
      </c>
      <c r="E582" s="22" t="n">
        <v>1.203</v>
      </c>
      <c r="F582" s="22" t="n">
        <v>2.023</v>
      </c>
      <c r="G582" s="22" t="n">
        <v>2.129</v>
      </c>
      <c r="H582" s="22" t="n">
        <v>2.196</v>
      </c>
      <c r="I582" s="22" t="n">
        <v>4.53</v>
      </c>
      <c r="J582" s="22" t="n">
        <v>0.27</v>
      </c>
      <c r="K582" s="22" t="n">
        <v>3.35</v>
      </c>
      <c r="L582" s="17">
        <f>$J582-$B582</f>
        <v/>
      </c>
      <c r="M582" s="17">
        <f>$I582-$L582</f>
        <v/>
      </c>
      <c r="N582" s="23">
        <f>($G582-$M582)*100</f>
        <v/>
      </c>
      <c r="O582" s="15">
        <f>($E582-$C582)*100</f>
        <v/>
      </c>
      <c r="P582" s="15">
        <f>($G582-$E582)*100</f>
        <v/>
      </c>
      <c r="Q582" s="15">
        <f>($G582-$C582)*100</f>
        <v/>
      </c>
      <c r="R582" s="15">
        <f>IF($H582="","",($H582-$F582)*100)</f>
        <v/>
      </c>
      <c r="S582" s="15">
        <f>IF($H582="","",($H582-$G582)*100)</f>
        <v/>
      </c>
    </row>
    <row r="583">
      <c r="A583" s="11" t="n">
        <v>40564</v>
      </c>
      <c r="B583" s="22" t="n">
        <v>0.148</v>
      </c>
      <c r="C583" s="22" t="n">
        <v>0.186</v>
      </c>
      <c r="D583" s="22" t="n">
        <v>0.494</v>
      </c>
      <c r="E583" s="22" t="n">
        <v>1.217</v>
      </c>
      <c r="F583" s="22" t="n">
        <v>1.994</v>
      </c>
      <c r="G583" s="22" t="n">
        <v>2.12</v>
      </c>
      <c r="H583" s="22" t="n">
        <v>2.191</v>
      </c>
      <c r="I583" s="22" t="n">
        <v>4.57</v>
      </c>
      <c r="J583" s="22" t="n">
        <v>0.27</v>
      </c>
      <c r="K583" s="22" t="n">
        <v>3.44</v>
      </c>
      <c r="L583" s="17">
        <f>$J583-$B583</f>
        <v/>
      </c>
      <c r="M583" s="17">
        <f>$I583-$L583</f>
        <v/>
      </c>
      <c r="N583" s="23">
        <f>($G583-$M583)*100</f>
        <v/>
      </c>
      <c r="O583" s="15">
        <f>($E583-$C583)*100</f>
        <v/>
      </c>
      <c r="P583" s="15">
        <f>($G583-$E583)*100</f>
        <v/>
      </c>
      <c r="Q583" s="15">
        <f>($G583-$C583)*100</f>
        <v/>
      </c>
      <c r="R583" s="15">
        <f>IF($H583="","",($H583-$F583)*100)</f>
        <v/>
      </c>
      <c r="S583" s="15">
        <f>IF($H583="","",($H583-$G583)*100)</f>
        <v/>
      </c>
    </row>
    <row r="584">
      <c r="A584" s="11" t="n">
        <v>40571</v>
      </c>
      <c r="B584" s="22" t="n">
        <v>0.15</v>
      </c>
      <c r="C584" s="22" t="n">
        <v>0.195</v>
      </c>
      <c r="D584" s="22" t="n">
        <v>0.489</v>
      </c>
      <c r="E584" s="22" t="n">
        <v>1.224</v>
      </c>
      <c r="F584" s="22" t="n">
        <v>1.981</v>
      </c>
      <c r="G584" s="22" t="n">
        <v>2.108</v>
      </c>
      <c r="H584" s="22" t="n">
        <v>2.178</v>
      </c>
      <c r="I584" s="22" t="n">
        <v>4.53</v>
      </c>
      <c r="J584" s="22" t="n">
        <v>0.24</v>
      </c>
      <c r="K584" s="22" t="n">
        <v>3.36</v>
      </c>
      <c r="L584" s="17">
        <f>$J584-$B584</f>
        <v/>
      </c>
      <c r="M584" s="17">
        <f>$I584-$L584</f>
        <v/>
      </c>
      <c r="N584" s="23">
        <f>($G584-$M584)*100</f>
        <v/>
      </c>
      <c r="O584" s="15">
        <f>($E584-$C584)*100</f>
        <v/>
      </c>
      <c r="P584" s="15">
        <f>($G584-$E584)*100</f>
        <v/>
      </c>
      <c r="Q584" s="15">
        <f>($G584-$C584)*100</f>
        <v/>
      </c>
      <c r="R584" s="15">
        <f>IF($H584="","",($H584-$F584)*100)</f>
        <v/>
      </c>
      <c r="S584" s="15">
        <f>IF($H584="","",($H584-$G584)*100)</f>
        <v/>
      </c>
    </row>
    <row r="585">
      <c r="A585" s="11" t="n">
        <v>40578</v>
      </c>
      <c r="B585" s="22" t="n">
        <v>0.149</v>
      </c>
      <c r="C585" s="22" t="n">
        <v>0.208</v>
      </c>
      <c r="D585" s="22" t="n">
        <v>0.5629999999999999</v>
      </c>
      <c r="E585" s="22" t="n">
        <v>1.288</v>
      </c>
      <c r="F585" s="22" t="n">
        <v>2.007</v>
      </c>
      <c r="G585" s="22" t="n">
        <v>2.143</v>
      </c>
      <c r="H585" s="22" t="n">
        <v>2.229</v>
      </c>
      <c r="I585" s="22" t="n">
        <v>4.73</v>
      </c>
      <c r="J585" s="22" t="n">
        <v>0.31</v>
      </c>
      <c r="K585" s="22" t="n">
        <v>3.68</v>
      </c>
      <c r="L585" s="17">
        <f>$J585-$B585</f>
        <v/>
      </c>
      <c r="M585" s="17">
        <f>$I585-$L585</f>
        <v/>
      </c>
      <c r="N585" s="23">
        <f>($G585-$M585)*100</f>
        <v/>
      </c>
      <c r="O585" s="15">
        <f>($E585-$C585)*100</f>
        <v/>
      </c>
      <c r="P585" s="15">
        <f>($G585-$E585)*100</f>
        <v/>
      </c>
      <c r="Q585" s="15">
        <f>($G585-$C585)*100</f>
        <v/>
      </c>
      <c r="R585" s="15">
        <f>IF($H585="","",($H585-$F585)*100)</f>
        <v/>
      </c>
      <c r="S585" s="15">
        <f>IF($H585="","",($H585-$G585)*100)</f>
        <v/>
      </c>
    </row>
    <row r="586">
      <c r="A586" s="11" t="n">
        <v>40585</v>
      </c>
      <c r="B586" s="22" t="n">
        <v>0.169</v>
      </c>
      <c r="C586" s="22" t="n">
        <v>0.238</v>
      </c>
      <c r="D586" s="22" t="n">
        <v>0.604</v>
      </c>
      <c r="E586" s="22" t="n">
        <v>1.312</v>
      </c>
      <c r="F586" s="22" t="n">
        <v>2.042</v>
      </c>
      <c r="G586" s="22" t="n">
        <v>2.143</v>
      </c>
      <c r="H586" s="22" t="n">
        <v>2.256</v>
      </c>
      <c r="I586" s="22" t="n">
        <v>4.71</v>
      </c>
      <c r="J586" s="22" t="n">
        <v>0.3</v>
      </c>
      <c r="K586" s="22" t="n">
        <v>3.64</v>
      </c>
      <c r="L586" s="17">
        <f>$J586-$B586</f>
        <v/>
      </c>
      <c r="M586" s="17">
        <f>$I586-$L586</f>
        <v/>
      </c>
      <c r="N586" s="23">
        <f>($G586-$M586)*100</f>
        <v/>
      </c>
      <c r="O586" s="15">
        <f>($E586-$C586)*100</f>
        <v/>
      </c>
      <c r="P586" s="15">
        <f>($G586-$E586)*100</f>
        <v/>
      </c>
      <c r="Q586" s="15">
        <f>($G586-$C586)*100</f>
        <v/>
      </c>
      <c r="R586" s="15">
        <f>IF($H586="","",($H586-$F586)*100)</f>
        <v/>
      </c>
      <c r="S586" s="15">
        <f>IF($H586="","",($H586-$G586)*100)</f>
        <v/>
      </c>
    </row>
    <row r="587">
      <c r="A587" s="11" t="n">
        <v>40592</v>
      </c>
      <c r="B587" s="22" t="n">
        <v>0.17</v>
      </c>
      <c r="C587" s="22" t="n">
        <v>0.226</v>
      </c>
      <c r="D587" s="22" t="n">
        <v>0.594</v>
      </c>
      <c r="E587" s="22" t="n">
        <v>1.311</v>
      </c>
      <c r="F587" s="22" t="n">
        <v>2.057</v>
      </c>
      <c r="G587" s="22" t="n">
        <v>2.158</v>
      </c>
      <c r="H587" s="22" t="n">
        <v>2.256</v>
      </c>
      <c r="I587" s="22" t="n">
        <v>4.7</v>
      </c>
      <c r="J587" s="22" t="n">
        <v>0.28</v>
      </c>
      <c r="K587" s="22" t="n">
        <v>3.59</v>
      </c>
      <c r="L587" s="17">
        <f>$J587-$B587</f>
        <v/>
      </c>
      <c r="M587" s="17">
        <f>$I587-$L587</f>
        <v/>
      </c>
      <c r="N587" s="23">
        <f>($G587-$M587)*100</f>
        <v/>
      </c>
      <c r="O587" s="15">
        <f>($E587-$C587)*100</f>
        <v/>
      </c>
      <c r="P587" s="15">
        <f>($G587-$E587)*100</f>
        <v/>
      </c>
      <c r="Q587" s="15">
        <f>($G587-$C587)*100</f>
        <v/>
      </c>
      <c r="R587" s="15">
        <f>IF($H587="","",($H587-$F587)*100)</f>
        <v/>
      </c>
      <c r="S587" s="15">
        <f>IF($H587="","",($H587-$G587)*100)</f>
        <v/>
      </c>
    </row>
    <row r="588">
      <c r="A588" s="11" t="n">
        <v>40599</v>
      </c>
      <c r="B588" s="22" t="n">
        <v>0.173</v>
      </c>
      <c r="C588" s="22" t="n">
        <v>0.235</v>
      </c>
      <c r="D588" s="22" t="n">
        <v>0.5639999999999999</v>
      </c>
      <c r="E588" s="22" t="n">
        <v>1.255</v>
      </c>
      <c r="F588" s="22" t="n">
        <v>2</v>
      </c>
      <c r="G588" s="22" t="n">
        <v>2.12</v>
      </c>
      <c r="H588" s="22" t="n">
        <v>2.218</v>
      </c>
      <c r="I588" s="22" t="n">
        <v>4.51</v>
      </c>
      <c r="J588" s="22" t="n">
        <v>0.27</v>
      </c>
      <c r="K588" s="22" t="n">
        <v>3.42</v>
      </c>
      <c r="L588" s="17">
        <f>$J588-$B588</f>
        <v/>
      </c>
      <c r="M588" s="17">
        <f>$I588-$L588</f>
        <v/>
      </c>
      <c r="N588" s="23">
        <f>($G588-$M588)*100</f>
        <v/>
      </c>
      <c r="O588" s="15">
        <f>($E588-$C588)*100</f>
        <v/>
      </c>
      <c r="P588" s="15">
        <f>($G588-$E588)*100</f>
        <v/>
      </c>
      <c r="Q588" s="15">
        <f>($G588-$C588)*100</f>
        <v/>
      </c>
      <c r="R588" s="15">
        <f>IF($H588="","",($H588-$F588)*100)</f>
        <v/>
      </c>
      <c r="S588" s="15">
        <f>IF($H588="","",($H588-$G588)*100)</f>
        <v/>
      </c>
    </row>
    <row r="589">
      <c r="A589" s="11" t="n">
        <v>40606</v>
      </c>
      <c r="B589" s="22" t="n">
        <v>0.177</v>
      </c>
      <c r="C589" s="22" t="n">
        <v>0.229</v>
      </c>
      <c r="D589" s="22" t="n">
        <v>0.57</v>
      </c>
      <c r="E589" s="22" t="n">
        <v>1.291</v>
      </c>
      <c r="F589" s="22" t="n">
        <v>2.049</v>
      </c>
      <c r="G589" s="22" t="n">
        <v>2.171</v>
      </c>
      <c r="H589" s="22" t="n">
        <v>2.277</v>
      </c>
      <c r="I589" s="22" t="n">
        <v>4.6</v>
      </c>
      <c r="J589" s="22" t="n">
        <v>0.26</v>
      </c>
      <c r="K589" s="22" t="n">
        <v>3.49</v>
      </c>
      <c r="L589" s="17">
        <f>$J589-$B589</f>
        <v/>
      </c>
      <c r="M589" s="17">
        <f>$I589-$L589</f>
        <v/>
      </c>
      <c r="N589" s="23">
        <f>($G589-$M589)*100</f>
        <v/>
      </c>
      <c r="O589" s="15">
        <f>($E589-$C589)*100</f>
        <v/>
      </c>
      <c r="P589" s="15">
        <f>($G589-$E589)*100</f>
        <v/>
      </c>
      <c r="Q589" s="15">
        <f>($G589-$C589)*100</f>
        <v/>
      </c>
      <c r="R589" s="15">
        <f>IF($H589="","",($H589-$F589)*100)</f>
        <v/>
      </c>
      <c r="S589" s="15">
        <f>IF($H589="","",($H589-$G589)*100)</f>
        <v/>
      </c>
    </row>
    <row r="590">
      <c r="A590" s="11" t="n">
        <v>40613</v>
      </c>
      <c r="B590" s="22" t="n">
        <v>0.171</v>
      </c>
      <c r="C590" s="22" t="n">
        <v>0.214</v>
      </c>
      <c r="D590" s="22" t="n">
        <v>0.539</v>
      </c>
      <c r="E590" s="22" t="n">
        <v>1.247</v>
      </c>
      <c r="F590" s="22" t="n">
        <v>2.025</v>
      </c>
      <c r="G590" s="22" t="n">
        <v>2.149</v>
      </c>
      <c r="H590" s="22" t="n">
        <v>2.268</v>
      </c>
      <c r="I590" s="22" t="n">
        <v>4.54</v>
      </c>
      <c r="J590" s="22" t="n">
        <v>0.24</v>
      </c>
      <c r="K590" s="22" t="n">
        <v>3.4</v>
      </c>
      <c r="L590" s="17">
        <f>$J590-$B590</f>
        <v/>
      </c>
      <c r="M590" s="17">
        <f>$I590-$L590</f>
        <v/>
      </c>
      <c r="N590" s="23">
        <f>($G590-$M590)*100</f>
        <v/>
      </c>
      <c r="O590" s="15">
        <f>($E590-$C590)*100</f>
        <v/>
      </c>
      <c r="P590" s="15">
        <f>($G590-$E590)*100</f>
        <v/>
      </c>
      <c r="Q590" s="15">
        <f>($G590-$C590)*100</f>
        <v/>
      </c>
      <c r="R590" s="15">
        <f>IF($H590="","",($H590-$F590)*100)</f>
        <v/>
      </c>
      <c r="S590" s="15">
        <f>IF($H590="","",($H590-$G590)*100)</f>
        <v/>
      </c>
    </row>
    <row r="591">
      <c r="A591" s="11" t="n">
        <v>40620</v>
      </c>
      <c r="B591" s="22" t="n">
        <v>0.169</v>
      </c>
      <c r="C591" s="22" t="n">
        <v>0.21</v>
      </c>
      <c r="D591" s="22" t="n">
        <v>0.483</v>
      </c>
      <c r="E591" s="22" t="n">
        <v>1.21</v>
      </c>
      <c r="F591" s="22" t="n">
        <v>2.035</v>
      </c>
      <c r="G591" s="22" t="n">
        <v>2.172</v>
      </c>
      <c r="H591" s="22" t="n">
        <v>2.293</v>
      </c>
      <c r="I591" s="22" t="n">
        <v>4.43</v>
      </c>
      <c r="J591" s="22" t="n">
        <v>0.23</v>
      </c>
      <c r="K591" s="22" t="n">
        <v>3.28</v>
      </c>
      <c r="L591" s="17">
        <f>$J591-$B591</f>
        <v/>
      </c>
      <c r="M591" s="17">
        <f>$I591-$L591</f>
        <v/>
      </c>
      <c r="N591" s="23">
        <f>($G591-$M591)*100</f>
        <v/>
      </c>
      <c r="O591" s="15">
        <f>($E591-$C591)*100</f>
        <v/>
      </c>
      <c r="P591" s="15">
        <f>($G591-$E591)*100</f>
        <v/>
      </c>
      <c r="Q591" s="15">
        <f>($G591-$C591)*100</f>
        <v/>
      </c>
      <c r="R591" s="15">
        <f>IF($H591="","",($H591-$F591)*100)</f>
        <v/>
      </c>
      <c r="S591" s="15">
        <f>IF($H591="","",($H591-$G591)*100)</f>
        <v/>
      </c>
    </row>
    <row r="592">
      <c r="A592" s="11" t="n">
        <v>40627</v>
      </c>
      <c r="B592" s="22" t="n">
        <v>0.149</v>
      </c>
      <c r="C592" s="22" t="n">
        <v>0.2</v>
      </c>
      <c r="D592" s="22" t="n">
        <v>0.469</v>
      </c>
      <c r="E592" s="22" t="n">
        <v>1.221</v>
      </c>
      <c r="F592" s="22" t="n">
        <v>2.026</v>
      </c>
      <c r="G592" s="22" t="n">
        <v>2.157</v>
      </c>
      <c r="H592" s="22" t="n">
        <v>2.282</v>
      </c>
      <c r="I592" s="22" t="n">
        <v>4.51</v>
      </c>
      <c r="J592" s="22" t="n">
        <v>0.3</v>
      </c>
      <c r="K592" s="22" t="n">
        <v>3.46</v>
      </c>
      <c r="L592" s="17">
        <f>$J592-$B592</f>
        <v/>
      </c>
      <c r="M592" s="17">
        <f>$I592-$L592</f>
        <v/>
      </c>
      <c r="N592" s="23">
        <f>($G592-$M592)*100</f>
        <v/>
      </c>
      <c r="O592" s="15">
        <f>($E592-$C592)*100</f>
        <v/>
      </c>
      <c r="P592" s="15">
        <f>($G592-$E592)*100</f>
        <v/>
      </c>
      <c r="Q592" s="15">
        <f>($G592-$C592)*100</f>
        <v/>
      </c>
      <c r="R592" s="15">
        <f>IF($H592="","",($H592-$F592)*100)</f>
        <v/>
      </c>
      <c r="S592" s="15">
        <f>IF($H592="","",($H592-$G592)*100)</f>
        <v/>
      </c>
    </row>
    <row r="593">
      <c r="A593" s="11" t="n">
        <v>40634</v>
      </c>
      <c r="B593" s="22" t="n">
        <v>0.149</v>
      </c>
      <c r="C593" s="22" t="n">
        <v>0.205</v>
      </c>
      <c r="D593" s="22" t="n">
        <v>0.51</v>
      </c>
      <c r="E593" s="22" t="n">
        <v>1.28</v>
      </c>
      <c r="F593" s="22" t="n">
        <v>2.057</v>
      </c>
      <c r="G593" s="22" t="n">
        <v>2.179</v>
      </c>
      <c r="H593" s="22" t="n">
        <v>2.321</v>
      </c>
      <c r="I593" s="22" t="n">
        <v>4.48</v>
      </c>
      <c r="J593" s="22" t="n">
        <v>0.27</v>
      </c>
      <c r="K593" s="22" t="n">
        <v>3.46</v>
      </c>
      <c r="L593" s="17">
        <f>$J593-$B593</f>
        <v/>
      </c>
      <c r="M593" s="17">
        <f>$I593-$L593</f>
        <v/>
      </c>
      <c r="N593" s="23">
        <f>($G593-$M593)*100</f>
        <v/>
      </c>
      <c r="O593" s="15">
        <f>($E593-$C593)*100</f>
        <v/>
      </c>
      <c r="P593" s="15">
        <f>($G593-$E593)*100</f>
        <v/>
      </c>
      <c r="Q593" s="15">
        <f>($G593-$C593)*100</f>
        <v/>
      </c>
      <c r="R593" s="15">
        <f>IF($H593="","",($H593-$F593)*100)</f>
        <v/>
      </c>
      <c r="S593" s="15">
        <f>IF($H593="","",($H593-$G593)*100)</f>
        <v/>
      </c>
    </row>
    <row r="594">
      <c r="A594" s="11" t="n">
        <v>40641</v>
      </c>
      <c r="B594" s="22" t="n">
        <v>0.15</v>
      </c>
      <c r="C594" s="22" t="n">
        <v>0.199</v>
      </c>
      <c r="D594" s="22" t="n">
        <v>0.554</v>
      </c>
      <c r="E594" s="22" t="n">
        <v>1.321</v>
      </c>
      <c r="F594" s="22" t="n">
        <v>2.106</v>
      </c>
      <c r="G594" s="22" t="n">
        <v>2.249</v>
      </c>
      <c r="H594" s="22" t="n">
        <v>2.381</v>
      </c>
      <c r="I594" s="22" t="n">
        <v>4.63</v>
      </c>
      <c r="J594" s="22" t="n">
        <v>0.27</v>
      </c>
      <c r="K594" s="22" t="n">
        <v>3.59</v>
      </c>
      <c r="L594" s="17">
        <f>$J594-$B594</f>
        <v/>
      </c>
      <c r="M594" s="17">
        <f>$I594-$L594</f>
        <v/>
      </c>
      <c r="N594" s="23">
        <f>($G594-$M594)*100</f>
        <v/>
      </c>
      <c r="O594" s="15">
        <f>($E594-$C594)*100</f>
        <v/>
      </c>
      <c r="P594" s="15">
        <f>($G594-$E594)*100</f>
        <v/>
      </c>
      <c r="Q594" s="15">
        <f>($G594-$C594)*100</f>
        <v/>
      </c>
      <c r="R594" s="15">
        <f>IF($H594="","",($H594-$F594)*100)</f>
        <v/>
      </c>
      <c r="S594" s="15">
        <f>IF($H594="","",($H594-$G594)*100)</f>
        <v/>
      </c>
    </row>
    <row r="595">
      <c r="A595" s="11" t="n">
        <v>40648</v>
      </c>
      <c r="B595" s="22" t="n">
        <v>0.15</v>
      </c>
      <c r="C595" s="22" t="n">
        <v>0.205</v>
      </c>
      <c r="D595" s="22" t="n">
        <v>0.535</v>
      </c>
      <c r="E595" s="22" t="n">
        <v>1.289</v>
      </c>
      <c r="F595" s="22" t="n">
        <v>2.071</v>
      </c>
      <c r="G595" s="22" t="n">
        <v>2.212</v>
      </c>
      <c r="H595" s="22" t="n">
        <v>2.355</v>
      </c>
      <c r="I595" s="22" t="n">
        <v>4.47</v>
      </c>
      <c r="J595" s="22" t="n">
        <v>0.24</v>
      </c>
      <c r="K595" s="22" t="n">
        <v>3.43</v>
      </c>
      <c r="L595" s="17">
        <f>$J595-$B595</f>
        <v/>
      </c>
      <c r="M595" s="17">
        <f>$I595-$L595</f>
        <v/>
      </c>
      <c r="N595" s="23">
        <f>($G595-$M595)*100</f>
        <v/>
      </c>
      <c r="O595" s="15">
        <f>($E595-$C595)*100</f>
        <v/>
      </c>
      <c r="P595" s="15">
        <f>($G595-$E595)*100</f>
        <v/>
      </c>
      <c r="Q595" s="15">
        <f>($G595-$C595)*100</f>
        <v/>
      </c>
      <c r="R595" s="15">
        <f>IF($H595="","",($H595-$F595)*100)</f>
        <v/>
      </c>
      <c r="S595" s="15">
        <f>IF($H595="","",($H595-$G595)*100)</f>
        <v/>
      </c>
    </row>
    <row r="596">
      <c r="A596" s="11" t="n">
        <v>40655</v>
      </c>
      <c r="B596" s="22" t="n">
        <v>0.149</v>
      </c>
      <c r="C596" s="22" t="n">
        <v>0.201</v>
      </c>
      <c r="D596" s="22" t="n">
        <v>0.497</v>
      </c>
      <c r="E596" s="22" t="n">
        <v>1.225</v>
      </c>
      <c r="F596" s="22" t="n">
        <v>2.005</v>
      </c>
      <c r="G596" s="22" t="n">
        <v>2.124</v>
      </c>
      <c r="H596" s="22" t="n">
        <v>2.28</v>
      </c>
      <c r="I596" s="22" t="n">
        <v>4.47</v>
      </c>
      <c r="J596" s="22" t="n">
        <v>0.23</v>
      </c>
      <c r="K596" s="22" t="n">
        <v>3.42</v>
      </c>
      <c r="L596" s="17">
        <f>$J596-$B596</f>
        <v/>
      </c>
      <c r="M596" s="17">
        <f>$I596-$L596</f>
        <v/>
      </c>
      <c r="N596" s="23">
        <f>($G596-$M596)*100</f>
        <v/>
      </c>
      <c r="O596" s="15">
        <f>($E596-$C596)*100</f>
        <v/>
      </c>
      <c r="P596" s="15">
        <f>($G596-$E596)*100</f>
        <v/>
      </c>
      <c r="Q596" s="15">
        <f>($G596-$C596)*100</f>
        <v/>
      </c>
      <c r="R596" s="15">
        <f>IF($H596="","",($H596-$F596)*100)</f>
        <v/>
      </c>
      <c r="S596" s="15">
        <f>IF($H596="","",($H596-$G596)*100)</f>
        <v/>
      </c>
    </row>
    <row r="597">
      <c r="A597" s="11" t="n">
        <v>40662</v>
      </c>
      <c r="B597" s="22" t="n">
        <v>0.16</v>
      </c>
      <c r="C597" s="22" t="n">
        <v>0.189</v>
      </c>
      <c r="D597" s="22" t="n">
        <v>0.479</v>
      </c>
      <c r="E597" s="22" t="n">
        <v>1.217</v>
      </c>
      <c r="F597" s="22" t="n">
        <v>2.019</v>
      </c>
      <c r="G597" s="22" t="n">
        <v>2.141</v>
      </c>
      <c r="H597" s="22" t="n">
        <v>2.297</v>
      </c>
      <c r="I597" s="22" t="n">
        <v>4.4</v>
      </c>
      <c r="J597" s="22" t="n">
        <v>0.22</v>
      </c>
      <c r="K597" s="22" t="n">
        <v>3.32</v>
      </c>
      <c r="L597" s="17">
        <f>$J597-$B597</f>
        <v/>
      </c>
      <c r="M597" s="17">
        <f>$I597-$L597</f>
        <v/>
      </c>
      <c r="N597" s="23">
        <f>($G597-$M597)*100</f>
        <v/>
      </c>
      <c r="O597" s="15">
        <f>($E597-$C597)*100</f>
        <v/>
      </c>
      <c r="P597" s="15">
        <f>($G597-$E597)*100</f>
        <v/>
      </c>
      <c r="Q597" s="15">
        <f>($G597-$C597)*100</f>
        <v/>
      </c>
      <c r="R597" s="15">
        <f>IF($H597="","",($H597-$F597)*100)</f>
        <v/>
      </c>
      <c r="S597" s="15">
        <f>IF($H597="","",($H597-$G597)*100)</f>
        <v/>
      </c>
    </row>
    <row r="598">
      <c r="A598" s="11" t="n">
        <v>40669</v>
      </c>
      <c r="B598" s="22" t="n">
        <v>0.15</v>
      </c>
      <c r="C598" s="22" t="n">
        <v>0.179</v>
      </c>
      <c r="D598" s="22" t="n">
        <v>0.431</v>
      </c>
      <c r="E598" s="22" t="n">
        <v>1.158</v>
      </c>
      <c r="F598" s="22" t="n">
        <v>1.967</v>
      </c>
      <c r="G598" s="22" t="n">
        <v>2.09</v>
      </c>
      <c r="H598" s="22" t="n">
        <v>2.255</v>
      </c>
      <c r="I598" s="22" t="n">
        <v>4.29</v>
      </c>
      <c r="J598" s="22" t="n">
        <v>0.18</v>
      </c>
      <c r="K598" s="22" t="n">
        <v>3.19</v>
      </c>
      <c r="L598" s="17">
        <f>$J598-$B598</f>
        <v/>
      </c>
      <c r="M598" s="17">
        <f>$I598-$L598</f>
        <v/>
      </c>
      <c r="N598" s="23">
        <f>($G598-$M598)*100</f>
        <v/>
      </c>
      <c r="O598" s="15">
        <f>($E598-$C598)*100</f>
        <v/>
      </c>
      <c r="P598" s="15">
        <f>($G598-$E598)*100</f>
        <v/>
      </c>
      <c r="Q598" s="15">
        <f>($G598-$C598)*100</f>
        <v/>
      </c>
      <c r="R598" s="15">
        <f>IF($H598="","",($H598-$F598)*100)</f>
        <v/>
      </c>
      <c r="S598" s="15">
        <f>IF($H598="","",($H598-$G598)*100)</f>
        <v/>
      </c>
    </row>
    <row r="599">
      <c r="A599" s="11" t="n">
        <v>40676</v>
      </c>
      <c r="B599" s="22" t="n">
        <v>0.151</v>
      </c>
      <c r="C599" s="22" t="n">
        <v>0.18</v>
      </c>
      <c r="D599" s="22" t="n">
        <v>0.434</v>
      </c>
      <c r="E599" s="22" t="n">
        <v>1.132</v>
      </c>
      <c r="F599" s="22" t="n">
        <v>1.905</v>
      </c>
      <c r="G599" s="22" t="n">
        <v>2.033</v>
      </c>
      <c r="H599" s="22" t="n">
        <v>2.193</v>
      </c>
      <c r="I599" s="22" t="n">
        <v>4.32</v>
      </c>
      <c r="J599" s="22" t="n">
        <v>0.19</v>
      </c>
      <c r="K599" s="22" t="n">
        <v>3.18</v>
      </c>
      <c r="L599" s="17">
        <f>$J599-$B599</f>
        <v/>
      </c>
      <c r="M599" s="17">
        <f>$I599-$L599</f>
        <v/>
      </c>
      <c r="N599" s="23">
        <f>($G599-$M599)*100</f>
        <v/>
      </c>
      <c r="O599" s="15">
        <f>($E599-$C599)*100</f>
        <v/>
      </c>
      <c r="P599" s="15">
        <f>($G599-$E599)*100</f>
        <v/>
      </c>
      <c r="Q599" s="15">
        <f>($G599-$C599)*100</f>
        <v/>
      </c>
      <c r="R599" s="15">
        <f>IF($H599="","",($H599-$F599)*100)</f>
        <v/>
      </c>
      <c r="S599" s="15">
        <f>IF($H599="","",($H599-$G599)*100)</f>
        <v/>
      </c>
    </row>
    <row r="600">
      <c r="A600" s="11" t="n">
        <v>40683</v>
      </c>
      <c r="B600" s="22" t="n">
        <v>0.159</v>
      </c>
      <c r="C600" s="22" t="n">
        <v>0.18</v>
      </c>
      <c r="D600" s="22" t="n">
        <v>0.443</v>
      </c>
      <c r="E600" s="22" t="n">
        <v>1.144</v>
      </c>
      <c r="F600" s="22" t="n">
        <v>1.931</v>
      </c>
      <c r="G600" s="22" t="n">
        <v>2.057</v>
      </c>
      <c r="H600" s="22" t="n">
        <v>2.192</v>
      </c>
      <c r="I600" s="22" t="n">
        <v>4.3</v>
      </c>
      <c r="J600" s="22" t="n">
        <v>0.18</v>
      </c>
      <c r="K600" s="22" t="n">
        <v>3.15</v>
      </c>
      <c r="L600" s="17">
        <f>$J600-$B600</f>
        <v/>
      </c>
      <c r="M600" s="17">
        <f>$I600-$L600</f>
        <v/>
      </c>
      <c r="N600" s="23">
        <f>($G600-$M600)*100</f>
        <v/>
      </c>
      <c r="O600" s="15">
        <f>($E600-$C600)*100</f>
        <v/>
      </c>
      <c r="P600" s="15">
        <f>($G600-$E600)*100</f>
        <v/>
      </c>
      <c r="Q600" s="15">
        <f>($G600-$C600)*100</f>
        <v/>
      </c>
      <c r="R600" s="15">
        <f>IF($H600="","",($H600-$F600)*100)</f>
        <v/>
      </c>
      <c r="S600" s="15">
        <f>IF($H600="","",($H600-$G600)*100)</f>
        <v/>
      </c>
    </row>
    <row r="601">
      <c r="A601" s="11" t="n">
        <v>40690</v>
      </c>
      <c r="B601" s="22" t="n">
        <v>0.16</v>
      </c>
      <c r="C601" s="22" t="n">
        <v>0.18</v>
      </c>
      <c r="D601" s="22" t="n">
        <v>0.426</v>
      </c>
      <c r="E601" s="22" t="n">
        <v>1.135</v>
      </c>
      <c r="F601" s="22" t="n">
        <v>1.894</v>
      </c>
      <c r="G601" s="22" t="n">
        <v>2.024</v>
      </c>
      <c r="H601" s="22" t="n">
        <v>2.164</v>
      </c>
      <c r="I601" s="22" t="n">
        <v>4.24</v>
      </c>
      <c r="J601" s="22" t="n">
        <v>0.18</v>
      </c>
      <c r="K601" s="22" t="n">
        <v>3.07</v>
      </c>
      <c r="L601" s="17">
        <f>$J601-$B601</f>
        <v/>
      </c>
      <c r="M601" s="17">
        <f>$I601-$L601</f>
        <v/>
      </c>
      <c r="N601" s="23">
        <f>($G601-$M601)*100</f>
        <v/>
      </c>
      <c r="O601" s="15">
        <f>($E601-$C601)*100</f>
        <v/>
      </c>
      <c r="P601" s="15">
        <f>($G601-$E601)*100</f>
        <v/>
      </c>
      <c r="Q601" s="15">
        <f>($G601-$C601)*100</f>
        <v/>
      </c>
      <c r="R601" s="15">
        <f>IF($H601="","",($H601-$F601)*100)</f>
        <v/>
      </c>
      <c r="S601" s="15">
        <f>IF($H601="","",($H601-$G601)*100)</f>
        <v/>
      </c>
    </row>
    <row r="602">
      <c r="A602" s="11" t="n">
        <v>40697</v>
      </c>
      <c r="B602" s="22" t="n">
        <v>0.14</v>
      </c>
      <c r="C602" s="22" t="n">
        <v>0.155</v>
      </c>
      <c r="D602" s="22" t="n">
        <v>0.418</v>
      </c>
      <c r="E602" s="22" t="n">
        <v>1.129</v>
      </c>
      <c r="F602" s="22" t="n">
        <v>1.901</v>
      </c>
      <c r="G602" s="22" t="n">
        <v>2.04</v>
      </c>
      <c r="H602" s="22" t="n">
        <v>2.18</v>
      </c>
      <c r="I602" s="22" t="n">
        <v>4.22</v>
      </c>
      <c r="J602" s="22" t="n">
        <v>0.18</v>
      </c>
      <c r="K602" s="22" t="n">
        <v>2.99</v>
      </c>
      <c r="L602" s="17">
        <f>$J602-$B602</f>
        <v/>
      </c>
      <c r="M602" s="17">
        <f>$I602-$L602</f>
        <v/>
      </c>
      <c r="N602" s="23">
        <f>($G602-$M602)*100</f>
        <v/>
      </c>
      <c r="O602" s="15">
        <f>($E602-$C602)*100</f>
        <v/>
      </c>
      <c r="P602" s="15">
        <f>($G602-$E602)*100</f>
        <v/>
      </c>
      <c r="Q602" s="15">
        <f>($G602-$C602)*100</f>
        <v/>
      </c>
      <c r="R602" s="15">
        <f>IF($H602="","",($H602-$F602)*100)</f>
        <v/>
      </c>
      <c r="S602" s="15">
        <f>IF($H602="","",($H602-$G602)*100)</f>
        <v/>
      </c>
    </row>
    <row r="603">
      <c r="A603" s="11" t="n">
        <v>40704</v>
      </c>
      <c r="B603" s="22" t="n">
        <v>0.14</v>
      </c>
      <c r="C603" s="22" t="n">
        <v>0.17</v>
      </c>
      <c r="D603" s="22" t="n">
        <v>0.414</v>
      </c>
      <c r="E603" s="22" t="n">
        <v>1.13</v>
      </c>
      <c r="F603" s="22" t="n">
        <v>1.923</v>
      </c>
      <c r="G603" s="22" t="n">
        <v>2.083</v>
      </c>
      <c r="H603" s="22" t="n">
        <v>2.216</v>
      </c>
      <c r="I603" s="22" t="n">
        <v>4.18</v>
      </c>
      <c r="J603" s="22" t="n">
        <v>0.19</v>
      </c>
      <c r="K603" s="22" t="n">
        <v>2.99</v>
      </c>
      <c r="L603" s="17">
        <f>$J603-$B603</f>
        <v/>
      </c>
      <c r="M603" s="17">
        <f>$I603-$L603</f>
        <v/>
      </c>
      <c r="N603" s="23">
        <f>($G603-$M603)*100</f>
        <v/>
      </c>
      <c r="O603" s="15">
        <f>($E603-$C603)*100</f>
        <v/>
      </c>
      <c r="P603" s="15">
        <f>($G603-$E603)*100</f>
        <v/>
      </c>
      <c r="Q603" s="15">
        <f>($G603-$C603)*100</f>
        <v/>
      </c>
      <c r="R603" s="15">
        <f>IF($H603="","",($H603-$F603)*100)</f>
        <v/>
      </c>
      <c r="S603" s="15">
        <f>IF($H603="","",($H603-$G603)*100)</f>
        <v/>
      </c>
    </row>
    <row r="604">
      <c r="A604" s="11" t="n">
        <v>40711</v>
      </c>
      <c r="B604" s="22" t="n">
        <v>0.139</v>
      </c>
      <c r="C604" s="22" t="n">
        <v>0.17</v>
      </c>
      <c r="D604" s="22" t="n">
        <v>0.414</v>
      </c>
      <c r="E604" s="22" t="n">
        <v>1.119</v>
      </c>
      <c r="F604" s="22" t="n">
        <v>1.909</v>
      </c>
      <c r="G604" s="22" t="n">
        <v>2.069</v>
      </c>
      <c r="H604" s="22" t="n">
        <v>2.223</v>
      </c>
      <c r="I604" s="22" t="n">
        <v>4.19</v>
      </c>
      <c r="J604" s="22" t="n">
        <v>0.17</v>
      </c>
      <c r="K604" s="22" t="n">
        <v>2.94</v>
      </c>
      <c r="L604" s="17">
        <f>$J604-$B604</f>
        <v/>
      </c>
      <c r="M604" s="17">
        <f>$I604-$L604</f>
        <v/>
      </c>
      <c r="N604" s="23">
        <f>($G604-$M604)*100</f>
        <v/>
      </c>
      <c r="O604" s="15">
        <f>($E604-$C604)*100</f>
        <v/>
      </c>
      <c r="P604" s="15">
        <f>($G604-$E604)*100</f>
        <v/>
      </c>
      <c r="Q604" s="15">
        <f>($G604-$C604)*100</f>
        <v/>
      </c>
      <c r="R604" s="15">
        <f>IF($H604="","",($H604-$F604)*100)</f>
        <v/>
      </c>
      <c r="S604" s="15">
        <f>IF($H604="","",($H604-$G604)*100)</f>
        <v/>
      </c>
    </row>
    <row r="605">
      <c r="A605" s="11" t="n">
        <v>40718</v>
      </c>
      <c r="B605" s="22" t="n">
        <v>0.129</v>
      </c>
      <c r="C605" s="22" t="n">
        <v>0.155</v>
      </c>
      <c r="D605" s="22" t="n">
        <v>0.397</v>
      </c>
      <c r="E605" s="22" t="n">
        <v>1.111</v>
      </c>
      <c r="F605" s="22" t="n">
        <v>1.878</v>
      </c>
      <c r="G605" s="22" t="n">
        <v>2.029</v>
      </c>
      <c r="H605" s="22" t="n">
        <v>2.189</v>
      </c>
      <c r="I605" s="22" t="n">
        <v>4.17</v>
      </c>
      <c r="J605" s="22" t="n">
        <v>0.16</v>
      </c>
      <c r="K605" s="22" t="n">
        <v>2.88</v>
      </c>
      <c r="L605" s="17">
        <f>$J605-$B605</f>
        <v/>
      </c>
      <c r="M605" s="17">
        <f>$I605-$L605</f>
        <v/>
      </c>
      <c r="N605" s="23">
        <f>($G605-$M605)*100</f>
        <v/>
      </c>
      <c r="O605" s="15">
        <f>($E605-$C605)*100</f>
        <v/>
      </c>
      <c r="P605" s="15">
        <f>($G605-$E605)*100</f>
        <v/>
      </c>
      <c r="Q605" s="15">
        <f>($G605-$C605)*100</f>
        <v/>
      </c>
      <c r="R605" s="15">
        <f>IF($H605="","",($H605-$F605)*100)</f>
        <v/>
      </c>
      <c r="S605" s="15">
        <f>IF($H605="","",($H605-$G605)*100)</f>
        <v/>
      </c>
    </row>
    <row r="606">
      <c r="A606" s="11" t="n">
        <v>40725</v>
      </c>
      <c r="B606" s="22" t="n">
        <v>0.12</v>
      </c>
      <c r="C606" s="22" t="n">
        <v>0.163</v>
      </c>
      <c r="D606" s="22" t="n">
        <v>0.43</v>
      </c>
      <c r="E606" s="22" t="n">
        <v>1.145</v>
      </c>
      <c r="F606" s="22" t="n">
        <v>1.888</v>
      </c>
      <c r="G606" s="22" t="n">
        <v>2.04</v>
      </c>
      <c r="H606" s="22" t="n">
        <v>2.204</v>
      </c>
      <c r="I606" s="22" t="n">
        <v>4.4</v>
      </c>
      <c r="J606" s="22" t="n">
        <v>0.2</v>
      </c>
      <c r="K606" s="22" t="n">
        <v>3.22</v>
      </c>
      <c r="L606" s="17">
        <f>$J606-$B606</f>
        <v/>
      </c>
      <c r="M606" s="17">
        <f>$I606-$L606</f>
        <v/>
      </c>
      <c r="N606" s="23">
        <f>($G606-$M606)*100</f>
        <v/>
      </c>
      <c r="O606" s="15">
        <f>($E606-$C606)*100</f>
        <v/>
      </c>
      <c r="P606" s="15">
        <f>($G606-$E606)*100</f>
        <v/>
      </c>
      <c r="Q606" s="15">
        <f>($G606-$C606)*100</f>
        <v/>
      </c>
      <c r="R606" s="15">
        <f>IF($H606="","",($H606-$F606)*100)</f>
        <v/>
      </c>
      <c r="S606" s="15">
        <f>IF($H606="","",($H606-$G606)*100)</f>
        <v/>
      </c>
    </row>
    <row r="607">
      <c r="A607" s="11" t="n">
        <v>40732</v>
      </c>
      <c r="B607" s="22" t="n">
        <v>0.123</v>
      </c>
      <c r="C607" s="22" t="n">
        <v>0.16</v>
      </c>
      <c r="D607" s="22" t="n">
        <v>0.45</v>
      </c>
      <c r="E607" s="22" t="n">
        <v>1.178</v>
      </c>
      <c r="F607" s="22" t="n">
        <v>1.936</v>
      </c>
      <c r="G607" s="22" t="n">
        <v>2.109</v>
      </c>
      <c r="H607" s="22" t="n">
        <v>2.272</v>
      </c>
      <c r="I607" s="22" t="n">
        <v>4.27</v>
      </c>
      <c r="J607" s="22" t="n">
        <v>0.17</v>
      </c>
      <c r="K607" s="22" t="n">
        <v>3.03</v>
      </c>
      <c r="L607" s="17">
        <f>$J607-$B607</f>
        <v/>
      </c>
      <c r="M607" s="17">
        <f>$I607-$L607</f>
        <v/>
      </c>
      <c r="N607" s="23">
        <f>($G607-$M607)*100</f>
        <v/>
      </c>
      <c r="O607" s="15">
        <f>($E607-$C607)*100</f>
        <v/>
      </c>
      <c r="P607" s="15">
        <f>($G607-$E607)*100</f>
        <v/>
      </c>
      <c r="Q607" s="15">
        <f>($G607-$C607)*100</f>
        <v/>
      </c>
      <c r="R607" s="15">
        <f>IF($H607="","",($H607-$F607)*100)</f>
        <v/>
      </c>
      <c r="S607" s="15">
        <f>IF($H607="","",($H607-$G607)*100)</f>
        <v/>
      </c>
    </row>
    <row r="608">
      <c r="A608" s="11" t="n">
        <v>40739</v>
      </c>
      <c r="B608" s="22" t="n">
        <v>0.13</v>
      </c>
      <c r="C608" s="22" t="n">
        <v>0.15</v>
      </c>
      <c r="D608" s="22" t="n">
        <v>0.38</v>
      </c>
      <c r="E608" s="22" t="n">
        <v>1.099</v>
      </c>
      <c r="F608" s="22" t="n">
        <v>1.878</v>
      </c>
      <c r="G608" s="22" t="n">
        <v>2.038</v>
      </c>
      <c r="H608" s="22" t="n">
        <v>2.222</v>
      </c>
      <c r="I608" s="22" t="n">
        <v>4.26</v>
      </c>
      <c r="J608" s="22" t="n">
        <v>0.15</v>
      </c>
      <c r="K608" s="22" t="n">
        <v>2.94</v>
      </c>
      <c r="L608" s="17">
        <f>$J608-$B608</f>
        <v/>
      </c>
      <c r="M608" s="17">
        <f>$I608-$L608</f>
        <v/>
      </c>
      <c r="N608" s="23">
        <f>($G608-$M608)*100</f>
        <v/>
      </c>
      <c r="O608" s="15">
        <f>($E608-$C608)*100</f>
        <v/>
      </c>
      <c r="P608" s="15">
        <f>($G608-$E608)*100</f>
        <v/>
      </c>
      <c r="Q608" s="15">
        <f>($G608-$C608)*100</f>
        <v/>
      </c>
      <c r="R608" s="15">
        <f>IF($H608="","",($H608-$F608)*100)</f>
        <v/>
      </c>
      <c r="S608" s="15">
        <f>IF($H608="","",($H608-$G608)*100)</f>
        <v/>
      </c>
    </row>
    <row r="609">
      <c r="A609" s="11" t="n">
        <v>40746</v>
      </c>
      <c r="B609" s="22" t="n">
        <v>0.128</v>
      </c>
      <c r="C609" s="22" t="n">
        <v>0.161</v>
      </c>
      <c r="D609" s="22" t="n">
        <v>0.398</v>
      </c>
      <c r="E609" s="22" t="n">
        <v>1.111</v>
      </c>
      <c r="F609" s="22" t="n">
        <v>1.866</v>
      </c>
      <c r="G609" s="22" t="n">
        <v>2.032</v>
      </c>
      <c r="H609" s="22" t="n">
        <v>2.222</v>
      </c>
      <c r="I609" s="22" t="n">
        <v>4.26</v>
      </c>
      <c r="J609" s="22" t="n">
        <v>0.2</v>
      </c>
      <c r="K609" s="22" t="n">
        <v>2.99</v>
      </c>
      <c r="L609" s="17">
        <f>$J609-$B609</f>
        <v/>
      </c>
      <c r="M609" s="17">
        <f>$I609-$L609</f>
        <v/>
      </c>
      <c r="N609" s="23">
        <f>($G609-$M609)*100</f>
        <v/>
      </c>
      <c r="O609" s="15">
        <f>($E609-$C609)*100</f>
        <v/>
      </c>
      <c r="P609" s="15">
        <f>($G609-$E609)*100</f>
        <v/>
      </c>
      <c r="Q609" s="15">
        <f>($G609-$C609)*100</f>
        <v/>
      </c>
      <c r="R609" s="15">
        <f>IF($H609="","",($H609-$F609)*100)</f>
        <v/>
      </c>
      <c r="S609" s="15">
        <f>IF($H609="","",($H609-$G609)*100)</f>
        <v/>
      </c>
    </row>
    <row r="610">
      <c r="A610" s="11" t="n">
        <v>40753</v>
      </c>
      <c r="B610" s="22" t="n">
        <v>0.126</v>
      </c>
      <c r="C610" s="22" t="n">
        <v>0.155</v>
      </c>
      <c r="D610" s="22" t="n">
        <v>0.381</v>
      </c>
      <c r="E610" s="22" t="n">
        <v>1.095</v>
      </c>
      <c r="F610" s="22" t="n">
        <v>1.863</v>
      </c>
      <c r="G610" s="22" t="n">
        <v>2.031</v>
      </c>
      <c r="H610" s="22" t="n">
        <v>2.228</v>
      </c>
      <c r="I610" s="22" t="n">
        <v>4.12</v>
      </c>
      <c r="J610" s="22" t="n">
        <v>0.2</v>
      </c>
      <c r="K610" s="22" t="n">
        <v>2.82</v>
      </c>
      <c r="L610" s="17">
        <f>$J610-$B610</f>
        <v/>
      </c>
      <c r="M610" s="17">
        <f>$I610-$L610</f>
        <v/>
      </c>
      <c r="N610" s="23">
        <f>($G610-$M610)*100</f>
        <v/>
      </c>
      <c r="O610" s="15">
        <f>($E610-$C610)*100</f>
        <v/>
      </c>
      <c r="P610" s="15">
        <f>($G610-$E610)*100</f>
        <v/>
      </c>
      <c r="Q610" s="15">
        <f>($G610-$C610)*100</f>
        <v/>
      </c>
      <c r="R610" s="15">
        <f>IF($H610="","",($H610-$F610)*100)</f>
        <v/>
      </c>
      <c r="S610" s="15">
        <f>IF($H610="","",($H610-$G610)*100)</f>
        <v/>
      </c>
    </row>
    <row r="611">
      <c r="A611" s="11" t="n">
        <v>40760</v>
      </c>
      <c r="B611" s="22" t="n">
        <v>0.12</v>
      </c>
      <c r="C611" s="22" t="n">
        <v>0.137</v>
      </c>
      <c r="D611" s="22" t="n">
        <v>0.348</v>
      </c>
      <c r="E611" s="22" t="n">
        <v>1.019</v>
      </c>
      <c r="F611" s="22" t="n">
        <v>1.775</v>
      </c>
      <c r="G611" s="22" t="n">
        <v>1.945</v>
      </c>
      <c r="H611" s="22" t="n">
        <v>2.169</v>
      </c>
      <c r="I611" s="22" t="n">
        <v>3.82</v>
      </c>
      <c r="J611" s="22" t="n">
        <v>0.11</v>
      </c>
      <c r="K611" s="22" t="n">
        <v>2.58</v>
      </c>
      <c r="L611" s="17">
        <f>$J611-$B611</f>
        <v/>
      </c>
      <c r="M611" s="17">
        <f>$I611-$L611</f>
        <v/>
      </c>
      <c r="N611" s="23">
        <f>($G611-$M611)*100</f>
        <v/>
      </c>
      <c r="O611" s="15">
        <f>($E611-$C611)*100</f>
        <v/>
      </c>
      <c r="P611" s="15">
        <f>($G611-$E611)*100</f>
        <v/>
      </c>
      <c r="Q611" s="15">
        <f>($G611-$C611)*100</f>
        <v/>
      </c>
      <c r="R611" s="15">
        <f>IF($H611="","",($H611-$F611)*100)</f>
        <v/>
      </c>
      <c r="S611" s="15">
        <f>IF($H611="","",($H611-$G611)*100)</f>
        <v/>
      </c>
    </row>
    <row r="612">
      <c r="A612" s="11" t="n">
        <v>40767</v>
      </c>
      <c r="B612" s="22" t="n">
        <v>0.122</v>
      </c>
      <c r="C612" s="22" t="n">
        <v>0.145</v>
      </c>
      <c r="D612" s="22" t="n">
        <v>0.355</v>
      </c>
      <c r="E612" s="22" t="n">
        <v>1.065</v>
      </c>
      <c r="F612" s="22" t="n">
        <v>1.861</v>
      </c>
      <c r="G612" s="22" t="n">
        <v>2.023</v>
      </c>
      <c r="H612" s="22" t="n">
        <v>2.261</v>
      </c>
      <c r="I612" s="22" t="n">
        <v>3.72</v>
      </c>
      <c r="J612" s="22" t="n">
        <v>0.11</v>
      </c>
      <c r="K612" s="22" t="n">
        <v>2.24</v>
      </c>
      <c r="L612" s="17">
        <f>$J612-$B612</f>
        <v/>
      </c>
      <c r="M612" s="17">
        <f>$I612-$L612</f>
        <v/>
      </c>
      <c r="N612" s="23">
        <f>($G612-$M612)*100</f>
        <v/>
      </c>
      <c r="O612" s="15">
        <f>($E612-$C612)*100</f>
        <v/>
      </c>
      <c r="P612" s="15">
        <f>($G612-$E612)*100</f>
        <v/>
      </c>
      <c r="Q612" s="15">
        <f>($G612-$C612)*100</f>
        <v/>
      </c>
      <c r="R612" s="15">
        <f>IF($H612="","",($H612-$F612)*100)</f>
        <v/>
      </c>
      <c r="S612" s="15">
        <f>IF($H612="","",($H612-$G612)*100)</f>
        <v/>
      </c>
    </row>
    <row r="613">
      <c r="A613" s="11" t="n">
        <v>40774</v>
      </c>
      <c r="B613" s="22" t="n">
        <v>0.119</v>
      </c>
      <c r="C613" s="22" t="n">
        <v>0.14</v>
      </c>
      <c r="D613" s="22" t="n">
        <v>0.32</v>
      </c>
      <c r="E613" s="22" t="n">
        <v>1.01</v>
      </c>
      <c r="F613" s="22" t="n">
        <v>1.804</v>
      </c>
      <c r="G613" s="22" t="n">
        <v>1.979</v>
      </c>
      <c r="H613" s="22" t="n">
        <v>2.243</v>
      </c>
      <c r="I613" s="22" t="n">
        <v>3.39</v>
      </c>
      <c r="J613" s="22" t="n">
        <v>0.1</v>
      </c>
      <c r="K613" s="22" t="n">
        <v>2.07</v>
      </c>
      <c r="L613" s="17">
        <f>$J613-$B613</f>
        <v/>
      </c>
      <c r="M613" s="17">
        <f>$I613-$L613</f>
        <v/>
      </c>
      <c r="N613" s="23">
        <f>($G613-$M613)*100</f>
        <v/>
      </c>
      <c r="O613" s="15">
        <f>($E613-$C613)*100</f>
        <v/>
      </c>
      <c r="P613" s="15">
        <f>($G613-$E613)*100</f>
        <v/>
      </c>
      <c r="Q613" s="15">
        <f>($G613-$C613)*100</f>
        <v/>
      </c>
      <c r="R613" s="15">
        <f>IF($H613="","",($H613-$F613)*100)</f>
        <v/>
      </c>
      <c r="S613" s="15">
        <f>IF($H613="","",($H613-$G613)*100)</f>
        <v/>
      </c>
    </row>
    <row r="614">
      <c r="A614" s="11" t="n">
        <v>40781</v>
      </c>
      <c r="B614" s="22" t="n">
        <v>0.117</v>
      </c>
      <c r="C614" s="22" t="n">
        <v>0.134</v>
      </c>
      <c r="D614" s="22" t="n">
        <v>0.348</v>
      </c>
      <c r="E614" s="22" t="n">
        <v>1.066</v>
      </c>
      <c r="F614" s="22" t="n">
        <v>1.855</v>
      </c>
      <c r="G614" s="22" t="n">
        <v>2.023</v>
      </c>
      <c r="H614" s="22" t="n">
        <v>2.28</v>
      </c>
      <c r="I614" s="22" t="n">
        <v>3.54</v>
      </c>
      <c r="J614" s="22" t="n">
        <v>0.09</v>
      </c>
      <c r="K614" s="22" t="n">
        <v>2.19</v>
      </c>
      <c r="L614" s="17">
        <f>$J614-$B614</f>
        <v/>
      </c>
      <c r="M614" s="17">
        <f>$I614-$L614</f>
        <v/>
      </c>
      <c r="N614" s="23">
        <f>($G614-$M614)*100</f>
        <v/>
      </c>
      <c r="O614" s="15">
        <f>($E614-$C614)*100</f>
        <v/>
      </c>
      <c r="P614" s="15">
        <f>($G614-$E614)*100</f>
        <v/>
      </c>
      <c r="Q614" s="15">
        <f>($G614-$C614)*100</f>
        <v/>
      </c>
      <c r="R614" s="15">
        <f>IF($H614="","",($H614-$F614)*100)</f>
        <v/>
      </c>
      <c r="S614" s="15">
        <f>IF($H614="","",($H614-$G614)*100)</f>
        <v/>
      </c>
    </row>
    <row r="615">
      <c r="A615" s="11" t="n">
        <v>40788</v>
      </c>
      <c r="B615" s="22" t="n">
        <v>0.117</v>
      </c>
      <c r="C615" s="22" t="n">
        <v>0.142</v>
      </c>
      <c r="D615" s="22" t="n">
        <v>0.364</v>
      </c>
      <c r="E615" s="22" t="n">
        <v>1.056</v>
      </c>
      <c r="F615" s="22" t="n">
        <v>1.844</v>
      </c>
      <c r="G615" s="22" t="n">
        <v>2.041</v>
      </c>
      <c r="H615" s="22" t="n">
        <v>2.253</v>
      </c>
      <c r="I615" s="22" t="n">
        <v>3.32</v>
      </c>
      <c r="J615" s="22" t="n">
        <v>0.1</v>
      </c>
      <c r="K615" s="22" t="n">
        <v>2.02</v>
      </c>
      <c r="L615" s="17">
        <f>$J615-$B615</f>
        <v/>
      </c>
      <c r="M615" s="17">
        <f>$I615-$L615</f>
        <v/>
      </c>
      <c r="N615" s="23">
        <f>($G615-$M615)*100</f>
        <v/>
      </c>
      <c r="O615" s="15">
        <f>($E615-$C615)*100</f>
        <v/>
      </c>
      <c r="P615" s="15">
        <f>($G615-$E615)*100</f>
        <v/>
      </c>
      <c r="Q615" s="15">
        <f>($G615-$C615)*100</f>
        <v/>
      </c>
      <c r="R615" s="15">
        <f>IF($H615="","",($H615-$F615)*100)</f>
        <v/>
      </c>
      <c r="S615" s="15">
        <f>IF($H615="","",($H615-$G615)*100)</f>
        <v/>
      </c>
    </row>
    <row r="616">
      <c r="A616" s="11" t="n">
        <v>40795</v>
      </c>
      <c r="B616" s="22" t="n">
        <v>0.118</v>
      </c>
      <c r="C616" s="22" t="n">
        <v>0.138</v>
      </c>
      <c r="D616" s="22" t="n">
        <v>0.35</v>
      </c>
      <c r="E616" s="22" t="n">
        <v>1.001</v>
      </c>
      <c r="F616" s="22" t="n">
        <v>1.781</v>
      </c>
      <c r="G616" s="22" t="n">
        <v>1.97</v>
      </c>
      <c r="H616" s="22" t="n">
        <v>2.176</v>
      </c>
      <c r="I616" s="22" t="n">
        <v>3.26</v>
      </c>
      <c r="J616" s="22" t="n">
        <v>0.11</v>
      </c>
      <c r="K616" s="22" t="n">
        <v>1.93</v>
      </c>
      <c r="L616" s="17">
        <f>$J616-$B616</f>
        <v/>
      </c>
      <c r="M616" s="17">
        <f>$I616-$L616</f>
        <v/>
      </c>
      <c r="N616" s="23">
        <f>($G616-$M616)*100</f>
        <v/>
      </c>
      <c r="O616" s="15">
        <f>($E616-$C616)*100</f>
        <v/>
      </c>
      <c r="P616" s="15">
        <f>($G616-$E616)*100</f>
        <v/>
      </c>
      <c r="Q616" s="15">
        <f>($G616-$C616)*100</f>
        <v/>
      </c>
      <c r="R616" s="15">
        <f>IF($H616="","",($H616-$F616)*100)</f>
        <v/>
      </c>
      <c r="S616" s="15">
        <f>IF($H616="","",($H616-$G616)*100)</f>
        <v/>
      </c>
    </row>
    <row r="617">
      <c r="A617" s="11" t="n">
        <v>40802</v>
      </c>
      <c r="B617" s="22" t="n">
        <v>0.11</v>
      </c>
      <c r="C617" s="22" t="n">
        <v>0.135</v>
      </c>
      <c r="D617" s="22" t="n">
        <v>0.351</v>
      </c>
      <c r="E617" s="22" t="n">
        <v>1.008</v>
      </c>
      <c r="F617" s="22" t="n">
        <v>1.752</v>
      </c>
      <c r="G617" s="22" t="n">
        <v>1.933</v>
      </c>
      <c r="H617" s="22" t="n">
        <v>2.118</v>
      </c>
      <c r="I617" s="22" t="n">
        <v>3.34</v>
      </c>
      <c r="J617" s="22" t="n">
        <v>0.09</v>
      </c>
      <c r="K617" s="22" t="n">
        <v>2.08</v>
      </c>
      <c r="L617" s="17">
        <f>$J617-$B617</f>
        <v/>
      </c>
      <c r="M617" s="17">
        <f>$I617-$L617</f>
        <v/>
      </c>
      <c r="N617" s="23">
        <f>($G617-$M617)*100</f>
        <v/>
      </c>
      <c r="O617" s="15">
        <f>($E617-$C617)*100</f>
        <v/>
      </c>
      <c r="P617" s="15">
        <f>($G617-$E617)*100</f>
        <v/>
      </c>
      <c r="Q617" s="15">
        <f>($G617-$C617)*100</f>
        <v/>
      </c>
      <c r="R617" s="15">
        <f>IF($H617="","",($H617-$F617)*100)</f>
        <v/>
      </c>
      <c r="S617" s="15">
        <f>IF($H617="","",($H617-$G617)*100)</f>
        <v/>
      </c>
    </row>
    <row r="618">
      <c r="A618" s="11" t="n">
        <v>40809</v>
      </c>
      <c r="B618" s="22" t="n">
        <v>0.112</v>
      </c>
      <c r="C618" s="22" t="n">
        <v>0.125</v>
      </c>
      <c r="D618" s="22" t="n">
        <v>0.346</v>
      </c>
      <c r="E618" s="22" t="n">
        <v>0.986</v>
      </c>
      <c r="F618" s="22" t="n">
        <v>1.69</v>
      </c>
      <c r="G618" s="22" t="n">
        <v>1.87</v>
      </c>
      <c r="H618" s="22" t="n">
        <v>2.049</v>
      </c>
      <c r="I618" s="22" t="n">
        <v>2.89</v>
      </c>
      <c r="J618" s="22" t="n">
        <v>0.1</v>
      </c>
      <c r="K618" s="22" t="n">
        <v>1.84</v>
      </c>
      <c r="L618" s="17">
        <f>$J618-$B618</f>
        <v/>
      </c>
      <c r="M618" s="17">
        <f>$I618-$L618</f>
        <v/>
      </c>
      <c r="N618" s="23">
        <f>($G618-$M618)*100</f>
        <v/>
      </c>
      <c r="O618" s="15">
        <f>($E618-$C618)*100</f>
        <v/>
      </c>
      <c r="P618" s="15">
        <f>($G618-$E618)*100</f>
        <v/>
      </c>
      <c r="Q618" s="15">
        <f>($G618-$C618)*100</f>
        <v/>
      </c>
      <c r="R618" s="15">
        <f>IF($H618="","",($H618-$F618)*100)</f>
        <v/>
      </c>
      <c r="S618" s="15">
        <f>IF($H618="","",($H618-$G618)*100)</f>
        <v/>
      </c>
    </row>
    <row r="619">
      <c r="A619" s="11" t="n">
        <v>40816</v>
      </c>
      <c r="B619" s="22" t="n">
        <v>0.114</v>
      </c>
      <c r="C619" s="22" t="n">
        <v>0.137</v>
      </c>
      <c r="D619" s="22" t="n">
        <v>0.374</v>
      </c>
      <c r="E619" s="22" t="n">
        <v>1.032</v>
      </c>
      <c r="F619" s="22" t="n">
        <v>1.731</v>
      </c>
      <c r="G619" s="22" t="n">
        <v>1.925</v>
      </c>
      <c r="H619" s="22" t="n">
        <v>2.094</v>
      </c>
      <c r="I619" s="22" t="n">
        <v>2.9</v>
      </c>
      <c r="J619" s="22" t="n">
        <v>0.13</v>
      </c>
      <c r="K619" s="22" t="n">
        <v>1.92</v>
      </c>
      <c r="L619" s="17">
        <f>$J619-$B619</f>
        <v/>
      </c>
      <c r="M619" s="17">
        <f>$I619-$L619</f>
        <v/>
      </c>
      <c r="N619" s="23">
        <f>($G619-$M619)*100</f>
        <v/>
      </c>
      <c r="O619" s="15">
        <f>($E619-$C619)*100</f>
        <v/>
      </c>
      <c r="P619" s="15">
        <f>($G619-$E619)*100</f>
        <v/>
      </c>
      <c r="Q619" s="15">
        <f>($G619-$C619)*100</f>
        <v/>
      </c>
      <c r="R619" s="15">
        <f>IF($H619="","",($H619-$F619)*100)</f>
        <v/>
      </c>
      <c r="S619" s="15">
        <f>IF($H619="","",($H619-$G619)*100)</f>
        <v/>
      </c>
    </row>
    <row r="620">
      <c r="A620" s="11" t="n">
        <v>40823</v>
      </c>
      <c r="B620" s="22" t="n">
        <v>0.117</v>
      </c>
      <c r="C620" s="22" t="n">
        <v>0.137</v>
      </c>
      <c r="D620" s="22" t="n">
        <v>0.351</v>
      </c>
      <c r="E620" s="22" t="n">
        <v>0.986</v>
      </c>
      <c r="F620" s="22" t="n">
        <v>1.709</v>
      </c>
      <c r="G620" s="22" t="n">
        <v>1.913</v>
      </c>
      <c r="H620" s="22" t="n">
        <v>2.075</v>
      </c>
      <c r="I620" s="22" t="n">
        <v>3.02</v>
      </c>
      <c r="J620" s="22" t="n">
        <v>0.11</v>
      </c>
      <c r="K620" s="22" t="n">
        <v>2.1</v>
      </c>
      <c r="L620" s="17">
        <f>$J620-$B620</f>
        <v/>
      </c>
      <c r="M620" s="17">
        <f>$I620-$L620</f>
        <v/>
      </c>
      <c r="N620" s="23">
        <f>($G620-$M620)*100</f>
        <v/>
      </c>
      <c r="O620" s="15">
        <f>($E620-$C620)*100</f>
        <v/>
      </c>
      <c r="P620" s="15">
        <f>($G620-$E620)*100</f>
        <v/>
      </c>
      <c r="Q620" s="15">
        <f>($G620-$C620)*100</f>
        <v/>
      </c>
      <c r="R620" s="15">
        <f>IF($H620="","",($H620-$F620)*100)</f>
        <v/>
      </c>
      <c r="S620" s="15">
        <f>IF($H620="","",($H620-$G620)*100)</f>
        <v/>
      </c>
    </row>
    <row r="621">
      <c r="A621" s="11" t="n">
        <v>40830</v>
      </c>
      <c r="B621" s="22" t="n">
        <v>0.12</v>
      </c>
      <c r="C621" s="22" t="n">
        <v>0.135</v>
      </c>
      <c r="D621" s="22" t="n">
        <v>0.381</v>
      </c>
      <c r="E621" s="22" t="n">
        <v>1.022</v>
      </c>
      <c r="F621" s="22" t="n">
        <v>1.735</v>
      </c>
      <c r="G621" s="22" t="n">
        <v>1.939</v>
      </c>
      <c r="H621" s="22" t="n">
        <v>2.123</v>
      </c>
      <c r="I621" s="22" t="n">
        <v>3.22</v>
      </c>
      <c r="J621" s="22" t="n">
        <v>0.11</v>
      </c>
      <c r="K621" s="22" t="n">
        <v>2.26</v>
      </c>
      <c r="L621" s="17">
        <f>$J621-$B621</f>
        <v/>
      </c>
      <c r="M621" s="17">
        <f>$I621-$L621</f>
        <v/>
      </c>
      <c r="N621" s="23">
        <f>($G621-$M621)*100</f>
        <v/>
      </c>
      <c r="O621" s="15">
        <f>($E621-$C621)*100</f>
        <v/>
      </c>
      <c r="P621" s="15">
        <f>($G621-$E621)*100</f>
        <v/>
      </c>
      <c r="Q621" s="15">
        <f>($G621-$C621)*100</f>
        <v/>
      </c>
      <c r="R621" s="15">
        <f>IF($H621="","",($H621-$F621)*100)</f>
        <v/>
      </c>
      <c r="S621" s="15">
        <f>IF($H621="","",($H621-$G621)*100)</f>
        <v/>
      </c>
    </row>
    <row r="622">
      <c r="A622" s="11" t="n">
        <v>40837</v>
      </c>
      <c r="B622" s="22" t="n">
        <v>0.111</v>
      </c>
      <c r="C622" s="22" t="n">
        <v>0.146</v>
      </c>
      <c r="D622" s="22" t="n">
        <v>0.378</v>
      </c>
      <c r="E622" s="22" t="n">
        <v>1.014</v>
      </c>
      <c r="F622" s="22" t="n">
        <v>1.77</v>
      </c>
      <c r="G622" s="22" t="n">
        <v>1.976</v>
      </c>
      <c r="H622" s="22" t="n">
        <v>2.171</v>
      </c>
      <c r="I622" s="22" t="n">
        <v>3.26</v>
      </c>
      <c r="J622" s="22" t="n">
        <v>0.12</v>
      </c>
      <c r="K622" s="22" t="n">
        <v>2.23</v>
      </c>
      <c r="L622" s="17">
        <f>$J622-$B622</f>
        <v/>
      </c>
      <c r="M622" s="17">
        <f>$I622-$L622</f>
        <v/>
      </c>
      <c r="N622" s="23">
        <f>($G622-$M622)*100</f>
        <v/>
      </c>
      <c r="O622" s="15">
        <f>($E622-$C622)*100</f>
        <v/>
      </c>
      <c r="P622" s="15">
        <f>($G622-$E622)*100</f>
        <v/>
      </c>
      <c r="Q622" s="15">
        <f>($G622-$C622)*100</f>
        <v/>
      </c>
      <c r="R622" s="15">
        <f>IF($H622="","",($H622-$F622)*100)</f>
        <v/>
      </c>
      <c r="S622" s="15">
        <f>IF($H622="","",($H622-$G622)*100)</f>
        <v/>
      </c>
    </row>
    <row r="623">
      <c r="A623" s="11" t="n">
        <v>40844</v>
      </c>
      <c r="B623" s="22" t="n">
        <v>0.113</v>
      </c>
      <c r="C623" s="22" t="n">
        <v>0.143</v>
      </c>
      <c r="D623" s="22" t="n">
        <v>0.385</v>
      </c>
      <c r="E623" s="22" t="n">
        <v>1.05</v>
      </c>
      <c r="F623" s="22" t="n">
        <v>1.78</v>
      </c>
      <c r="G623" s="22" t="n">
        <v>1.98</v>
      </c>
      <c r="H623" s="22" t="n">
        <v>2.213</v>
      </c>
      <c r="I623" s="22" t="n">
        <v>3.36</v>
      </c>
      <c r="J623" s="22" t="n">
        <v>0.13</v>
      </c>
      <c r="K623" s="22" t="n">
        <v>2.34</v>
      </c>
      <c r="L623" s="17">
        <f>$J623-$B623</f>
        <v/>
      </c>
      <c r="M623" s="17">
        <f>$I623-$L623</f>
        <v/>
      </c>
      <c r="N623" s="23">
        <f>($G623-$M623)*100</f>
        <v/>
      </c>
      <c r="O623" s="15">
        <f>($E623-$C623)*100</f>
        <v/>
      </c>
      <c r="P623" s="15">
        <f>($G623-$E623)*100</f>
        <v/>
      </c>
      <c r="Q623" s="15">
        <f>($G623-$C623)*100</f>
        <v/>
      </c>
      <c r="R623" s="15">
        <f>IF($H623="","",($H623-$F623)*100)</f>
        <v/>
      </c>
      <c r="S623" s="15">
        <f>IF($H623="","",($H623-$G623)*100)</f>
        <v/>
      </c>
    </row>
    <row r="624">
      <c r="A624" s="11" t="n">
        <v>40851</v>
      </c>
      <c r="B624" s="22" t="n">
        <v>0.115</v>
      </c>
      <c r="C624" s="22" t="n">
        <v>0.136</v>
      </c>
      <c r="D624" s="22" t="n">
        <v>0.357</v>
      </c>
      <c r="E624" s="22" t="n">
        <v>1</v>
      </c>
      <c r="F624" s="22" t="n">
        <v>1.737</v>
      </c>
      <c r="G624" s="22" t="n">
        <v>1.944</v>
      </c>
      <c r="H624" s="22" t="n">
        <v>2.188</v>
      </c>
      <c r="I624" s="22" t="n">
        <v>3.09</v>
      </c>
      <c r="J624" s="22" t="n">
        <v>0.11</v>
      </c>
      <c r="K624" s="22" t="n">
        <v>2.06</v>
      </c>
      <c r="L624" s="17">
        <f>$J624-$B624</f>
        <v/>
      </c>
      <c r="M624" s="17">
        <f>$I624-$L624</f>
        <v/>
      </c>
      <c r="N624" s="23">
        <f>($G624-$M624)*100</f>
        <v/>
      </c>
      <c r="O624" s="15">
        <f>($E624-$C624)*100</f>
        <v/>
      </c>
      <c r="P624" s="15">
        <f>($G624-$E624)*100</f>
        <v/>
      </c>
      <c r="Q624" s="15">
        <f>($G624-$C624)*100</f>
        <v/>
      </c>
      <c r="R624" s="15">
        <f>IF($H624="","",($H624-$F624)*100)</f>
        <v/>
      </c>
      <c r="S624" s="15">
        <f>IF($H624="","",($H624-$G624)*100)</f>
        <v/>
      </c>
    </row>
    <row r="625">
      <c r="A625" s="11" t="n">
        <v>40858</v>
      </c>
      <c r="B625" s="22" t="n">
        <v>0.118</v>
      </c>
      <c r="C625" s="22" t="n">
        <v>0.125</v>
      </c>
      <c r="D625" s="22" t="n">
        <v>0.354</v>
      </c>
      <c r="E625" s="22" t="n">
        <v>0.979</v>
      </c>
      <c r="F625" s="22" t="n">
        <v>1.719</v>
      </c>
      <c r="G625" s="22" t="n">
        <v>1.919</v>
      </c>
      <c r="H625" s="22" t="n">
        <v>2.154</v>
      </c>
      <c r="I625" s="22" t="n">
        <v>3.12</v>
      </c>
      <c r="J625" s="22" t="n">
        <v>0.1</v>
      </c>
      <c r="K625" s="22" t="n">
        <v>2.04</v>
      </c>
      <c r="L625" s="17">
        <f>$J625-$B625</f>
        <v/>
      </c>
      <c r="M625" s="17">
        <f>$I625-$L625</f>
        <v/>
      </c>
      <c r="N625" s="23">
        <f>($G625-$M625)*100</f>
        <v/>
      </c>
      <c r="O625" s="15">
        <f>($E625-$C625)*100</f>
        <v/>
      </c>
      <c r="P625" s="15">
        <f>($G625-$E625)*100</f>
        <v/>
      </c>
      <c r="Q625" s="15">
        <f>($G625-$C625)*100</f>
        <v/>
      </c>
      <c r="R625" s="15">
        <f>IF($H625="","",($H625-$F625)*100)</f>
        <v/>
      </c>
      <c r="S625" s="15">
        <f>IF($H625="","",($H625-$G625)*100)</f>
        <v/>
      </c>
    </row>
    <row r="626">
      <c r="A626" s="11" t="n">
        <v>40865</v>
      </c>
      <c r="B626" s="22" t="n">
        <v>0.12</v>
      </c>
      <c r="C626" s="22" t="n">
        <v>0.12</v>
      </c>
      <c r="D626" s="22" t="n">
        <v>0.32</v>
      </c>
      <c r="E626" s="22" t="n">
        <v>0.961</v>
      </c>
      <c r="F626" s="22" t="n">
        <v>1.718</v>
      </c>
      <c r="G626" s="22" t="n">
        <v>1.94</v>
      </c>
      <c r="H626" s="22" t="n">
        <v>2.167</v>
      </c>
      <c r="I626" s="22" t="n">
        <v>2.99</v>
      </c>
      <c r="J626" s="22" t="n">
        <v>0.12</v>
      </c>
      <c r="K626" s="22" t="n">
        <v>2.01</v>
      </c>
      <c r="L626" s="17">
        <f>$J626-$B626</f>
        <v/>
      </c>
      <c r="M626" s="17">
        <f>$I626-$L626</f>
        <v/>
      </c>
      <c r="N626" s="23">
        <f>($G626-$M626)*100</f>
        <v/>
      </c>
      <c r="O626" s="15">
        <f>($E626-$C626)*100</f>
        <v/>
      </c>
      <c r="P626" s="15">
        <f>($G626-$E626)*100</f>
        <v/>
      </c>
      <c r="Q626" s="15">
        <f>($G626-$C626)*100</f>
        <v/>
      </c>
      <c r="R626" s="15">
        <f>IF($H626="","",($H626-$F626)*100)</f>
        <v/>
      </c>
      <c r="S626" s="15">
        <f>IF($H626="","",($H626-$G626)*100)</f>
        <v/>
      </c>
    </row>
    <row r="627">
      <c r="A627" s="11" t="n">
        <v>40872</v>
      </c>
      <c r="B627" s="22" t="n">
        <v>0.121</v>
      </c>
      <c r="C627" s="22" t="n">
        <v>0.14</v>
      </c>
      <c r="D627" s="22" t="n">
        <v>0.371</v>
      </c>
      <c r="E627" s="22" t="n">
        <v>1.043</v>
      </c>
      <c r="F627" s="22" t="n">
        <v>1.771</v>
      </c>
      <c r="G627" s="22" t="n">
        <v>1.961</v>
      </c>
      <c r="H627" s="22" t="n">
        <v>2.174</v>
      </c>
      <c r="I627" s="22" t="n">
        <v>2.92</v>
      </c>
      <c r="J627" s="22" t="n">
        <v>0.13</v>
      </c>
      <c r="K627" s="22" t="n">
        <v>1.97</v>
      </c>
      <c r="L627" s="17">
        <f>$J627-$B627</f>
        <v/>
      </c>
      <c r="M627" s="17">
        <f>$I627-$L627</f>
        <v/>
      </c>
      <c r="N627" s="23">
        <f>($G627-$M627)*100</f>
        <v/>
      </c>
      <c r="O627" s="15">
        <f>($E627-$C627)*100</f>
        <v/>
      </c>
      <c r="P627" s="15">
        <f>($G627-$E627)*100</f>
        <v/>
      </c>
      <c r="Q627" s="15">
        <f>($G627-$C627)*100</f>
        <v/>
      </c>
      <c r="R627" s="15">
        <f>IF($H627="","",($H627-$F627)*100)</f>
        <v/>
      </c>
      <c r="S627" s="15">
        <f>IF($H627="","",($H627-$G627)*100)</f>
        <v/>
      </c>
    </row>
    <row r="628">
      <c r="A628" s="11" t="n">
        <v>40879</v>
      </c>
      <c r="B628" s="22" t="n">
        <v>0.121</v>
      </c>
      <c r="C628" s="22" t="n">
        <v>0.13</v>
      </c>
      <c r="D628" s="22" t="n">
        <v>0.375</v>
      </c>
      <c r="E628" s="22" t="n">
        <v>1.063</v>
      </c>
      <c r="F628" s="22" t="n">
        <v>1.787</v>
      </c>
      <c r="G628" s="22" t="n">
        <v>1.977</v>
      </c>
      <c r="H628" s="22" t="n">
        <v>2.175</v>
      </c>
      <c r="I628" s="22" t="n">
        <v>3.03</v>
      </c>
      <c r="J628" s="22" t="n">
        <v>0.12</v>
      </c>
      <c r="K628" s="22" t="n">
        <v>2.05</v>
      </c>
      <c r="L628" s="17">
        <f>$J628-$B628</f>
        <v/>
      </c>
      <c r="M628" s="17">
        <f>$I628-$L628</f>
        <v/>
      </c>
      <c r="N628" s="23">
        <f>($G628-$M628)*100</f>
        <v/>
      </c>
      <c r="O628" s="15">
        <f>($E628-$C628)*100</f>
        <v/>
      </c>
      <c r="P628" s="15">
        <f>($G628-$E628)*100</f>
        <v/>
      </c>
      <c r="Q628" s="15">
        <f>($G628-$C628)*100</f>
        <v/>
      </c>
      <c r="R628" s="15">
        <f>IF($H628="","",($H628-$F628)*100)</f>
        <v/>
      </c>
      <c r="S628" s="15">
        <f>IF($H628="","",($H628-$G628)*100)</f>
        <v/>
      </c>
    </row>
    <row r="629">
      <c r="A629" s="11" t="n">
        <v>40886</v>
      </c>
      <c r="B629" s="22" t="n">
        <v>0.121</v>
      </c>
      <c r="C629" s="22" t="n">
        <v>0.13</v>
      </c>
      <c r="D629" s="22" t="n">
        <v>0.363</v>
      </c>
      <c r="E629" s="22" t="n">
        <v>1.012</v>
      </c>
      <c r="F629" s="22" t="n">
        <v>1.755</v>
      </c>
      <c r="G629" s="22" t="n">
        <v>1.937</v>
      </c>
      <c r="H629" s="22" t="n">
        <v>2.131</v>
      </c>
      <c r="I629" s="22" t="n">
        <v>3.1</v>
      </c>
      <c r="J629" s="22" t="n">
        <v>0.11</v>
      </c>
      <c r="K629" s="22" t="n">
        <v>2.07</v>
      </c>
      <c r="L629" s="17">
        <f>$J629-$B629</f>
        <v/>
      </c>
      <c r="M629" s="17">
        <f>$I629-$L629</f>
        <v/>
      </c>
      <c r="N629" s="23">
        <f>($G629-$M629)*100</f>
        <v/>
      </c>
      <c r="O629" s="15">
        <f>($E629-$C629)*100</f>
        <v/>
      </c>
      <c r="P629" s="15">
        <f>($G629-$E629)*100</f>
        <v/>
      </c>
      <c r="Q629" s="15">
        <f>($G629-$C629)*100</f>
        <v/>
      </c>
      <c r="R629" s="15">
        <f>IF($H629="","",($H629-$F629)*100)</f>
        <v/>
      </c>
      <c r="S629" s="15">
        <f>IF($H629="","",($H629-$G629)*100)</f>
        <v/>
      </c>
    </row>
    <row r="630">
      <c r="A630" s="11" t="n">
        <v>40893</v>
      </c>
      <c r="B630" s="22" t="n">
        <v>0.119</v>
      </c>
      <c r="C630" s="22" t="n">
        <v>0.13</v>
      </c>
      <c r="D630" s="22" t="n">
        <v>0.345</v>
      </c>
      <c r="E630" s="22" t="n">
        <v>0.984</v>
      </c>
      <c r="F630" s="22" t="n">
        <v>1.744</v>
      </c>
      <c r="G630" s="22" t="n">
        <v>1.939</v>
      </c>
      <c r="H630" s="22" t="n">
        <v>2.127</v>
      </c>
      <c r="I630" s="22" t="n">
        <v>2.86</v>
      </c>
      <c r="J630" s="22" t="n">
        <v>0.11</v>
      </c>
      <c r="K630" s="22" t="n">
        <v>1.86</v>
      </c>
      <c r="L630" s="17">
        <f>$J630-$B630</f>
        <v/>
      </c>
      <c r="M630" s="17">
        <f>$I630-$L630</f>
        <v/>
      </c>
      <c r="N630" s="23">
        <f>($G630-$M630)*100</f>
        <v/>
      </c>
      <c r="O630" s="15">
        <f>($E630-$C630)*100</f>
        <v/>
      </c>
      <c r="P630" s="15">
        <f>($G630-$E630)*100</f>
        <v/>
      </c>
      <c r="Q630" s="15">
        <f>($G630-$C630)*100</f>
        <v/>
      </c>
      <c r="R630" s="15">
        <f>IF($H630="","",($H630-$F630)*100)</f>
        <v/>
      </c>
      <c r="S630" s="15">
        <f>IF($H630="","",($H630-$G630)*100)</f>
        <v/>
      </c>
    </row>
    <row r="631">
      <c r="A631" s="11" t="n">
        <v>40900</v>
      </c>
      <c r="B631" s="22" t="n">
        <v>0.119</v>
      </c>
      <c r="C631" s="22" t="n">
        <v>0.13</v>
      </c>
      <c r="D631" s="22" t="n">
        <v>0.346</v>
      </c>
      <c r="E631" s="22" t="n">
        <v>0.982</v>
      </c>
      <c r="F631" s="22" t="n">
        <v>1.739</v>
      </c>
      <c r="G631" s="22" t="n">
        <v>1.937</v>
      </c>
      <c r="H631" s="22" t="n">
        <v>2.132</v>
      </c>
      <c r="I631" s="22" t="n">
        <v>3.05</v>
      </c>
      <c r="J631" s="22" t="n">
        <v>0.12</v>
      </c>
      <c r="K631" s="22" t="n">
        <v>2.03</v>
      </c>
      <c r="L631" s="17">
        <f>$J631-$B631</f>
        <v/>
      </c>
      <c r="M631" s="17">
        <f>$I631-$L631</f>
        <v/>
      </c>
      <c r="N631" s="23">
        <f>($G631-$M631)*100</f>
        <v/>
      </c>
      <c r="O631" s="15">
        <f>($E631-$C631)*100</f>
        <v/>
      </c>
      <c r="P631" s="15">
        <f>($G631-$E631)*100</f>
        <v/>
      </c>
      <c r="Q631" s="15">
        <f>($G631-$C631)*100</f>
        <v/>
      </c>
      <c r="R631" s="15">
        <f>IF($H631="","",($H631-$F631)*100)</f>
        <v/>
      </c>
      <c r="S631" s="15">
        <f>IF($H631="","",($H631-$G631)*100)</f>
        <v/>
      </c>
    </row>
    <row r="632">
      <c r="A632" s="11" t="n">
        <v>40907</v>
      </c>
      <c r="B632" s="22" t="n">
        <v>0.119</v>
      </c>
      <c r="C632" s="22" t="n">
        <v>0.131</v>
      </c>
      <c r="D632" s="22" t="n">
        <v>0.343</v>
      </c>
      <c r="E632" s="22" t="n">
        <v>0.987</v>
      </c>
      <c r="F632" s="22" t="n">
        <v>1.74</v>
      </c>
      <c r="G632" s="22" t="n">
        <v>1.921</v>
      </c>
      <c r="H632" s="22" t="n">
        <v>2.109</v>
      </c>
      <c r="I632" s="22" t="n">
        <v>2.89</v>
      </c>
      <c r="J632" s="22" t="n">
        <v>0.12</v>
      </c>
      <c r="K632" s="22" t="n">
        <v>1.89</v>
      </c>
      <c r="L632" s="17">
        <f>$J632-$B632</f>
        <v/>
      </c>
      <c r="M632" s="17">
        <f>$I632-$L632</f>
        <v/>
      </c>
      <c r="N632" s="23">
        <f>($G632-$M632)*100</f>
        <v/>
      </c>
      <c r="O632" s="15">
        <f>($E632-$C632)*100</f>
        <v/>
      </c>
      <c r="P632" s="15">
        <f>($G632-$E632)*100</f>
        <v/>
      </c>
      <c r="Q632" s="15">
        <f>($G632-$C632)*100</f>
        <v/>
      </c>
      <c r="R632" s="15">
        <f>IF($H632="","",($H632-$F632)*100)</f>
        <v/>
      </c>
      <c r="S632" s="15">
        <f>IF($H632="","",($H632-$G632)*100)</f>
        <v/>
      </c>
    </row>
    <row r="633">
      <c r="A633" s="11" t="n">
        <v>40914</v>
      </c>
      <c r="B633" s="22" t="n">
        <v>0.119</v>
      </c>
      <c r="C633" s="22" t="n">
        <v>0.127</v>
      </c>
      <c r="D633" s="22" t="n">
        <v>0.34</v>
      </c>
      <c r="E633" s="22" t="n">
        <v>0.989</v>
      </c>
      <c r="F633" s="22" t="n">
        <v>1.748</v>
      </c>
      <c r="G633" s="22" t="n">
        <v>1.937</v>
      </c>
      <c r="H633" s="22" t="n">
        <v>2.121</v>
      </c>
      <c r="I633" s="22" t="n">
        <v>3.02</v>
      </c>
      <c r="J633" s="22" t="n">
        <v>0.12</v>
      </c>
      <c r="K633" s="22" t="n">
        <v>1.98</v>
      </c>
      <c r="L633" s="17">
        <f>$J633-$B633</f>
        <v/>
      </c>
      <c r="M633" s="17">
        <f>$I633-$L633</f>
        <v/>
      </c>
      <c r="N633" s="23">
        <f>($G633-$M633)*100</f>
        <v/>
      </c>
      <c r="O633" s="15">
        <f>($E633-$C633)*100</f>
        <v/>
      </c>
      <c r="P633" s="15">
        <f>($G633-$E633)*100</f>
        <v/>
      </c>
      <c r="Q633" s="15">
        <f>($G633-$C633)*100</f>
        <v/>
      </c>
      <c r="R633" s="15">
        <f>IF($H633="","",($H633-$F633)*100)</f>
        <v/>
      </c>
      <c r="S633" s="15">
        <f>IF($H633="","",($H633-$G633)*100)</f>
        <v/>
      </c>
    </row>
    <row r="634">
      <c r="A634" s="11" t="n">
        <v>40921</v>
      </c>
      <c r="B634" s="22" t="n">
        <v>0.12</v>
      </c>
      <c r="C634" s="22" t="n">
        <v>0.129</v>
      </c>
      <c r="D634" s="22" t="n">
        <v>0.342</v>
      </c>
      <c r="E634" s="22" t="n">
        <v>0.955</v>
      </c>
      <c r="F634" s="22" t="n">
        <v>1.729</v>
      </c>
      <c r="G634" s="22" t="n">
        <v>1.938</v>
      </c>
      <c r="H634" s="22" t="n">
        <v>2.125</v>
      </c>
      <c r="I634" s="22" t="n">
        <v>2.91</v>
      </c>
      <c r="J634" s="22" t="n">
        <v>0.1</v>
      </c>
      <c r="K634" s="22" t="n">
        <v>1.89</v>
      </c>
      <c r="L634" s="17">
        <f>$J634-$B634</f>
        <v/>
      </c>
      <c r="M634" s="17">
        <f>$I634-$L634</f>
        <v/>
      </c>
      <c r="N634" s="23">
        <f>($G634-$M634)*100</f>
        <v/>
      </c>
      <c r="O634" s="15">
        <f>($E634-$C634)*100</f>
        <v/>
      </c>
      <c r="P634" s="15">
        <f>($G634-$E634)*100</f>
        <v/>
      </c>
      <c r="Q634" s="15">
        <f>($G634-$C634)*100</f>
        <v/>
      </c>
      <c r="R634" s="15">
        <f>IF($H634="","",($H634-$F634)*100)</f>
        <v/>
      </c>
      <c r="S634" s="15">
        <f>IF($H634="","",($H634-$G634)*100)</f>
        <v/>
      </c>
    </row>
    <row r="635">
      <c r="A635" s="11" t="n">
        <v>40928</v>
      </c>
      <c r="B635" s="22" t="n">
        <v>0.128</v>
      </c>
      <c r="C635" s="22" t="n">
        <v>0.126</v>
      </c>
      <c r="D635" s="22" t="n">
        <v>0.346</v>
      </c>
      <c r="E635" s="22" t="n">
        <v>0.99</v>
      </c>
      <c r="F635" s="22" t="n">
        <v>1.754</v>
      </c>
      <c r="G635" s="22" t="n">
        <v>1.946</v>
      </c>
      <c r="H635" s="22" t="n">
        <v>2.135</v>
      </c>
      <c r="I635" s="22" t="n">
        <v>3.1</v>
      </c>
      <c r="J635" s="22" t="n">
        <v>0.11</v>
      </c>
      <c r="K635" s="22" t="n">
        <v>2.05</v>
      </c>
      <c r="L635" s="17">
        <f>$J635-$B635</f>
        <v/>
      </c>
      <c r="M635" s="17">
        <f>$I635-$L635</f>
        <v/>
      </c>
      <c r="N635" s="23">
        <f>($G635-$M635)*100</f>
        <v/>
      </c>
      <c r="O635" s="15">
        <f>($E635-$C635)*100</f>
        <v/>
      </c>
      <c r="P635" s="15">
        <f>($G635-$E635)*100</f>
        <v/>
      </c>
      <c r="Q635" s="15">
        <f>($G635-$C635)*100</f>
        <v/>
      </c>
      <c r="R635" s="15">
        <f>IF($H635="","",($H635-$F635)*100)</f>
        <v/>
      </c>
      <c r="S635" s="15">
        <f>IF($H635="","",($H635-$G635)*100)</f>
        <v/>
      </c>
    </row>
    <row r="636">
      <c r="A636" s="11" t="n">
        <v>40935</v>
      </c>
      <c r="B636" s="22" t="n">
        <v>0.126</v>
      </c>
      <c r="C636" s="22" t="n">
        <v>0.127</v>
      </c>
      <c r="D636" s="22" t="n">
        <v>0.338</v>
      </c>
      <c r="E636" s="22" t="n">
        <v>0.977</v>
      </c>
      <c r="F636" s="22" t="n">
        <v>1.738</v>
      </c>
      <c r="G636" s="22" t="n">
        <v>1.931</v>
      </c>
      <c r="H636" s="22" t="n">
        <v>2.133</v>
      </c>
      <c r="I636" s="22" t="n">
        <v>3.07</v>
      </c>
      <c r="J636" s="22" t="n">
        <v>0.12</v>
      </c>
      <c r="K636" s="22" t="n">
        <v>1.93</v>
      </c>
      <c r="L636" s="17">
        <f>$J636-$B636</f>
        <v/>
      </c>
      <c r="M636" s="17">
        <f>$I636-$L636</f>
        <v/>
      </c>
      <c r="N636" s="23">
        <f>($G636-$M636)*100</f>
        <v/>
      </c>
      <c r="O636" s="15">
        <f>($E636-$C636)*100</f>
        <v/>
      </c>
      <c r="P636" s="15">
        <f>($G636-$E636)*100</f>
        <v/>
      </c>
      <c r="Q636" s="15">
        <f>($G636-$C636)*100</f>
        <v/>
      </c>
      <c r="R636" s="15">
        <f>IF($H636="","",($H636-$F636)*100)</f>
        <v/>
      </c>
      <c r="S636" s="15">
        <f>IF($H636="","",($H636-$G636)*100)</f>
        <v/>
      </c>
    </row>
    <row r="637">
      <c r="A637" s="11" t="n">
        <v>40942</v>
      </c>
      <c r="B637" s="22" t="n">
        <v>0.123</v>
      </c>
      <c r="C637" s="22" t="n">
        <v>0.128</v>
      </c>
      <c r="D637" s="22" t="n">
        <v>0.333</v>
      </c>
      <c r="E637" s="22" t="n">
        <v>0.962</v>
      </c>
      <c r="F637" s="22" t="n">
        <v>1.724</v>
      </c>
      <c r="G637" s="22" t="n">
        <v>1.907</v>
      </c>
      <c r="H637" s="22" t="n">
        <v>2.121</v>
      </c>
      <c r="I637" s="22" t="n">
        <v>3.13</v>
      </c>
      <c r="J637" s="22" t="n">
        <v>0.14</v>
      </c>
      <c r="K637" s="22" t="n">
        <v>1.97</v>
      </c>
      <c r="L637" s="17">
        <f>$J637-$B637</f>
        <v/>
      </c>
      <c r="M637" s="17">
        <f>$I637-$L637</f>
        <v/>
      </c>
      <c r="N637" s="23">
        <f>($G637-$M637)*100</f>
        <v/>
      </c>
      <c r="O637" s="15">
        <f>($E637-$C637)*100</f>
        <v/>
      </c>
      <c r="P637" s="15">
        <f>($G637-$E637)*100</f>
        <v/>
      </c>
      <c r="Q637" s="15">
        <f>($G637-$C637)*100</f>
        <v/>
      </c>
      <c r="R637" s="15">
        <f>IF($H637="","",($H637-$F637)*100)</f>
        <v/>
      </c>
      <c r="S637" s="15">
        <f>IF($H637="","",($H637-$G637)*100)</f>
        <v/>
      </c>
    </row>
    <row r="638">
      <c r="A638" s="11" t="n">
        <v>40949</v>
      </c>
      <c r="B638" s="22" t="n">
        <v>0.121</v>
      </c>
      <c r="C638" s="22" t="n">
        <v>0.124</v>
      </c>
      <c r="D638" s="22" t="n">
        <v>0.354</v>
      </c>
      <c r="E638" s="22" t="n">
        <v>0.992</v>
      </c>
      <c r="F638" s="22" t="n">
        <v>1.75</v>
      </c>
      <c r="G638" s="22" t="n">
        <v>1.943</v>
      </c>
      <c r="H638" s="22" t="n">
        <v>2.146</v>
      </c>
      <c r="I638" s="22" t="n">
        <v>3.11</v>
      </c>
      <c r="J638" s="22" t="n">
        <v>0.15</v>
      </c>
      <c r="K638" s="22" t="n">
        <v>1.96</v>
      </c>
      <c r="L638" s="17">
        <f>$J638-$B638</f>
        <v/>
      </c>
      <c r="M638" s="17">
        <f>$I638-$L638</f>
        <v/>
      </c>
      <c r="N638" s="23">
        <f>($G638-$M638)*100</f>
        <v/>
      </c>
      <c r="O638" s="15">
        <f>($E638-$C638)*100</f>
        <v/>
      </c>
      <c r="P638" s="15">
        <f>($G638-$E638)*100</f>
        <v/>
      </c>
      <c r="Q638" s="15">
        <f>($G638-$C638)*100</f>
        <v/>
      </c>
      <c r="R638" s="15">
        <f>IF($H638="","",($H638-$F638)*100)</f>
        <v/>
      </c>
      <c r="S638" s="15">
        <f>IF($H638="","",($H638-$G638)*100)</f>
        <v/>
      </c>
    </row>
    <row r="639">
      <c r="A639" s="11" t="n">
        <v>40956</v>
      </c>
      <c r="B639" s="22" t="n">
        <v>0.109</v>
      </c>
      <c r="C639" s="22" t="n">
        <v>0.105</v>
      </c>
      <c r="D639" s="22" t="n">
        <v>0.309</v>
      </c>
      <c r="E639" s="22" t="n">
        <v>0.966</v>
      </c>
      <c r="F639" s="22" t="n">
        <v>1.733</v>
      </c>
      <c r="G639" s="22" t="n">
        <v>1.923</v>
      </c>
      <c r="H639" s="22" t="n">
        <v>2.143</v>
      </c>
      <c r="I639" s="22" t="n">
        <v>3.16</v>
      </c>
      <c r="J639" s="22" t="n">
        <v>0.18</v>
      </c>
      <c r="K639" s="22" t="n">
        <v>2.01</v>
      </c>
      <c r="L639" s="17">
        <f>$J639-$B639</f>
        <v/>
      </c>
      <c r="M639" s="17">
        <f>$I639-$L639</f>
        <v/>
      </c>
      <c r="N639" s="23">
        <f>($G639-$M639)*100</f>
        <v/>
      </c>
      <c r="O639" s="15">
        <f>($E639-$C639)*100</f>
        <v/>
      </c>
      <c r="P639" s="15">
        <f>($G639-$E639)*100</f>
        <v/>
      </c>
      <c r="Q639" s="15">
        <f>($G639-$C639)*100</f>
        <v/>
      </c>
      <c r="R639" s="15">
        <f>IF($H639="","",($H639-$F639)*100)</f>
        <v/>
      </c>
      <c r="S639" s="15">
        <f>IF($H639="","",($H639-$G639)*100)</f>
        <v/>
      </c>
    </row>
    <row r="640">
      <c r="A640" s="11" t="n">
        <v>40963</v>
      </c>
      <c r="B640" s="22" t="n">
        <v>0.109</v>
      </c>
      <c r="C640" s="22" t="n">
        <v>0.104</v>
      </c>
      <c r="D640" s="22" t="n">
        <v>0.323</v>
      </c>
      <c r="E640" s="22" t="n">
        <v>0.992</v>
      </c>
      <c r="F640" s="22" t="n">
        <v>1.764</v>
      </c>
      <c r="G640" s="22" t="n">
        <v>1.952</v>
      </c>
      <c r="H640" s="22" t="n">
        <v>2.163</v>
      </c>
      <c r="I640" s="22" t="n">
        <v>3.1</v>
      </c>
      <c r="J640" s="22" t="n">
        <v>0.18</v>
      </c>
      <c r="K640" s="22" t="n">
        <v>1.98</v>
      </c>
      <c r="L640" s="17">
        <f>$J640-$B640</f>
        <v/>
      </c>
      <c r="M640" s="17">
        <f>$I640-$L640</f>
        <v/>
      </c>
      <c r="N640" s="23">
        <f>($G640-$M640)*100</f>
        <v/>
      </c>
      <c r="O640" s="15">
        <f>($E640-$C640)*100</f>
        <v/>
      </c>
      <c r="P640" s="15">
        <f>($G640-$E640)*100</f>
        <v/>
      </c>
      <c r="Q640" s="15">
        <f>($G640-$C640)*100</f>
        <v/>
      </c>
      <c r="R640" s="15">
        <f>IF($H640="","",($H640-$F640)*100)</f>
        <v/>
      </c>
      <c r="S640" s="15">
        <f>IF($H640="","",($H640-$G640)*100)</f>
        <v/>
      </c>
    </row>
    <row r="641">
      <c r="A641" s="11" t="n">
        <v>40970</v>
      </c>
      <c r="B641" s="22" t="n">
        <v>0.109</v>
      </c>
      <c r="C641" s="22" t="n">
        <v>0.11</v>
      </c>
      <c r="D641" s="22" t="n">
        <v>0.318</v>
      </c>
      <c r="E641" s="22" t="n">
        <v>0.986</v>
      </c>
      <c r="F641" s="22" t="n">
        <v>1.764</v>
      </c>
      <c r="G641" s="22" t="n">
        <v>1.955</v>
      </c>
      <c r="H641" s="22" t="n">
        <v>2.155</v>
      </c>
      <c r="I641" s="22" t="n">
        <v>3.11</v>
      </c>
      <c r="J641" s="22" t="n">
        <v>0.17</v>
      </c>
      <c r="K641" s="22" t="n">
        <v>1.99</v>
      </c>
      <c r="L641" s="17">
        <f>$J641-$B641</f>
        <v/>
      </c>
      <c r="M641" s="17">
        <f>$I641-$L641</f>
        <v/>
      </c>
      <c r="N641" s="23">
        <f>($G641-$M641)*100</f>
        <v/>
      </c>
      <c r="O641" s="15">
        <f>($E641-$C641)*100</f>
        <v/>
      </c>
      <c r="P641" s="15">
        <f>($G641-$E641)*100</f>
        <v/>
      </c>
      <c r="Q641" s="15">
        <f>($G641-$C641)*100</f>
        <v/>
      </c>
      <c r="R641" s="15">
        <f>IF($H641="","",($H641-$F641)*100)</f>
        <v/>
      </c>
      <c r="S641" s="15">
        <f>IF($H641="","",($H641-$G641)*100)</f>
        <v/>
      </c>
    </row>
    <row r="642">
      <c r="A642" s="11" t="n">
        <v>40977</v>
      </c>
      <c r="B642" s="22" t="n">
        <v>0.112</v>
      </c>
      <c r="C642" s="22" t="n">
        <v>0.113</v>
      </c>
      <c r="D642" s="22" t="n">
        <v>0.299</v>
      </c>
      <c r="E642" s="22" t="n">
        <v>0.984</v>
      </c>
      <c r="F642" s="22" t="n">
        <v>1.774</v>
      </c>
      <c r="G642" s="22" t="n">
        <v>1.961</v>
      </c>
      <c r="H642" s="22" t="n">
        <v>2.142</v>
      </c>
      <c r="I642" s="22" t="n">
        <v>3.19</v>
      </c>
      <c r="J642" s="22" t="n">
        <v>0.18</v>
      </c>
      <c r="K642" s="22" t="n">
        <v>2.04</v>
      </c>
      <c r="L642" s="17">
        <f>$J642-$B642</f>
        <v/>
      </c>
      <c r="M642" s="17">
        <f>$I642-$L642</f>
        <v/>
      </c>
      <c r="N642" s="23">
        <f>($G642-$M642)*100</f>
        <v/>
      </c>
      <c r="O642" s="15">
        <f>($E642-$C642)*100</f>
        <v/>
      </c>
      <c r="P642" s="15">
        <f>($G642-$E642)*100</f>
        <v/>
      </c>
      <c r="Q642" s="15">
        <f>($G642-$C642)*100</f>
        <v/>
      </c>
      <c r="R642" s="15">
        <f>IF($H642="","",($H642-$F642)*100)</f>
        <v/>
      </c>
      <c r="S642" s="15">
        <f>IF($H642="","",($H642-$G642)*100)</f>
        <v/>
      </c>
    </row>
    <row r="643">
      <c r="A643" s="11" t="n">
        <v>40984</v>
      </c>
      <c r="B643" s="22" t="n">
        <v>0.11</v>
      </c>
      <c r="C643" s="22" t="n">
        <v>0.11</v>
      </c>
      <c r="D643" s="22" t="n">
        <v>0.364</v>
      </c>
      <c r="E643" s="22" t="n">
        <v>1.046</v>
      </c>
      <c r="F643" s="22" t="n">
        <v>1.805</v>
      </c>
      <c r="G643" s="22" t="n">
        <v>1.975</v>
      </c>
      <c r="H643" s="22" t="n">
        <v>2.144</v>
      </c>
      <c r="I643" s="22" t="n">
        <v>3.41</v>
      </c>
      <c r="J643" s="22" t="n">
        <v>0.21</v>
      </c>
      <c r="K643" s="22" t="n">
        <v>2.31</v>
      </c>
      <c r="L643" s="17">
        <f>$J643-$B643</f>
        <v/>
      </c>
      <c r="M643" s="17">
        <f>$I643-$L643</f>
        <v/>
      </c>
      <c r="N643" s="23">
        <f>($G643-$M643)*100</f>
        <v/>
      </c>
      <c r="O643" s="15">
        <f>($E643-$C643)*100</f>
        <v/>
      </c>
      <c r="P643" s="15">
        <f>($G643-$E643)*100</f>
        <v/>
      </c>
      <c r="Q643" s="15">
        <f>($G643-$C643)*100</f>
        <v/>
      </c>
      <c r="R643" s="15">
        <f>IF($H643="","",($H643-$F643)*100)</f>
        <v/>
      </c>
      <c r="S643" s="15">
        <f>IF($H643="","",($H643-$G643)*100)</f>
        <v/>
      </c>
    </row>
    <row r="644">
      <c r="A644" s="11" t="n">
        <v>40991</v>
      </c>
      <c r="B644" s="22" t="n">
        <v>0.107</v>
      </c>
      <c r="C644" s="22" t="n">
        <v>0.111</v>
      </c>
      <c r="D644" s="22" t="n">
        <v>0.341</v>
      </c>
      <c r="E644" s="22" t="n">
        <v>1.025</v>
      </c>
      <c r="F644" s="22" t="n">
        <v>1.775</v>
      </c>
      <c r="G644" s="22" t="n">
        <v>1.954</v>
      </c>
      <c r="H644" s="22" t="n">
        <v>2.132</v>
      </c>
      <c r="I644" s="22" t="n">
        <v>3.31</v>
      </c>
      <c r="J644" s="22" t="n">
        <v>0.19</v>
      </c>
      <c r="K644" s="22" t="n">
        <v>2.25</v>
      </c>
      <c r="L644" s="17">
        <f>$J644-$B644</f>
        <v/>
      </c>
      <c r="M644" s="17">
        <f>$I644-$L644</f>
        <v/>
      </c>
      <c r="N644" s="23">
        <f>($G644-$M644)*100</f>
        <v/>
      </c>
      <c r="O644" s="15">
        <f>($E644-$C644)*100</f>
        <v/>
      </c>
      <c r="P644" s="15">
        <f>($G644-$E644)*100</f>
        <v/>
      </c>
      <c r="Q644" s="15">
        <f>($G644-$C644)*100</f>
        <v/>
      </c>
      <c r="R644" s="15">
        <f>IF($H644="","",($H644-$F644)*100)</f>
        <v/>
      </c>
      <c r="S644" s="15">
        <f>IF($H644="","",($H644-$G644)*100)</f>
        <v/>
      </c>
    </row>
    <row r="645">
      <c r="A645" s="11" t="n">
        <v>40998</v>
      </c>
      <c r="B645" s="22" t="n">
        <v>0.109</v>
      </c>
      <c r="C645" s="22" t="n">
        <v>0.115</v>
      </c>
      <c r="D645" s="22" t="n">
        <v>0.323</v>
      </c>
      <c r="E645" s="22" t="n">
        <v>0.988</v>
      </c>
      <c r="F645" s="22" t="n">
        <v>1.752</v>
      </c>
      <c r="G645" s="22" t="n">
        <v>1.938</v>
      </c>
      <c r="H645" s="22" t="n">
        <v>2.12</v>
      </c>
      <c r="I645" s="22" t="n">
        <v>3.35</v>
      </c>
      <c r="J645" s="22" t="n">
        <v>0.19</v>
      </c>
      <c r="K645" s="22" t="n">
        <v>2.23</v>
      </c>
      <c r="L645" s="17">
        <f>$J645-$B645</f>
        <v/>
      </c>
      <c r="M645" s="17">
        <f>$I645-$L645</f>
        <v/>
      </c>
      <c r="N645" s="23">
        <f>($G645-$M645)*100</f>
        <v/>
      </c>
      <c r="O645" s="15">
        <f>($E645-$C645)*100</f>
        <v/>
      </c>
      <c r="P645" s="15">
        <f>($G645-$E645)*100</f>
        <v/>
      </c>
      <c r="Q645" s="15">
        <f>($G645-$C645)*100</f>
        <v/>
      </c>
      <c r="R645" s="15">
        <f>IF($H645="","",($H645-$F645)*100)</f>
        <v/>
      </c>
      <c r="S645" s="15">
        <f>IF($H645="","",($H645-$G645)*100)</f>
        <v/>
      </c>
    </row>
    <row r="646">
      <c r="A646" s="11" t="n">
        <v>41005</v>
      </c>
      <c r="B646" s="22" t="n">
        <v>0.113</v>
      </c>
      <c r="C646" s="22" t="n">
        <v>0.113</v>
      </c>
      <c r="D646" s="22" t="n">
        <v>0.318</v>
      </c>
      <c r="E646" s="22" t="n">
        <v>0.992</v>
      </c>
      <c r="F646" s="22" t="n">
        <v>1.771</v>
      </c>
      <c r="G646" s="22" t="n">
        <v>1.963</v>
      </c>
      <c r="H646" s="22" t="n">
        <v>2.14</v>
      </c>
      <c r="I646" s="22" t="n">
        <v>3.21</v>
      </c>
      <c r="J646" s="22" t="n">
        <v>0.19</v>
      </c>
      <c r="K646" s="22" t="n">
        <v>2.07</v>
      </c>
      <c r="L646" s="17">
        <f>$J646-$B646</f>
        <v/>
      </c>
      <c r="M646" s="17">
        <f>$I646-$L646</f>
        <v/>
      </c>
      <c r="N646" s="23">
        <f>($G646-$M646)*100</f>
        <v/>
      </c>
      <c r="O646" s="15">
        <f>($E646-$C646)*100</f>
        <v/>
      </c>
      <c r="P646" s="15">
        <f>($G646-$E646)*100</f>
        <v/>
      </c>
      <c r="Q646" s="15">
        <f>($G646-$C646)*100</f>
        <v/>
      </c>
      <c r="R646" s="15">
        <f>IF($H646="","",($H646-$F646)*100)</f>
        <v/>
      </c>
      <c r="S646" s="15">
        <f>IF($H646="","",($H646-$G646)*100)</f>
        <v/>
      </c>
    </row>
    <row r="647">
      <c r="A647" s="11" t="n">
        <v>41012</v>
      </c>
      <c r="B647" s="22" t="n">
        <v>0.11</v>
      </c>
      <c r="C647" s="22" t="n">
        <v>0.115</v>
      </c>
      <c r="D647" s="22" t="n">
        <v>0.298</v>
      </c>
      <c r="E647" s="22" t="n">
        <v>0.95</v>
      </c>
      <c r="F647" s="22" t="n">
        <v>1.731</v>
      </c>
      <c r="G647" s="22" t="n">
        <v>1.913</v>
      </c>
      <c r="H647" s="22" t="n">
        <v>2.112</v>
      </c>
      <c r="I647" s="22" t="n">
        <v>3.14</v>
      </c>
      <c r="J647" s="22" t="n">
        <v>0.17</v>
      </c>
      <c r="K647" s="22" t="n">
        <v>2.02</v>
      </c>
      <c r="L647" s="17">
        <f>$J647-$B647</f>
        <v/>
      </c>
      <c r="M647" s="17">
        <f>$I647-$L647</f>
        <v/>
      </c>
      <c r="N647" s="23">
        <f>($G647-$M647)*100</f>
        <v/>
      </c>
      <c r="O647" s="15">
        <f>($E647-$C647)*100</f>
        <v/>
      </c>
      <c r="P647" s="15">
        <f>($G647-$E647)*100</f>
        <v/>
      </c>
      <c r="Q647" s="15">
        <f>($G647-$C647)*100</f>
        <v/>
      </c>
      <c r="R647" s="15">
        <f>IF($H647="","",($H647-$F647)*100)</f>
        <v/>
      </c>
      <c r="S647" s="15">
        <f>IF($H647="","",($H647-$G647)*100)</f>
        <v/>
      </c>
    </row>
    <row r="648">
      <c r="A648" s="11" t="n">
        <v>41019</v>
      </c>
      <c r="B648" s="22" t="n">
        <v>0.108</v>
      </c>
      <c r="C648" s="22" t="n">
        <v>0.105</v>
      </c>
      <c r="D648" s="22" t="n">
        <v>0.29</v>
      </c>
      <c r="E648" s="22" t="n">
        <v>0.945</v>
      </c>
      <c r="F648" s="22" t="n">
        <v>1.735</v>
      </c>
      <c r="G648" s="22" t="n">
        <v>1.922</v>
      </c>
      <c r="H648" s="22" t="n">
        <v>2.121</v>
      </c>
      <c r="I648" s="22" t="n">
        <v>3.12</v>
      </c>
      <c r="J648" s="22" t="n">
        <v>0.18</v>
      </c>
      <c r="K648" s="22" t="n">
        <v>1.99</v>
      </c>
      <c r="L648" s="17">
        <f>$J648-$B648</f>
        <v/>
      </c>
      <c r="M648" s="17">
        <f>$I648-$L648</f>
        <v/>
      </c>
      <c r="N648" s="23">
        <f>($G648-$M648)*100</f>
        <v/>
      </c>
      <c r="O648" s="15">
        <f>($E648-$C648)*100</f>
        <v/>
      </c>
      <c r="P648" s="15">
        <f>($G648-$E648)*100</f>
        <v/>
      </c>
      <c r="Q648" s="15">
        <f>($G648-$C648)*100</f>
        <v/>
      </c>
      <c r="R648" s="15">
        <f>IF($H648="","",($H648-$F648)*100)</f>
        <v/>
      </c>
      <c r="S648" s="15">
        <f>IF($H648="","",($H648-$G648)*100)</f>
        <v/>
      </c>
    </row>
    <row r="649">
      <c r="A649" s="11" t="n">
        <v>41026</v>
      </c>
      <c r="B649" s="22" t="n">
        <v>0.11</v>
      </c>
      <c r="C649" s="22" t="n">
        <v>0.109</v>
      </c>
      <c r="D649" s="22" t="n">
        <v>0.266</v>
      </c>
      <c r="E649" s="22" t="n">
        <v>0.902</v>
      </c>
      <c r="F649" s="22" t="n">
        <v>1.7</v>
      </c>
      <c r="G649" s="22" t="n">
        <v>1.901</v>
      </c>
      <c r="H649" s="22" t="n">
        <v>2.105</v>
      </c>
      <c r="I649" s="22" t="n">
        <v>3.12</v>
      </c>
      <c r="J649" s="22" t="n">
        <v>0.19</v>
      </c>
      <c r="K649" s="22" t="n">
        <v>1.96</v>
      </c>
      <c r="L649" s="17">
        <f>$J649-$B649</f>
        <v/>
      </c>
      <c r="M649" s="17">
        <f>$I649-$L649</f>
        <v/>
      </c>
      <c r="N649" s="23">
        <f>($G649-$M649)*100</f>
        <v/>
      </c>
      <c r="O649" s="15">
        <f>($E649-$C649)*100</f>
        <v/>
      </c>
      <c r="P649" s="15">
        <f>($G649-$E649)*100</f>
        <v/>
      </c>
      <c r="Q649" s="15">
        <f>($G649-$C649)*100</f>
        <v/>
      </c>
      <c r="R649" s="15">
        <f>IF($H649="","",($H649-$F649)*100)</f>
        <v/>
      </c>
      <c r="S649" s="15">
        <f>IF($H649="","",($H649-$G649)*100)</f>
        <v/>
      </c>
    </row>
    <row r="650">
      <c r="A650" s="11" t="n">
        <v>41033</v>
      </c>
      <c r="B650" s="22" t="n">
        <v>0.11</v>
      </c>
      <c r="C650" s="22" t="n">
        <v>0.108</v>
      </c>
      <c r="D650" s="22" t="n">
        <v>0.272</v>
      </c>
      <c r="E650" s="22" t="n">
        <v>0.903</v>
      </c>
      <c r="F650" s="22" t="n">
        <v>1.683</v>
      </c>
      <c r="G650" s="22" t="n">
        <v>1.884</v>
      </c>
      <c r="H650" s="22" t="n">
        <v>2.088</v>
      </c>
      <c r="I650" s="22" t="n">
        <v>3.07</v>
      </c>
      <c r="J650" s="22" t="n">
        <v>0.18</v>
      </c>
      <c r="K650" s="22" t="n">
        <v>1.91</v>
      </c>
      <c r="L650" s="17">
        <f>$J650-$B650</f>
        <v/>
      </c>
      <c r="M650" s="17">
        <f>$I650-$L650</f>
        <v/>
      </c>
      <c r="N650" s="23">
        <f>($G650-$M650)*100</f>
        <v/>
      </c>
      <c r="O650" s="15">
        <f>($E650-$C650)*100</f>
        <v/>
      </c>
      <c r="P650" s="15">
        <f>($G650-$E650)*100</f>
        <v/>
      </c>
      <c r="Q650" s="15">
        <f>($G650-$C650)*100</f>
        <v/>
      </c>
      <c r="R650" s="15">
        <f>IF($H650="","",($H650-$F650)*100)</f>
        <v/>
      </c>
      <c r="S650" s="15">
        <f>IF($H650="","",($H650-$G650)*100)</f>
        <v/>
      </c>
    </row>
    <row r="651">
      <c r="A651" s="11" t="n">
        <v>41040</v>
      </c>
      <c r="B651" s="22" t="n">
        <v>0.112</v>
      </c>
      <c r="C651" s="22" t="n">
        <v>0.109</v>
      </c>
      <c r="D651" s="22" t="n">
        <v>0.254</v>
      </c>
      <c r="E651" s="22" t="n">
        <v>0.865</v>
      </c>
      <c r="F651" s="22" t="n">
        <v>1.661</v>
      </c>
      <c r="G651" s="22" t="n">
        <v>1.855</v>
      </c>
      <c r="H651" s="22" t="n">
        <v>2.054</v>
      </c>
      <c r="I651" s="22" t="n">
        <v>3.02</v>
      </c>
      <c r="J651" s="22" t="n">
        <v>0.18</v>
      </c>
      <c r="K651" s="22" t="n">
        <v>1.84</v>
      </c>
      <c r="L651" s="17">
        <f>$J651-$B651</f>
        <v/>
      </c>
      <c r="M651" s="17">
        <f>$I651-$L651</f>
        <v/>
      </c>
      <c r="N651" s="23">
        <f>($G651-$M651)*100</f>
        <v/>
      </c>
      <c r="O651" s="15">
        <f>($E651-$C651)*100</f>
        <v/>
      </c>
      <c r="P651" s="15">
        <f>($G651-$E651)*100</f>
        <v/>
      </c>
      <c r="Q651" s="15">
        <f>($G651-$C651)*100</f>
        <v/>
      </c>
      <c r="R651" s="15">
        <f>IF($H651="","",($H651-$F651)*100)</f>
        <v/>
      </c>
      <c r="S651" s="15">
        <f>IF($H651="","",($H651-$G651)*100)</f>
        <v/>
      </c>
    </row>
    <row r="652">
      <c r="A652" s="11" t="n">
        <v>41047</v>
      </c>
      <c r="B652" s="22" t="n">
        <v>0.109</v>
      </c>
      <c r="C652" s="22" t="n">
        <v>0.1</v>
      </c>
      <c r="D652" s="22" t="n">
        <v>0.236</v>
      </c>
      <c r="E652" s="22" t="n">
        <v>0.847</v>
      </c>
      <c r="F652" s="22" t="n">
        <v>1.601</v>
      </c>
      <c r="G652" s="22" t="n">
        <v>1.778</v>
      </c>
      <c r="H652" s="22" t="n">
        <v>1.965</v>
      </c>
      <c r="I652" s="22" t="n">
        <v>2.8</v>
      </c>
      <c r="J652" s="22" t="n">
        <v>0.2</v>
      </c>
      <c r="K652" s="22" t="n">
        <v>1.71</v>
      </c>
      <c r="L652" s="17">
        <f>$J652-$B652</f>
        <v/>
      </c>
      <c r="M652" s="17">
        <f>$I652-$L652</f>
        <v/>
      </c>
      <c r="N652" s="23">
        <f>($G652-$M652)*100</f>
        <v/>
      </c>
      <c r="O652" s="15">
        <f>($E652-$C652)*100</f>
        <v/>
      </c>
      <c r="P652" s="15">
        <f>($G652-$E652)*100</f>
        <v/>
      </c>
      <c r="Q652" s="15">
        <f>($G652-$C652)*100</f>
        <v/>
      </c>
      <c r="R652" s="15">
        <f>IF($H652="","",($H652-$F652)*100)</f>
        <v/>
      </c>
      <c r="S652" s="15">
        <f>IF($H652="","",($H652-$G652)*100)</f>
        <v/>
      </c>
    </row>
    <row r="653">
      <c r="A653" s="11" t="n">
        <v>41054</v>
      </c>
      <c r="B653" s="22" t="n">
        <v>0.107</v>
      </c>
      <c r="C653" s="22" t="n">
        <v>0.1</v>
      </c>
      <c r="D653" s="22" t="n">
        <v>0.249</v>
      </c>
      <c r="E653" s="22" t="n">
        <v>0.899</v>
      </c>
      <c r="F653" s="22" t="n">
        <v>1.684</v>
      </c>
      <c r="G653" s="22" t="n">
        <v>1.87</v>
      </c>
      <c r="H653" s="22" t="n">
        <v>2.049</v>
      </c>
      <c r="I653" s="22" t="n">
        <v>2.85</v>
      </c>
      <c r="J653" s="22" t="n">
        <v>0.2</v>
      </c>
      <c r="K653" s="22" t="n">
        <v>1.75</v>
      </c>
      <c r="L653" s="17">
        <f>$J653-$B653</f>
        <v/>
      </c>
      <c r="M653" s="17">
        <f>$I653-$L653</f>
        <v/>
      </c>
      <c r="N653" s="23">
        <f>($G653-$M653)*100</f>
        <v/>
      </c>
      <c r="O653" s="15">
        <f>($E653-$C653)*100</f>
        <v/>
      </c>
      <c r="P653" s="15">
        <f>($G653-$E653)*100</f>
        <v/>
      </c>
      <c r="Q653" s="15">
        <f>($G653-$C653)*100</f>
        <v/>
      </c>
      <c r="R653" s="15">
        <f>IF($H653="","",($H653-$F653)*100)</f>
        <v/>
      </c>
      <c r="S653" s="15">
        <f>IF($H653="","",($H653-$G653)*100)</f>
        <v/>
      </c>
    </row>
    <row r="654">
      <c r="A654" s="11" t="n">
        <v>41061</v>
      </c>
      <c r="B654" s="22" t="n">
        <v>0.104</v>
      </c>
      <c r="C654" s="22" t="n">
        <v>0.1</v>
      </c>
      <c r="D654" s="22" t="n">
        <v>0.218</v>
      </c>
      <c r="E654" s="22" t="n">
        <v>0.836</v>
      </c>
      <c r="F654" s="22" t="n">
        <v>1.624</v>
      </c>
      <c r="G654" s="22" t="n">
        <v>1.81</v>
      </c>
      <c r="H654" s="22" t="n">
        <v>1.986</v>
      </c>
      <c r="I654" s="22" t="n">
        <v>2.53</v>
      </c>
      <c r="J654" s="22" t="n">
        <v>0.17</v>
      </c>
      <c r="K654" s="22" t="n">
        <v>1.47</v>
      </c>
      <c r="L654" s="17">
        <f>$J654-$B654</f>
        <v/>
      </c>
      <c r="M654" s="17">
        <f>$I654-$L654</f>
        <v/>
      </c>
      <c r="N654" s="23">
        <f>($G654-$M654)*100</f>
        <v/>
      </c>
      <c r="O654" s="15">
        <f>($E654-$C654)*100</f>
        <v/>
      </c>
      <c r="P654" s="15">
        <f>($G654-$E654)*100</f>
        <v/>
      </c>
      <c r="Q654" s="15">
        <f>($G654-$C654)*100</f>
        <v/>
      </c>
      <c r="R654" s="15">
        <f>IF($H654="","",($H654-$F654)*100)</f>
        <v/>
      </c>
      <c r="S654" s="15">
        <f>IF($H654="","",($H654-$G654)*100)</f>
        <v/>
      </c>
    </row>
    <row r="655">
      <c r="A655" s="11" t="n">
        <v>41068</v>
      </c>
      <c r="B655" s="22" t="n">
        <v>0.102</v>
      </c>
      <c r="C655" s="22" t="n">
        <v>0.1</v>
      </c>
      <c r="D655" s="22" t="n">
        <v>0.22</v>
      </c>
      <c r="E655" s="22" t="n">
        <v>0.849</v>
      </c>
      <c r="F655" s="22" t="n">
        <v>1.66</v>
      </c>
      <c r="G655" s="22" t="n">
        <v>1.858</v>
      </c>
      <c r="H655" s="22" t="n">
        <v>2.029</v>
      </c>
      <c r="I655" s="22" t="n">
        <v>2.77</v>
      </c>
      <c r="J655" s="22" t="n">
        <v>0.19</v>
      </c>
      <c r="K655" s="22" t="n">
        <v>1.65</v>
      </c>
      <c r="L655" s="17">
        <f>$J655-$B655</f>
        <v/>
      </c>
      <c r="M655" s="17">
        <f>$I655-$L655</f>
        <v/>
      </c>
      <c r="N655" s="23">
        <f>($G655-$M655)*100</f>
        <v/>
      </c>
      <c r="O655" s="15">
        <f>($E655-$C655)*100</f>
        <v/>
      </c>
      <c r="P655" s="15">
        <f>($G655-$E655)*100</f>
        <v/>
      </c>
      <c r="Q655" s="15">
        <f>($G655-$C655)*100</f>
        <v/>
      </c>
      <c r="R655" s="15">
        <f>IF($H655="","",($H655-$F655)*100)</f>
        <v/>
      </c>
      <c r="S655" s="15">
        <f>IF($H655="","",($H655-$G655)*100)</f>
        <v/>
      </c>
    </row>
    <row r="656">
      <c r="A656" s="11" t="n">
        <v>41075</v>
      </c>
      <c r="B656" s="22" t="n">
        <v>0.11</v>
      </c>
      <c r="C656" s="22" t="n">
        <v>0.1</v>
      </c>
      <c r="D656" s="22" t="n">
        <v>0.229</v>
      </c>
      <c r="E656" s="22" t="n">
        <v>0.85</v>
      </c>
      <c r="F656" s="22" t="n">
        <v>1.668</v>
      </c>
      <c r="G656" s="22" t="n">
        <v>1.891</v>
      </c>
      <c r="H656" s="22" t="n">
        <v>2.074</v>
      </c>
      <c r="I656" s="22" t="n">
        <v>2.7</v>
      </c>
      <c r="J656" s="22" t="n">
        <v>0.18</v>
      </c>
      <c r="K656" s="22" t="n">
        <v>1.6</v>
      </c>
      <c r="L656" s="17">
        <f>$J656-$B656</f>
        <v/>
      </c>
      <c r="M656" s="17">
        <f>$I656-$L656</f>
        <v/>
      </c>
      <c r="N656" s="23">
        <f>($G656-$M656)*100</f>
        <v/>
      </c>
      <c r="O656" s="15">
        <f>($E656-$C656)*100</f>
        <v/>
      </c>
      <c r="P656" s="15">
        <f>($G656-$E656)*100</f>
        <v/>
      </c>
      <c r="Q656" s="15">
        <f>($G656-$C656)*100</f>
        <v/>
      </c>
      <c r="R656" s="15">
        <f>IF($H656="","",($H656-$F656)*100)</f>
        <v/>
      </c>
      <c r="S656" s="15">
        <f>IF($H656="","",($H656-$G656)*100)</f>
        <v/>
      </c>
    </row>
    <row r="657">
      <c r="A657" s="11" t="n">
        <v>41082</v>
      </c>
      <c r="B657" s="22" t="n">
        <v>0.108</v>
      </c>
      <c r="C657" s="22" t="n">
        <v>0.1</v>
      </c>
      <c r="D657" s="22" t="n">
        <v>0.217</v>
      </c>
      <c r="E657" s="22" t="n">
        <v>0.828</v>
      </c>
      <c r="F657" s="22" t="n">
        <v>1.661</v>
      </c>
      <c r="G657" s="22" t="n">
        <v>1.892</v>
      </c>
      <c r="H657" s="22" t="n">
        <v>2.082</v>
      </c>
      <c r="I657" s="22" t="n">
        <v>2.75</v>
      </c>
      <c r="J657" s="22" t="n">
        <v>0.19</v>
      </c>
      <c r="K657" s="22" t="n">
        <v>1.69</v>
      </c>
      <c r="L657" s="17">
        <f>$J657-$B657</f>
        <v/>
      </c>
      <c r="M657" s="17">
        <f>$I657-$L657</f>
        <v/>
      </c>
      <c r="N657" s="23">
        <f>($G657-$M657)*100</f>
        <v/>
      </c>
      <c r="O657" s="15">
        <f>($E657-$C657)*100</f>
        <v/>
      </c>
      <c r="P657" s="15">
        <f>($G657-$E657)*100</f>
        <v/>
      </c>
      <c r="Q657" s="15">
        <f>($G657-$C657)*100</f>
        <v/>
      </c>
      <c r="R657" s="15">
        <f>IF($H657="","",($H657-$F657)*100)</f>
        <v/>
      </c>
      <c r="S657" s="15">
        <f>IF($H657="","",($H657-$G657)*100)</f>
        <v/>
      </c>
    </row>
    <row r="658">
      <c r="A658" s="11" t="n">
        <v>41089</v>
      </c>
      <c r="B658" s="22" t="n">
        <v>0.106</v>
      </c>
      <c r="C658" s="22" t="n">
        <v>0.1</v>
      </c>
      <c r="D658" s="22" t="n">
        <v>0.218</v>
      </c>
      <c r="E658" s="22" t="n">
        <v>0.839</v>
      </c>
      <c r="F658" s="22" t="n">
        <v>1.665</v>
      </c>
      <c r="G658" s="22" t="n">
        <v>1.902</v>
      </c>
      <c r="H658" s="22" t="n">
        <v>2.107</v>
      </c>
      <c r="I658" s="22" t="n">
        <v>2.76</v>
      </c>
      <c r="J658" s="22" t="n">
        <v>0.21</v>
      </c>
      <c r="K658" s="22" t="n">
        <v>1.67</v>
      </c>
      <c r="L658" s="17">
        <f>$J658-$B658</f>
        <v/>
      </c>
      <c r="M658" s="17">
        <f>$I658-$L658</f>
        <v/>
      </c>
      <c r="N658" s="23">
        <f>($G658-$M658)*100</f>
        <v/>
      </c>
      <c r="O658" s="15">
        <f>($E658-$C658)*100</f>
        <v/>
      </c>
      <c r="P658" s="15">
        <f>($G658-$E658)*100</f>
        <v/>
      </c>
      <c r="Q658" s="15">
        <f>($G658-$C658)*100</f>
        <v/>
      </c>
      <c r="R658" s="15">
        <f>IF($H658="","",($H658-$F658)*100)</f>
        <v/>
      </c>
      <c r="S658" s="15">
        <f>IF($H658="","",($H658-$G658)*100)</f>
        <v/>
      </c>
    </row>
    <row r="659">
      <c r="A659" s="11" t="n">
        <v>41096</v>
      </c>
      <c r="B659" s="22" t="n">
        <v>0.103</v>
      </c>
      <c r="C659" s="22" t="n">
        <v>0.1</v>
      </c>
      <c r="D659" s="22" t="n">
        <v>0.199</v>
      </c>
      <c r="E659" s="22" t="n">
        <v>0.805</v>
      </c>
      <c r="F659" s="22" t="n">
        <v>1.635</v>
      </c>
      <c r="G659" s="22" t="n">
        <v>1.891</v>
      </c>
      <c r="H659" s="22" t="n">
        <v>2.082</v>
      </c>
      <c r="I659" s="22" t="n">
        <v>2.66</v>
      </c>
      <c r="J659" s="22" t="n">
        <v>0.2</v>
      </c>
      <c r="K659" s="22" t="n">
        <v>1.57</v>
      </c>
      <c r="L659" s="17">
        <f>$J659-$B659</f>
        <v/>
      </c>
      <c r="M659" s="17">
        <f>$I659-$L659</f>
        <v/>
      </c>
      <c r="N659" s="23">
        <f>($G659-$M659)*100</f>
        <v/>
      </c>
      <c r="O659" s="15">
        <f>($E659-$C659)*100</f>
        <v/>
      </c>
      <c r="P659" s="15">
        <f>($G659-$E659)*100</f>
        <v/>
      </c>
      <c r="Q659" s="15">
        <f>($G659-$C659)*100</f>
        <v/>
      </c>
      <c r="R659" s="15">
        <f>IF($H659="","",($H659-$F659)*100)</f>
        <v/>
      </c>
      <c r="S659" s="15">
        <f>IF($H659="","",($H659-$G659)*100)</f>
        <v/>
      </c>
    </row>
    <row r="660">
      <c r="A660" s="11" t="n">
        <v>41103</v>
      </c>
      <c r="B660" s="22" t="n">
        <v>0.101</v>
      </c>
      <c r="C660" s="22" t="n">
        <v>0.1</v>
      </c>
      <c r="D660" s="22" t="n">
        <v>0.186</v>
      </c>
      <c r="E660" s="22" t="n">
        <v>0.774</v>
      </c>
      <c r="F660" s="22" t="n">
        <v>1.596</v>
      </c>
      <c r="G660" s="22" t="n">
        <v>1.823</v>
      </c>
      <c r="H660" s="22" t="n">
        <v>2.024</v>
      </c>
      <c r="I660" s="22" t="n">
        <v>2.58</v>
      </c>
      <c r="J660" s="22" t="n">
        <v>0.2</v>
      </c>
      <c r="K660" s="22" t="n">
        <v>1.52</v>
      </c>
      <c r="L660" s="17">
        <f>$J660-$B660</f>
        <v/>
      </c>
      <c r="M660" s="17">
        <f>$I660-$L660</f>
        <v/>
      </c>
      <c r="N660" s="23">
        <f>($G660-$M660)*100</f>
        <v/>
      </c>
      <c r="O660" s="15">
        <f>($E660-$C660)*100</f>
        <v/>
      </c>
      <c r="P660" s="15">
        <f>($G660-$E660)*100</f>
        <v/>
      </c>
      <c r="Q660" s="15">
        <f>($G660-$C660)*100</f>
        <v/>
      </c>
      <c r="R660" s="15">
        <f>IF($H660="","",($H660-$F660)*100)</f>
        <v/>
      </c>
      <c r="S660" s="15">
        <f>IF($H660="","",($H660-$G660)*100)</f>
        <v/>
      </c>
    </row>
    <row r="661">
      <c r="A661" s="11" t="n">
        <v>41110</v>
      </c>
      <c r="B661" s="22" t="n">
        <v>0.108</v>
      </c>
      <c r="C661" s="22" t="n">
        <v>0.1</v>
      </c>
      <c r="D661" s="22" t="n">
        <v>0.187</v>
      </c>
      <c r="E661" s="22" t="n">
        <v>0.752</v>
      </c>
      <c r="F661" s="22" t="n">
        <v>1.561</v>
      </c>
      <c r="G661" s="22" t="n">
        <v>1.781</v>
      </c>
      <c r="H661" s="22" t="n">
        <v>1.976</v>
      </c>
      <c r="I661" s="22" t="n">
        <v>2.55</v>
      </c>
      <c r="J661" s="22" t="n">
        <v>0.17</v>
      </c>
      <c r="K661" s="22" t="n">
        <v>1.49</v>
      </c>
      <c r="L661" s="17">
        <f>$J661-$B661</f>
        <v/>
      </c>
      <c r="M661" s="17">
        <f>$I661-$L661</f>
        <v/>
      </c>
      <c r="N661" s="23">
        <f>($G661-$M661)*100</f>
        <v/>
      </c>
      <c r="O661" s="15">
        <f>($E661-$C661)*100</f>
        <v/>
      </c>
      <c r="P661" s="15">
        <f>($G661-$E661)*100</f>
        <v/>
      </c>
      <c r="Q661" s="15">
        <f>($G661-$C661)*100</f>
        <v/>
      </c>
      <c r="R661" s="15">
        <f>IF($H661="","",($H661-$F661)*100)</f>
        <v/>
      </c>
      <c r="S661" s="15">
        <f>IF($H661="","",($H661-$G661)*100)</f>
        <v/>
      </c>
    </row>
    <row r="662">
      <c r="A662" s="11" t="n">
        <v>41117</v>
      </c>
      <c r="B662" s="22" t="n">
        <v>0.106</v>
      </c>
      <c r="C662" s="22" t="n">
        <v>0.1</v>
      </c>
      <c r="D662" s="22" t="n">
        <v>0.189</v>
      </c>
      <c r="E662" s="22" t="n">
        <v>0.753</v>
      </c>
      <c r="F662" s="22" t="n">
        <v>1.562</v>
      </c>
      <c r="G662" s="22" t="n">
        <v>1.806</v>
      </c>
      <c r="H662" s="22" t="n">
        <v>2.002</v>
      </c>
      <c r="I662" s="22" t="n">
        <v>2.63</v>
      </c>
      <c r="J662" s="22" t="n">
        <v>0.17</v>
      </c>
      <c r="K662" s="22" t="n">
        <v>1.58</v>
      </c>
      <c r="L662" s="17">
        <f>$J662-$B662</f>
        <v/>
      </c>
      <c r="M662" s="17">
        <f>$I662-$L662</f>
        <v/>
      </c>
      <c r="N662" s="23">
        <f>($G662-$M662)*100</f>
        <v/>
      </c>
      <c r="O662" s="15">
        <f>($E662-$C662)*100</f>
        <v/>
      </c>
      <c r="P662" s="15">
        <f>($G662-$E662)*100</f>
        <v/>
      </c>
      <c r="Q662" s="15">
        <f>($G662-$C662)*100</f>
        <v/>
      </c>
      <c r="R662" s="15">
        <f>IF($H662="","",($H662-$F662)*100)</f>
        <v/>
      </c>
      <c r="S662" s="15">
        <f>IF($H662="","",($H662-$G662)*100)</f>
        <v/>
      </c>
    </row>
    <row r="663">
      <c r="A663" s="11" t="n">
        <v>41124</v>
      </c>
      <c r="B663" s="22" t="n">
        <v>0.104</v>
      </c>
      <c r="C663" s="22" t="n">
        <v>0.092</v>
      </c>
      <c r="D663" s="22" t="n">
        <v>0.177</v>
      </c>
      <c r="E663" s="22" t="n">
        <v>0.744</v>
      </c>
      <c r="F663" s="22" t="n">
        <v>1.562</v>
      </c>
      <c r="G663" s="22" t="n">
        <v>1.816</v>
      </c>
      <c r="H663" s="22" t="n">
        <v>2.024</v>
      </c>
      <c r="I663" s="22" t="n">
        <v>2.65</v>
      </c>
      <c r="J663" s="22" t="n">
        <v>0.16</v>
      </c>
      <c r="K663" s="22" t="n">
        <v>1.6</v>
      </c>
      <c r="L663" s="17">
        <f>$J663-$B663</f>
        <v/>
      </c>
      <c r="M663" s="17">
        <f>$I663-$L663</f>
        <v/>
      </c>
      <c r="N663" s="23">
        <f>($G663-$M663)*100</f>
        <v/>
      </c>
      <c r="O663" s="15">
        <f>($E663-$C663)*100</f>
        <v/>
      </c>
      <c r="P663" s="15">
        <f>($G663-$E663)*100</f>
        <v/>
      </c>
      <c r="Q663" s="15">
        <f>($G663-$C663)*100</f>
        <v/>
      </c>
      <c r="R663" s="15">
        <f>IF($H663="","",($H663-$F663)*100)</f>
        <v/>
      </c>
      <c r="S663" s="15">
        <f>IF($H663="","",($H663-$G663)*100)</f>
        <v/>
      </c>
    </row>
    <row r="664">
      <c r="A664" s="11" t="n">
        <v>41131</v>
      </c>
      <c r="B664" s="22" t="n">
        <v>0.102</v>
      </c>
      <c r="C664" s="22" t="n">
        <v>0.091</v>
      </c>
      <c r="D664" s="22" t="n">
        <v>0.204</v>
      </c>
      <c r="E664" s="22" t="n">
        <v>0.8090000000000001</v>
      </c>
      <c r="F664" s="22" t="n">
        <v>1.611</v>
      </c>
      <c r="G664" s="22" t="n">
        <v>1.864</v>
      </c>
      <c r="H664" s="22" t="n">
        <v>2.08</v>
      </c>
      <c r="I664" s="22" t="n">
        <v>2.74</v>
      </c>
      <c r="J664" s="22" t="n">
        <v>0.18</v>
      </c>
      <c r="K664" s="22" t="n">
        <v>1.65</v>
      </c>
      <c r="L664" s="17">
        <f>$J664-$B664</f>
        <v/>
      </c>
      <c r="M664" s="17">
        <f>$I664-$L664</f>
        <v/>
      </c>
      <c r="N664" s="23">
        <f>($G664-$M664)*100</f>
        <v/>
      </c>
      <c r="O664" s="15">
        <f>($E664-$C664)*100</f>
        <v/>
      </c>
      <c r="P664" s="15">
        <f>($G664-$E664)*100</f>
        <v/>
      </c>
      <c r="Q664" s="15">
        <f>($G664-$C664)*100</f>
        <v/>
      </c>
      <c r="R664" s="15">
        <f>IF($H664="","",($H664-$F664)*100)</f>
        <v/>
      </c>
      <c r="S664" s="15">
        <f>IF($H664="","",($H664-$G664)*100)</f>
        <v/>
      </c>
    </row>
    <row r="665">
      <c r="A665" s="11" t="n">
        <v>41138</v>
      </c>
      <c r="B665" s="22" t="n">
        <v>0.099</v>
      </c>
      <c r="C665" s="22" t="n">
        <v>0.1</v>
      </c>
      <c r="D665" s="22" t="n">
        <v>0.246</v>
      </c>
      <c r="E665" s="22" t="n">
        <v>0.845</v>
      </c>
      <c r="F665" s="22" t="n">
        <v>1.641</v>
      </c>
      <c r="G665" s="22" t="n">
        <v>1.878</v>
      </c>
      <c r="H665" s="22" t="n">
        <v>2.088</v>
      </c>
      <c r="I665" s="22" t="n">
        <v>2.93</v>
      </c>
      <c r="J665" s="22" t="n">
        <v>0.2</v>
      </c>
      <c r="K665" s="22" t="n">
        <v>1.81</v>
      </c>
      <c r="L665" s="17">
        <f>$J665-$B665</f>
        <v/>
      </c>
      <c r="M665" s="17">
        <f>$I665-$L665</f>
        <v/>
      </c>
      <c r="N665" s="23">
        <f>($G665-$M665)*100</f>
        <v/>
      </c>
      <c r="O665" s="15">
        <f>($E665-$C665)*100</f>
        <v/>
      </c>
      <c r="P665" s="15">
        <f>($G665-$E665)*100</f>
        <v/>
      </c>
      <c r="Q665" s="15">
        <f>($G665-$C665)*100</f>
        <v/>
      </c>
      <c r="R665" s="15">
        <f>IF($H665="","",($H665-$F665)*100)</f>
        <v/>
      </c>
      <c r="S665" s="15">
        <f>IF($H665="","",($H665-$G665)*100)</f>
        <v/>
      </c>
    </row>
    <row r="666">
      <c r="A666" s="11" t="n">
        <v>41145</v>
      </c>
      <c r="B666" s="22" t="n">
        <v>0.098</v>
      </c>
      <c r="C666" s="22" t="n">
        <v>0.1</v>
      </c>
      <c r="D666" s="22" t="n">
        <v>0.222</v>
      </c>
      <c r="E666" s="22" t="n">
        <v>0.825</v>
      </c>
      <c r="F666" s="22" t="n">
        <v>1.662</v>
      </c>
      <c r="G666" s="22" t="n">
        <v>1.907</v>
      </c>
      <c r="H666" s="22" t="n">
        <v>2.119</v>
      </c>
      <c r="I666" s="22" t="n">
        <v>2.79</v>
      </c>
      <c r="J666" s="22" t="n">
        <v>0.19</v>
      </c>
      <c r="K666" s="22" t="n">
        <v>1.68</v>
      </c>
      <c r="L666" s="17">
        <f>$J666-$B666</f>
        <v/>
      </c>
      <c r="M666" s="17">
        <f>$I666-$L666</f>
        <v/>
      </c>
      <c r="N666" s="23">
        <f>($G666-$M666)*100</f>
        <v/>
      </c>
      <c r="O666" s="15">
        <f>($E666-$C666)*100</f>
        <v/>
      </c>
      <c r="P666" s="15">
        <f>($G666-$E666)*100</f>
        <v/>
      </c>
      <c r="Q666" s="15">
        <f>($G666-$C666)*100</f>
        <v/>
      </c>
      <c r="R666" s="15">
        <f>IF($H666="","",($H666-$F666)*100)</f>
        <v/>
      </c>
      <c r="S666" s="15">
        <f>IF($H666="","",($H666-$G666)*100)</f>
        <v/>
      </c>
    </row>
    <row r="667">
      <c r="A667" s="11" t="n">
        <v>41152</v>
      </c>
      <c r="B667" s="22" t="n">
        <v>0.097</v>
      </c>
      <c r="C667" s="22" t="n">
        <v>0.097</v>
      </c>
      <c r="D667" s="22" t="n">
        <v>0.224</v>
      </c>
      <c r="E667" s="22" t="n">
        <v>0.8169999999999999</v>
      </c>
      <c r="F667" s="22" t="n">
        <v>1.655</v>
      </c>
      <c r="G667" s="22" t="n">
        <v>1.909</v>
      </c>
      <c r="H667" s="22" t="n">
        <v>2.121</v>
      </c>
      <c r="I667" s="22" t="n">
        <v>2.68</v>
      </c>
      <c r="J667" s="22" t="n">
        <v>0.16</v>
      </c>
      <c r="K667" s="22" t="n">
        <v>1.57</v>
      </c>
      <c r="L667" s="17">
        <f>$J667-$B667</f>
        <v/>
      </c>
      <c r="M667" s="17">
        <f>$I667-$L667</f>
        <v/>
      </c>
      <c r="N667" s="23">
        <f>($G667-$M667)*100</f>
        <v/>
      </c>
      <c r="O667" s="15">
        <f>($E667-$C667)*100</f>
        <v/>
      </c>
      <c r="P667" s="15">
        <f>($G667-$E667)*100</f>
        <v/>
      </c>
      <c r="Q667" s="15">
        <f>($G667-$C667)*100</f>
        <v/>
      </c>
      <c r="R667" s="15">
        <f>IF($H667="","",($H667-$F667)*100)</f>
        <v/>
      </c>
      <c r="S667" s="15">
        <f>IF($H667="","",($H667-$G667)*100)</f>
        <v/>
      </c>
    </row>
    <row r="668">
      <c r="A668" s="11" t="n">
        <v>41159</v>
      </c>
      <c r="B668" s="22" t="n">
        <v>0.101</v>
      </c>
      <c r="C668" s="22" t="n">
        <v>0.096</v>
      </c>
      <c r="D668" s="22" t="n">
        <v>0.224</v>
      </c>
      <c r="E668" s="22" t="n">
        <v>0.8110000000000001</v>
      </c>
      <c r="F668" s="22" t="n">
        <v>1.655</v>
      </c>
      <c r="G668" s="22" t="n">
        <v>1.899</v>
      </c>
      <c r="H668" s="22" t="n">
        <v>2.101</v>
      </c>
      <c r="I668" s="22" t="n">
        <v>2.81</v>
      </c>
      <c r="J668" s="22" t="n">
        <v>0.18</v>
      </c>
      <c r="K668" s="22" t="n">
        <v>1.67</v>
      </c>
      <c r="L668" s="17">
        <f>$J668-$B668</f>
        <v/>
      </c>
      <c r="M668" s="17">
        <f>$I668-$L668</f>
        <v/>
      </c>
      <c r="N668" s="23">
        <f>($G668-$M668)*100</f>
        <v/>
      </c>
      <c r="O668" s="15">
        <f>($E668-$C668)*100</f>
        <v/>
      </c>
      <c r="P668" s="15">
        <f>($G668-$E668)*100</f>
        <v/>
      </c>
      <c r="Q668" s="15">
        <f>($G668-$C668)*100</f>
        <v/>
      </c>
      <c r="R668" s="15">
        <f>IF($H668="","",($H668-$F668)*100)</f>
        <v/>
      </c>
      <c r="S668" s="15">
        <f>IF($H668="","",($H668-$G668)*100)</f>
        <v/>
      </c>
    </row>
    <row r="669">
      <c r="A669" s="11" t="n">
        <v>41166</v>
      </c>
      <c r="B669" s="22" t="n">
        <v>0.1</v>
      </c>
      <c r="C669" s="22" t="n">
        <v>0.1</v>
      </c>
      <c r="D669" s="22" t="n">
        <v>0.205</v>
      </c>
      <c r="E669" s="22" t="n">
        <v>0.794</v>
      </c>
      <c r="F669" s="22" t="n">
        <v>1.66</v>
      </c>
      <c r="G669" s="22" t="n">
        <v>1.9</v>
      </c>
      <c r="H669" s="22" t="n">
        <v>2.087</v>
      </c>
      <c r="I669" s="22" t="n">
        <v>3.09</v>
      </c>
      <c r="J669" s="22" t="n">
        <v>0.18</v>
      </c>
      <c r="K669" s="22" t="n">
        <v>1.88</v>
      </c>
      <c r="L669" s="17">
        <f>$J669-$B669</f>
        <v/>
      </c>
      <c r="M669" s="17">
        <f>$I669-$L669</f>
        <v/>
      </c>
      <c r="N669" s="23">
        <f>($G669-$M669)*100</f>
        <v/>
      </c>
      <c r="O669" s="15">
        <f>($E669-$C669)*100</f>
        <v/>
      </c>
      <c r="P669" s="15">
        <f>($G669-$E669)*100</f>
        <v/>
      </c>
      <c r="Q669" s="15">
        <f>($G669-$C669)*100</f>
        <v/>
      </c>
      <c r="R669" s="15">
        <f>IF($H669="","",($H669-$F669)*100)</f>
        <v/>
      </c>
      <c r="S669" s="15">
        <f>IF($H669="","",($H669-$G669)*100)</f>
        <v/>
      </c>
    </row>
    <row r="670">
      <c r="A670" s="11" t="n">
        <v>41173</v>
      </c>
      <c r="B670" s="22" t="n">
        <v>0.1</v>
      </c>
      <c r="C670" s="22" t="n">
        <v>0.1</v>
      </c>
      <c r="D670" s="22" t="n">
        <v>0.206</v>
      </c>
      <c r="E670" s="22" t="n">
        <v>0.8</v>
      </c>
      <c r="F670" s="22" t="n">
        <v>1.67</v>
      </c>
      <c r="G670" s="22" t="n">
        <v>1.917</v>
      </c>
      <c r="H670" s="22" t="n">
        <v>2.103</v>
      </c>
      <c r="I670" s="22" t="n">
        <v>2.95</v>
      </c>
      <c r="J670" s="22" t="n">
        <v>0.18</v>
      </c>
      <c r="K670" s="22" t="n">
        <v>1.77</v>
      </c>
      <c r="L670" s="17">
        <f>$J670-$B670</f>
        <v/>
      </c>
      <c r="M670" s="17">
        <f>$I670-$L670</f>
        <v/>
      </c>
      <c r="N670" s="23">
        <f>($G670-$M670)*100</f>
        <v/>
      </c>
      <c r="O670" s="15">
        <f>($E670-$C670)*100</f>
        <v/>
      </c>
      <c r="P670" s="15">
        <f>($G670-$E670)*100</f>
        <v/>
      </c>
      <c r="Q670" s="15">
        <f>($G670-$C670)*100</f>
        <v/>
      </c>
      <c r="R670" s="15">
        <f>IF($H670="","",($H670-$F670)*100)</f>
        <v/>
      </c>
      <c r="S670" s="15">
        <f>IF($H670="","",($H670-$G670)*100)</f>
        <v/>
      </c>
    </row>
    <row r="671">
      <c r="A671" s="11" t="n">
        <v>41180</v>
      </c>
      <c r="B671" s="22" t="n">
        <v>0.1</v>
      </c>
      <c r="C671" s="22" t="n">
        <v>0.1</v>
      </c>
      <c r="D671" s="22" t="n">
        <v>0.198</v>
      </c>
      <c r="E671" s="22" t="n">
        <v>0.774</v>
      </c>
      <c r="F671" s="22" t="n">
        <v>1.648</v>
      </c>
      <c r="G671" s="22" t="n">
        <v>1.892</v>
      </c>
      <c r="H671" s="22" t="n">
        <v>2.08</v>
      </c>
      <c r="I671" s="22" t="n">
        <v>2.82</v>
      </c>
      <c r="J671" s="22" t="n">
        <v>0.17</v>
      </c>
      <c r="K671" s="22" t="n">
        <v>1.65</v>
      </c>
      <c r="L671" s="17">
        <f>$J671-$B671</f>
        <v/>
      </c>
      <c r="M671" s="17">
        <f>$I671-$L671</f>
        <v/>
      </c>
      <c r="N671" s="23">
        <f>($G671-$M671)*100</f>
        <v/>
      </c>
      <c r="O671" s="15">
        <f>($E671-$C671)*100</f>
        <v/>
      </c>
      <c r="P671" s="15">
        <f>($G671-$E671)*100</f>
        <v/>
      </c>
      <c r="Q671" s="15">
        <f>($G671-$C671)*100</f>
        <v/>
      </c>
      <c r="R671" s="15">
        <f>IF($H671="","",($H671-$F671)*100)</f>
        <v/>
      </c>
      <c r="S671" s="15">
        <f>IF($H671="","",($H671-$G671)*100)</f>
        <v/>
      </c>
    </row>
    <row r="672">
      <c r="A672" s="11" t="n">
        <v>41187</v>
      </c>
      <c r="B672" s="22" t="n">
        <v>0.1</v>
      </c>
      <c r="C672" s="22" t="n">
        <v>0.1</v>
      </c>
      <c r="D672" s="22" t="n">
        <v>0.199</v>
      </c>
      <c r="E672" s="22" t="n">
        <v>0.78</v>
      </c>
      <c r="F672" s="22" t="n">
        <v>1.667</v>
      </c>
      <c r="G672" s="22" t="n">
        <v>1.918</v>
      </c>
      <c r="H672" s="22" t="n">
        <v>2.102</v>
      </c>
      <c r="I672" s="22" t="n">
        <v>2.96</v>
      </c>
      <c r="J672" s="22" t="n">
        <v>0.18</v>
      </c>
      <c r="K672" s="22" t="n">
        <v>1.75</v>
      </c>
      <c r="L672" s="17">
        <f>$J672-$B672</f>
        <v/>
      </c>
      <c r="M672" s="17">
        <f>$I672-$L672</f>
        <v/>
      </c>
      <c r="N672" s="23">
        <f>($G672-$M672)*100</f>
        <v/>
      </c>
      <c r="O672" s="15">
        <f>($E672-$C672)*100</f>
        <v/>
      </c>
      <c r="P672" s="15">
        <f>($G672-$E672)*100</f>
        <v/>
      </c>
      <c r="Q672" s="15">
        <f>($G672-$C672)*100</f>
        <v/>
      </c>
      <c r="R672" s="15">
        <f>IF($H672="","",($H672-$F672)*100)</f>
        <v/>
      </c>
      <c r="S672" s="15">
        <f>IF($H672="","",($H672-$G672)*100)</f>
        <v/>
      </c>
    </row>
    <row r="673">
      <c r="A673" s="11" t="n">
        <v>41194</v>
      </c>
      <c r="B673" s="22" t="n">
        <v>0.1</v>
      </c>
      <c r="C673" s="22" t="n">
        <v>0.1</v>
      </c>
      <c r="D673" s="22" t="n">
        <v>0.2</v>
      </c>
      <c r="E673" s="22" t="n">
        <v>0.769</v>
      </c>
      <c r="F673" s="22" t="n">
        <v>1.658</v>
      </c>
      <c r="G673" s="22" t="n">
        <v>1.918</v>
      </c>
      <c r="H673" s="22" t="n">
        <v>2.098</v>
      </c>
      <c r="I673" s="22" t="n">
        <v>2.83</v>
      </c>
      <c r="J673" s="22" t="n">
        <v>0.18</v>
      </c>
      <c r="K673" s="22" t="n">
        <v>1.69</v>
      </c>
      <c r="L673" s="17">
        <f>$J673-$B673</f>
        <v/>
      </c>
      <c r="M673" s="17">
        <f>$I673-$L673</f>
        <v/>
      </c>
      <c r="N673" s="23">
        <f>($G673-$M673)*100</f>
        <v/>
      </c>
      <c r="O673" s="15">
        <f>($E673-$C673)*100</f>
        <v/>
      </c>
      <c r="P673" s="15">
        <f>($G673-$E673)*100</f>
        <v/>
      </c>
      <c r="Q673" s="15">
        <f>($G673-$C673)*100</f>
        <v/>
      </c>
      <c r="R673" s="15">
        <f>IF($H673="","",($H673-$F673)*100)</f>
        <v/>
      </c>
      <c r="S673" s="15">
        <f>IF($H673="","",($H673-$G673)*100)</f>
        <v/>
      </c>
    </row>
    <row r="674">
      <c r="A674" s="11" t="n">
        <v>41201</v>
      </c>
      <c r="B674" s="22" t="n">
        <v>0.1</v>
      </c>
      <c r="C674" s="22" t="n">
        <v>0.1</v>
      </c>
      <c r="D674" s="22" t="n">
        <v>0.206</v>
      </c>
      <c r="E674" s="22" t="n">
        <v>0.79</v>
      </c>
      <c r="F674" s="22" t="n">
        <v>1.68</v>
      </c>
      <c r="G674" s="22" t="n">
        <v>1.927</v>
      </c>
      <c r="H674" s="22" t="n">
        <v>2.104</v>
      </c>
      <c r="I674" s="22" t="n">
        <v>2.94</v>
      </c>
      <c r="J674" s="22" t="n">
        <v>0.18</v>
      </c>
      <c r="K674" s="22" t="n">
        <v>1.79</v>
      </c>
      <c r="L674" s="17">
        <f>$J674-$B674</f>
        <v/>
      </c>
      <c r="M674" s="17">
        <f>$I674-$L674</f>
        <v/>
      </c>
      <c r="N674" s="23">
        <f>($G674-$M674)*100</f>
        <v/>
      </c>
      <c r="O674" s="15">
        <f>($E674-$C674)*100</f>
        <v/>
      </c>
      <c r="P674" s="15">
        <f>($G674-$E674)*100</f>
        <v/>
      </c>
      <c r="Q674" s="15">
        <f>($G674-$C674)*100</f>
        <v/>
      </c>
      <c r="R674" s="15">
        <f>IF($H674="","",($H674-$F674)*100)</f>
        <v/>
      </c>
      <c r="S674" s="15">
        <f>IF($H674="","",($H674-$G674)*100)</f>
        <v/>
      </c>
    </row>
    <row r="675">
      <c r="A675" s="11" t="n">
        <v>41208</v>
      </c>
      <c r="B675" s="22" t="n">
        <v>0.098</v>
      </c>
      <c r="C675" s="22" t="n">
        <v>0.098</v>
      </c>
      <c r="D675" s="22" t="n">
        <v>0.193</v>
      </c>
      <c r="E675" s="22" t="n">
        <v>0.772</v>
      </c>
      <c r="F675" s="22" t="n">
        <v>1.676</v>
      </c>
      <c r="G675" s="22" t="n">
        <v>1.926</v>
      </c>
      <c r="H675" s="22" t="n">
        <v>2.116</v>
      </c>
      <c r="I675" s="22" t="n">
        <v>2.92</v>
      </c>
      <c r="J675" s="22" t="n">
        <v>0.19</v>
      </c>
      <c r="K675" s="22" t="n">
        <v>1.78</v>
      </c>
      <c r="L675" s="17">
        <f>$J675-$B675</f>
        <v/>
      </c>
      <c r="M675" s="17">
        <f>$I675-$L675</f>
        <v/>
      </c>
      <c r="N675" s="23">
        <f>($G675-$M675)*100</f>
        <v/>
      </c>
      <c r="O675" s="15">
        <f>($E675-$C675)*100</f>
        <v/>
      </c>
      <c r="P675" s="15">
        <f>($G675-$E675)*100</f>
        <v/>
      </c>
      <c r="Q675" s="15">
        <f>($G675-$C675)*100</f>
        <v/>
      </c>
      <c r="R675" s="15">
        <f>IF($H675="","",($H675-$F675)*100)</f>
        <v/>
      </c>
      <c r="S675" s="15">
        <f>IF($H675="","",($H675-$G675)*100)</f>
        <v/>
      </c>
    </row>
    <row r="676">
      <c r="A676" s="11" t="n">
        <v>41215</v>
      </c>
      <c r="B676" s="22" t="n">
        <v>0.101</v>
      </c>
      <c r="C676" s="22" t="n">
        <v>0.097</v>
      </c>
      <c r="D676" s="22" t="n">
        <v>0.208</v>
      </c>
      <c r="E676" s="22" t="n">
        <v>0.789</v>
      </c>
      <c r="F676" s="22" t="n">
        <v>1.685</v>
      </c>
      <c r="G676" s="22" t="n">
        <v>1.935</v>
      </c>
      <c r="H676" s="22" t="n">
        <v>2.143</v>
      </c>
      <c r="I676" s="22" t="n">
        <v>2.91</v>
      </c>
      <c r="J676" s="22" t="n">
        <v>0.19</v>
      </c>
      <c r="K676" s="22" t="n">
        <v>1.75</v>
      </c>
      <c r="L676" s="17">
        <f>$J676-$B676</f>
        <v/>
      </c>
      <c r="M676" s="17">
        <f>$I676-$L676</f>
        <v/>
      </c>
      <c r="N676" s="23">
        <f>($G676-$M676)*100</f>
        <v/>
      </c>
      <c r="O676" s="15">
        <f>($E676-$C676)*100</f>
        <v/>
      </c>
      <c r="P676" s="15">
        <f>($G676-$E676)*100</f>
        <v/>
      </c>
      <c r="Q676" s="15">
        <f>($G676-$C676)*100</f>
        <v/>
      </c>
      <c r="R676" s="15">
        <f>IF($H676="","",($H676-$F676)*100)</f>
        <v/>
      </c>
      <c r="S676" s="15">
        <f>IF($H676="","",($H676-$G676)*100)</f>
        <v/>
      </c>
    </row>
    <row r="677">
      <c r="A677" s="11" t="n">
        <v>41222</v>
      </c>
      <c r="B677" s="22" t="n">
        <v>0.101</v>
      </c>
      <c r="C677" s="22" t="n">
        <v>0.096</v>
      </c>
      <c r="D677" s="22" t="n">
        <v>0.201</v>
      </c>
      <c r="E677" s="22" t="n">
        <v>0.748</v>
      </c>
      <c r="F677" s="22" t="n">
        <v>1.661</v>
      </c>
      <c r="G677" s="22" t="n">
        <v>1.912</v>
      </c>
      <c r="H677" s="22" t="n">
        <v>2.104</v>
      </c>
      <c r="I677" s="22" t="n">
        <v>2.75</v>
      </c>
      <c r="J677" s="22" t="n">
        <v>0.18</v>
      </c>
      <c r="K677" s="22" t="n">
        <v>1.61</v>
      </c>
      <c r="L677" s="17">
        <f>$J677-$B677</f>
        <v/>
      </c>
      <c r="M677" s="17">
        <f>$I677-$L677</f>
        <v/>
      </c>
      <c r="N677" s="23">
        <f>($G677-$M677)*100</f>
        <v/>
      </c>
      <c r="O677" s="15">
        <f>($E677-$C677)*100</f>
        <v/>
      </c>
      <c r="P677" s="15">
        <f>($G677-$E677)*100</f>
        <v/>
      </c>
      <c r="Q677" s="15">
        <f>($G677-$C677)*100</f>
        <v/>
      </c>
      <c r="R677" s="15">
        <f>IF($H677="","",($H677-$F677)*100)</f>
        <v/>
      </c>
      <c r="S677" s="15">
        <f>IF($H677="","",($H677-$G677)*100)</f>
        <v/>
      </c>
    </row>
    <row r="678">
      <c r="A678" s="11" t="n">
        <v>41229</v>
      </c>
      <c r="B678" s="22" t="n">
        <v>0.1</v>
      </c>
      <c r="C678" s="22" t="n">
        <v>0.1</v>
      </c>
      <c r="D678" s="22" t="n">
        <v>0.186</v>
      </c>
      <c r="E678" s="22" t="n">
        <v>0.745</v>
      </c>
      <c r="F678" s="22" t="n">
        <v>1.689</v>
      </c>
      <c r="G678" s="22" t="n">
        <v>1.945</v>
      </c>
      <c r="H678" s="22" t="n">
        <v>2.14</v>
      </c>
      <c r="I678" s="22" t="n">
        <v>2.73</v>
      </c>
      <c r="J678" s="22" t="n">
        <v>0.16</v>
      </c>
      <c r="K678" s="22" t="n">
        <v>1.58</v>
      </c>
      <c r="L678" s="17">
        <f>$J678-$B678</f>
        <v/>
      </c>
      <c r="M678" s="17">
        <f>$I678-$L678</f>
        <v/>
      </c>
      <c r="N678" s="23">
        <f>($G678-$M678)*100</f>
        <v/>
      </c>
      <c r="O678" s="15">
        <f>($E678-$C678)*100</f>
        <v/>
      </c>
      <c r="P678" s="15">
        <f>($G678-$E678)*100</f>
        <v/>
      </c>
      <c r="Q678" s="15">
        <f>($G678-$C678)*100</f>
        <v/>
      </c>
      <c r="R678" s="15">
        <f>IF($H678="","",($H678-$F678)*100)</f>
        <v/>
      </c>
      <c r="S678" s="15">
        <f>IF($H678="","",($H678-$G678)*100)</f>
        <v/>
      </c>
    </row>
    <row r="679">
      <c r="A679" s="11" t="n">
        <v>41236</v>
      </c>
      <c r="B679" s="22" t="n">
        <v>0.098</v>
      </c>
      <c r="C679" s="22" t="n">
        <v>0.1</v>
      </c>
      <c r="D679" s="22" t="n">
        <v>0.194</v>
      </c>
      <c r="E679" s="22" t="n">
        <v>0.758</v>
      </c>
      <c r="F679" s="22" t="n">
        <v>1.694</v>
      </c>
      <c r="G679" s="22" t="n">
        <v>1.945</v>
      </c>
      <c r="H679" s="22" t="n">
        <v>2.136</v>
      </c>
      <c r="I679" s="22" t="n">
        <v>2.83</v>
      </c>
      <c r="J679" s="22" t="n">
        <v>0.19</v>
      </c>
      <c r="K679" s="22" t="n">
        <v>1.7</v>
      </c>
      <c r="L679" s="17">
        <f>$J679-$B679</f>
        <v/>
      </c>
      <c r="M679" s="17">
        <f>$I679-$L679</f>
        <v/>
      </c>
      <c r="N679" s="23">
        <f>($G679-$M679)*100</f>
        <v/>
      </c>
      <c r="O679" s="15">
        <f>($E679-$C679)*100</f>
        <v/>
      </c>
      <c r="P679" s="15">
        <f>($G679-$E679)*100</f>
        <v/>
      </c>
      <c r="Q679" s="15">
        <f>($G679-$C679)*100</f>
        <v/>
      </c>
      <c r="R679" s="15">
        <f>IF($H679="","",($H679-$F679)*100)</f>
        <v/>
      </c>
      <c r="S679" s="15">
        <f>IF($H679="","",($H679-$G679)*100)</f>
        <v/>
      </c>
    </row>
    <row r="680">
      <c r="A680" s="11" t="n">
        <v>41243</v>
      </c>
      <c r="B680" s="22" t="n">
        <v>0.099</v>
      </c>
      <c r="C680" s="22" t="n">
        <v>0.097</v>
      </c>
      <c r="D680" s="22" t="n">
        <v>0.18</v>
      </c>
      <c r="E680" s="22" t="n">
        <v>0.73</v>
      </c>
      <c r="F680" s="22" t="n">
        <v>1.681</v>
      </c>
      <c r="G680" s="22" t="n">
        <v>1.937</v>
      </c>
      <c r="H680" s="22" t="n">
        <v>2.127</v>
      </c>
      <c r="I680" s="22" t="n">
        <v>2.81</v>
      </c>
      <c r="J680" s="22" t="n">
        <v>0.18</v>
      </c>
      <c r="K680" s="22" t="n">
        <v>1.62</v>
      </c>
      <c r="L680" s="17">
        <f>$J680-$B680</f>
        <v/>
      </c>
      <c r="M680" s="17">
        <f>$I680-$L680</f>
        <v/>
      </c>
      <c r="N680" s="23">
        <f>($G680-$M680)*100</f>
        <v/>
      </c>
      <c r="O680" s="15">
        <f>($E680-$C680)*100</f>
        <v/>
      </c>
      <c r="P680" s="15">
        <f>($G680-$E680)*100</f>
        <v/>
      </c>
      <c r="Q680" s="15">
        <f>($G680-$C680)*100</f>
        <v/>
      </c>
      <c r="R680" s="15">
        <f>IF($H680="","",($H680-$F680)*100)</f>
        <v/>
      </c>
      <c r="S680" s="15">
        <f>IF($H680="","",($H680-$G680)*100)</f>
        <v/>
      </c>
    </row>
    <row r="681">
      <c r="A681" s="11" t="n">
        <v>41250</v>
      </c>
      <c r="B681" s="22" t="n">
        <v>0.102</v>
      </c>
      <c r="C681" s="22" t="n">
        <v>0.096</v>
      </c>
      <c r="D681" s="22" t="n">
        <v>0.165</v>
      </c>
      <c r="E681" s="22" t="n">
        <v>0.701</v>
      </c>
      <c r="F681" s="22" t="n">
        <v>1.66</v>
      </c>
      <c r="G681" s="22" t="n">
        <v>1.896</v>
      </c>
      <c r="H681" s="22" t="n">
        <v>2.081</v>
      </c>
      <c r="I681" s="22" t="n">
        <v>2.81</v>
      </c>
      <c r="J681" s="22" t="n">
        <v>0.18</v>
      </c>
      <c r="K681" s="22" t="n">
        <v>1.64</v>
      </c>
      <c r="L681" s="17">
        <f>$J681-$B681</f>
        <v/>
      </c>
      <c r="M681" s="17">
        <f>$I681-$L681</f>
        <v/>
      </c>
      <c r="N681" s="23">
        <f>($G681-$M681)*100</f>
        <v/>
      </c>
      <c r="O681" s="15">
        <f>($E681-$C681)*100</f>
        <v/>
      </c>
      <c r="P681" s="15">
        <f>($G681-$E681)*100</f>
        <v/>
      </c>
      <c r="Q681" s="15">
        <f>($G681-$C681)*100</f>
        <v/>
      </c>
      <c r="R681" s="15">
        <f>IF($H681="","",($H681-$F681)*100)</f>
        <v/>
      </c>
      <c r="S681" s="15">
        <f>IF($H681="","",($H681-$G681)*100)</f>
        <v/>
      </c>
    </row>
    <row r="682">
      <c r="A682" s="11" t="n">
        <v>41257</v>
      </c>
      <c r="B682" s="22" t="n">
        <v>0.1</v>
      </c>
      <c r="C682" s="22" t="n">
        <v>0.1</v>
      </c>
      <c r="D682" s="22" t="n">
        <v>0.175</v>
      </c>
      <c r="E682" s="22" t="n">
        <v>0.729</v>
      </c>
      <c r="F682" s="22" t="n">
        <v>1.708</v>
      </c>
      <c r="G682" s="22" t="n">
        <v>1.944</v>
      </c>
      <c r="H682" s="22" t="n">
        <v>2.115</v>
      </c>
      <c r="I682" s="22" t="n">
        <v>2.87</v>
      </c>
      <c r="J682" s="22" t="n">
        <v>0.13</v>
      </c>
      <c r="K682" s="22" t="n">
        <v>1.72</v>
      </c>
      <c r="L682" s="17">
        <f>$J682-$B682</f>
        <v/>
      </c>
      <c r="M682" s="17">
        <f>$I682-$L682</f>
        <v/>
      </c>
      <c r="N682" s="23">
        <f>($G682-$M682)*100</f>
        <v/>
      </c>
      <c r="O682" s="15">
        <f>($E682-$C682)*100</f>
        <v/>
      </c>
      <c r="P682" s="15">
        <f>($G682-$E682)*100</f>
        <v/>
      </c>
      <c r="Q682" s="15">
        <f>($G682-$C682)*100</f>
        <v/>
      </c>
      <c r="R682" s="15">
        <f>IF($H682="","",($H682-$F682)*100)</f>
        <v/>
      </c>
      <c r="S682" s="15">
        <f>IF($H682="","",($H682-$G682)*100)</f>
        <v/>
      </c>
    </row>
    <row r="683">
      <c r="A683" s="11" t="n">
        <v>41264</v>
      </c>
      <c r="B683" s="22" t="n">
        <v>0.098</v>
      </c>
      <c r="C683" s="22" t="n">
        <v>0.1</v>
      </c>
      <c r="D683" s="22" t="n">
        <v>0.172</v>
      </c>
      <c r="E683" s="22" t="n">
        <v>0.759</v>
      </c>
      <c r="F683" s="22" t="n">
        <v>1.709</v>
      </c>
      <c r="G683" s="22" t="n">
        <v>1.933</v>
      </c>
      <c r="H683" s="22" t="n">
        <v>2.1</v>
      </c>
      <c r="I683" s="22" t="n">
        <v>2.93</v>
      </c>
      <c r="J683" s="22" t="n">
        <v>0.15</v>
      </c>
      <c r="K683" s="22" t="n">
        <v>1.77</v>
      </c>
      <c r="L683" s="17">
        <f>$J683-$B683</f>
        <v/>
      </c>
      <c r="M683" s="17">
        <f>$I683-$L683</f>
        <v/>
      </c>
      <c r="N683" s="23">
        <f>($G683-$M683)*100</f>
        <v/>
      </c>
      <c r="O683" s="15">
        <f>($E683-$C683)*100</f>
        <v/>
      </c>
      <c r="P683" s="15">
        <f>($G683-$E683)*100</f>
        <v/>
      </c>
      <c r="Q683" s="15">
        <f>($G683-$C683)*100</f>
        <v/>
      </c>
      <c r="R683" s="15">
        <f>IF($H683="","",($H683-$F683)*100)</f>
        <v/>
      </c>
      <c r="S683" s="15">
        <f>IF($H683="","",($H683-$G683)*100)</f>
        <v/>
      </c>
    </row>
    <row r="684">
      <c r="A684" s="11" t="n">
        <v>41271</v>
      </c>
      <c r="B684" s="22" t="n">
        <v>0.098</v>
      </c>
      <c r="C684" s="22" t="n">
        <v>0.098</v>
      </c>
      <c r="D684" s="22" t="n">
        <v>0.187</v>
      </c>
      <c r="E684" s="22" t="n">
        <v>0.794</v>
      </c>
      <c r="F684" s="22" t="n">
        <v>1.754</v>
      </c>
      <c r="G684" s="22" t="n">
        <v>1.967</v>
      </c>
      <c r="H684" s="22" t="n">
        <v>2.138</v>
      </c>
      <c r="I684" s="22" t="n">
        <v>2.88</v>
      </c>
      <c r="J684" s="22" t="n">
        <v>0.15</v>
      </c>
      <c r="K684" s="22" t="n">
        <v>1.73</v>
      </c>
      <c r="L684" s="17">
        <f>$J684-$B684</f>
        <v/>
      </c>
      <c r="M684" s="17">
        <f>$I684-$L684</f>
        <v/>
      </c>
      <c r="N684" s="23">
        <f>($G684-$M684)*100</f>
        <v/>
      </c>
      <c r="O684" s="15">
        <f>($E684-$C684)*100</f>
        <v/>
      </c>
      <c r="P684" s="15">
        <f>($G684-$E684)*100</f>
        <v/>
      </c>
      <c r="Q684" s="15">
        <f>($G684-$C684)*100</f>
        <v/>
      </c>
      <c r="R684" s="15">
        <f>IF($H684="","",($H684-$F684)*100)</f>
        <v/>
      </c>
      <c r="S684" s="15">
        <f>IF($H684="","",($H684-$G684)*100)</f>
        <v/>
      </c>
    </row>
    <row r="685">
      <c r="A685" s="11" t="n">
        <v>41278</v>
      </c>
      <c r="B685" s="22" t="n">
        <v>0.101</v>
      </c>
      <c r="C685" s="22" t="n">
        <v>0.097</v>
      </c>
      <c r="D685" s="22" t="n">
        <v>0.203</v>
      </c>
      <c r="E685" s="22" t="n">
        <v>0.835</v>
      </c>
      <c r="F685" s="22" t="n">
        <v>1.777</v>
      </c>
      <c r="G685" s="22" t="n">
        <v>1.984</v>
      </c>
      <c r="H685" s="22" t="n">
        <v>2.149</v>
      </c>
      <c r="I685" s="22" t="n">
        <v>3.1</v>
      </c>
      <c r="J685" s="22" t="n">
        <v>0.15</v>
      </c>
      <c r="K685" s="22" t="n">
        <v>1.93</v>
      </c>
      <c r="L685" s="17">
        <f>$J685-$B685</f>
        <v/>
      </c>
      <c r="M685" s="17">
        <f>$I685-$L685</f>
        <v/>
      </c>
      <c r="N685" s="23">
        <f>($G685-$M685)*100</f>
        <v/>
      </c>
      <c r="O685" s="15">
        <f>($E685-$C685)*100</f>
        <v/>
      </c>
      <c r="P685" s="15">
        <f>($G685-$E685)*100</f>
        <v/>
      </c>
      <c r="Q685" s="15">
        <f>($G685-$C685)*100</f>
        <v/>
      </c>
      <c r="R685" s="15">
        <f>IF($H685="","",($H685-$F685)*100)</f>
        <v/>
      </c>
      <c r="S685" s="15">
        <f>IF($H685="","",($H685-$G685)*100)</f>
        <v/>
      </c>
    </row>
    <row r="686">
      <c r="A686" s="11" t="n">
        <v>41285</v>
      </c>
      <c r="B686" s="22" t="n">
        <v>0.089</v>
      </c>
      <c r="C686" s="22" t="n">
        <v>0.08</v>
      </c>
      <c r="D686" s="22" t="n">
        <v>0.173</v>
      </c>
      <c r="E686" s="22" t="n">
        <v>0.8159999999999999</v>
      </c>
      <c r="F686" s="22" t="n">
        <v>1.782</v>
      </c>
      <c r="G686" s="22" t="n">
        <v>2.001</v>
      </c>
      <c r="H686" s="22" t="n">
        <v>2.169</v>
      </c>
      <c r="I686" s="22" t="n">
        <v>3.05</v>
      </c>
      <c r="J686" s="22" t="n">
        <v>0.14</v>
      </c>
      <c r="K686" s="22" t="n">
        <v>1.89</v>
      </c>
      <c r="L686" s="17">
        <f>$J686-$B686</f>
        <v/>
      </c>
      <c r="M686" s="17">
        <f>$I686-$L686</f>
        <v/>
      </c>
      <c r="N686" s="23">
        <f>($G686-$M686)*100</f>
        <v/>
      </c>
      <c r="O686" s="15">
        <f>($E686-$C686)*100</f>
        <v/>
      </c>
      <c r="P686" s="15">
        <f>($G686-$E686)*100</f>
        <v/>
      </c>
      <c r="Q686" s="15">
        <f>($G686-$C686)*100</f>
        <v/>
      </c>
      <c r="R686" s="15">
        <f>IF($H686="","",($H686-$F686)*100)</f>
        <v/>
      </c>
      <c r="S686" s="15">
        <f>IF($H686="","",($H686-$G686)*100)</f>
        <v/>
      </c>
    </row>
    <row r="687">
      <c r="A687" s="11" t="n">
        <v>41292</v>
      </c>
      <c r="B687" s="22" t="n">
        <v>0.079</v>
      </c>
      <c r="C687" s="22" t="n">
        <v>0.075</v>
      </c>
      <c r="D687" s="22" t="n">
        <v>0.155</v>
      </c>
      <c r="E687" s="22" t="n">
        <v>0.759</v>
      </c>
      <c r="F687" s="22" t="n">
        <v>1.761</v>
      </c>
      <c r="G687" s="22" t="n">
        <v>1.989</v>
      </c>
      <c r="H687" s="22" t="n">
        <v>2.167</v>
      </c>
      <c r="I687" s="22" t="n">
        <v>3.03</v>
      </c>
      <c r="J687" s="22" t="n">
        <v>0.14</v>
      </c>
      <c r="K687" s="22" t="n">
        <v>1.87</v>
      </c>
      <c r="L687" s="17">
        <f>$J687-$B687</f>
        <v/>
      </c>
      <c r="M687" s="17">
        <f>$I687-$L687</f>
        <v/>
      </c>
      <c r="N687" s="23">
        <f>($G687-$M687)*100</f>
        <v/>
      </c>
      <c r="O687" s="15">
        <f>($E687-$C687)*100</f>
        <v/>
      </c>
      <c r="P687" s="15">
        <f>($G687-$E687)*100</f>
        <v/>
      </c>
      <c r="Q687" s="15">
        <f>($G687-$C687)*100</f>
        <v/>
      </c>
      <c r="R687" s="15">
        <f>IF($H687="","",($H687-$F687)*100)</f>
        <v/>
      </c>
      <c r="S687" s="15">
        <f>IF($H687="","",($H687-$G687)*100)</f>
        <v/>
      </c>
    </row>
    <row r="688">
      <c r="A688" s="11" t="n">
        <v>41299</v>
      </c>
      <c r="B688" s="22" t="n">
        <v>0.08</v>
      </c>
      <c r="C688" s="22" t="n">
        <v>0.079</v>
      </c>
      <c r="D688" s="22" t="n">
        <v>0.151</v>
      </c>
      <c r="E688" s="22" t="n">
        <v>0.733</v>
      </c>
      <c r="F688" s="22" t="n">
        <v>1.766</v>
      </c>
      <c r="G688" s="22" t="n">
        <v>1.985</v>
      </c>
      <c r="H688" s="22" t="n">
        <v>2.172</v>
      </c>
      <c r="I688" s="22" t="n">
        <v>3.14</v>
      </c>
      <c r="J688" s="22" t="n">
        <v>0.15</v>
      </c>
      <c r="K688" s="22" t="n">
        <v>1.98</v>
      </c>
      <c r="L688" s="17">
        <f>$J688-$B688</f>
        <v/>
      </c>
      <c r="M688" s="17">
        <f>$I688-$L688</f>
        <v/>
      </c>
      <c r="N688" s="23">
        <f>($G688-$M688)*100</f>
        <v/>
      </c>
      <c r="O688" s="15">
        <f>($E688-$C688)*100</f>
        <v/>
      </c>
      <c r="P688" s="15">
        <f>($G688-$E688)*100</f>
        <v/>
      </c>
      <c r="Q688" s="15">
        <f>($G688-$C688)*100</f>
        <v/>
      </c>
      <c r="R688" s="15">
        <f>IF($H688="","",($H688-$F688)*100)</f>
        <v/>
      </c>
      <c r="S688" s="15">
        <f>IF($H688="","",($H688-$G688)*100)</f>
        <v/>
      </c>
    </row>
    <row r="689">
      <c r="A689" s="11" t="n">
        <v>41306</v>
      </c>
      <c r="B689" s="22" t="n">
        <v>0.075</v>
      </c>
      <c r="C689" s="22" t="n">
        <v>0.067</v>
      </c>
      <c r="D689" s="22" t="n">
        <v>0.153</v>
      </c>
      <c r="E689" s="22" t="n">
        <v>0.783</v>
      </c>
      <c r="F689" s="22" t="n">
        <v>1.771</v>
      </c>
      <c r="G689" s="22" t="n">
        <v>1.977</v>
      </c>
      <c r="H689" s="22" t="n">
        <v>2.159</v>
      </c>
      <c r="I689" s="22" t="n">
        <v>3.21</v>
      </c>
      <c r="J689" s="22" t="n">
        <v>0.15</v>
      </c>
      <c r="K689" s="22" t="n">
        <v>2.04</v>
      </c>
      <c r="L689" s="17">
        <f>$J689-$B689</f>
        <v/>
      </c>
      <c r="M689" s="17">
        <f>$I689-$L689</f>
        <v/>
      </c>
      <c r="N689" s="23">
        <f>($G689-$M689)*100</f>
        <v/>
      </c>
      <c r="O689" s="15">
        <f>($E689-$C689)*100</f>
        <v/>
      </c>
      <c r="P689" s="15">
        <f>($G689-$E689)*100</f>
        <v/>
      </c>
      <c r="Q689" s="15">
        <f>($G689-$C689)*100</f>
        <v/>
      </c>
      <c r="R689" s="15">
        <f>IF($H689="","",($H689-$F689)*100)</f>
        <v/>
      </c>
      <c r="S689" s="15">
        <f>IF($H689="","",($H689-$G689)*100)</f>
        <v/>
      </c>
    </row>
    <row r="690">
      <c r="A690" s="11" t="n">
        <v>41313</v>
      </c>
      <c r="B690" s="22" t="n">
        <v>0.059</v>
      </c>
      <c r="C690" s="22" t="n">
        <v>0.032</v>
      </c>
      <c r="D690" s="22" t="n">
        <v>0.143</v>
      </c>
      <c r="E690" s="22" t="n">
        <v>0.769</v>
      </c>
      <c r="F690" s="22" t="n">
        <v>1.771</v>
      </c>
      <c r="G690" s="22" t="n">
        <v>1.982</v>
      </c>
      <c r="H690" s="22" t="n">
        <v>2.162</v>
      </c>
      <c r="I690" s="22" t="n">
        <v>3.17</v>
      </c>
      <c r="J690" s="22" t="n">
        <v>0.14</v>
      </c>
      <c r="K690" s="22" t="n">
        <v>1.99</v>
      </c>
      <c r="L690" s="17">
        <f>$J690-$B690</f>
        <v/>
      </c>
      <c r="M690" s="17">
        <f>$I690-$L690</f>
        <v/>
      </c>
      <c r="N690" s="23">
        <f>($G690-$M690)*100</f>
        <v/>
      </c>
      <c r="O690" s="15">
        <f>($E690-$C690)*100</f>
        <v/>
      </c>
      <c r="P690" s="15">
        <f>($G690-$E690)*100</f>
        <v/>
      </c>
      <c r="Q690" s="15">
        <f>($G690-$C690)*100</f>
        <v/>
      </c>
      <c r="R690" s="15">
        <f>IF($H690="","",($H690-$F690)*100)</f>
        <v/>
      </c>
      <c r="S690" s="15">
        <f>IF($H690="","",($H690-$G690)*100)</f>
        <v/>
      </c>
    </row>
    <row r="691">
      <c r="A691" s="11" t="n">
        <v>41320</v>
      </c>
      <c r="B691" s="22" t="n">
        <v>0.07000000000000001</v>
      </c>
      <c r="C691" s="22" t="n">
        <v>0.045</v>
      </c>
      <c r="D691" s="22" t="n">
        <v>0.151</v>
      </c>
      <c r="E691" s="22" t="n">
        <v>0.761</v>
      </c>
      <c r="F691" s="22" t="n">
        <v>1.74</v>
      </c>
      <c r="G691" s="22" t="n">
        <v>1.936</v>
      </c>
      <c r="H691" s="22" t="n">
        <v>2.109</v>
      </c>
      <c r="I691" s="22" t="n">
        <v>3.18</v>
      </c>
      <c r="J691" s="22" t="n">
        <v>0.17</v>
      </c>
      <c r="K691" s="22" t="n">
        <v>2.01</v>
      </c>
      <c r="L691" s="17">
        <f>$J691-$B691</f>
        <v/>
      </c>
      <c r="M691" s="17">
        <f>$I691-$L691</f>
        <v/>
      </c>
      <c r="N691" s="23">
        <f>($G691-$M691)*100</f>
        <v/>
      </c>
      <c r="O691" s="15">
        <f>($E691-$C691)*100</f>
        <v/>
      </c>
      <c r="P691" s="15">
        <f>($G691-$E691)*100</f>
        <v/>
      </c>
      <c r="Q691" s="15">
        <f>($G691-$C691)*100</f>
        <v/>
      </c>
      <c r="R691" s="15">
        <f>IF($H691="","",($H691-$F691)*100)</f>
        <v/>
      </c>
      <c r="S691" s="15">
        <f>IF($H691="","",($H691-$G691)*100)</f>
        <v/>
      </c>
    </row>
    <row r="692">
      <c r="A692" s="11" t="n">
        <v>41327</v>
      </c>
      <c r="B692" s="22" t="n">
        <v>0.065</v>
      </c>
      <c r="C692" s="22" t="n">
        <v>0.045</v>
      </c>
      <c r="D692" s="22" t="n">
        <v>0.138</v>
      </c>
      <c r="E692" s="22" t="n">
        <v>0.744</v>
      </c>
      <c r="F692" s="22" t="n">
        <v>1.736</v>
      </c>
      <c r="G692" s="22" t="n">
        <v>1.92</v>
      </c>
      <c r="H692" s="22" t="n">
        <v>2.071</v>
      </c>
      <c r="I692" s="22" t="n">
        <v>3.15</v>
      </c>
      <c r="J692" s="22" t="n">
        <v>0.16</v>
      </c>
      <c r="K692" s="22" t="n">
        <v>1.97</v>
      </c>
      <c r="L692" s="17">
        <f>$J692-$B692</f>
        <v/>
      </c>
      <c r="M692" s="17">
        <f>$I692-$L692</f>
        <v/>
      </c>
      <c r="N692" s="23">
        <f>($G692-$M692)*100</f>
        <v/>
      </c>
      <c r="O692" s="15">
        <f>($E692-$C692)*100</f>
        <v/>
      </c>
      <c r="P692" s="15">
        <f>($G692-$E692)*100</f>
        <v/>
      </c>
      <c r="Q692" s="15">
        <f>($G692-$C692)*100</f>
        <v/>
      </c>
      <c r="R692" s="15">
        <f>IF($H692="","",($H692-$F692)*100)</f>
        <v/>
      </c>
      <c r="S692" s="15">
        <f>IF($H692="","",($H692-$G692)*100)</f>
        <v/>
      </c>
    </row>
    <row r="693">
      <c r="A693" s="11" t="n">
        <v>41334</v>
      </c>
      <c r="B693" s="22" t="n">
        <v>0.061</v>
      </c>
      <c r="C693" s="22" t="n">
        <v>0.045</v>
      </c>
      <c r="D693" s="22" t="n">
        <v>0.124</v>
      </c>
      <c r="E693" s="22" t="n">
        <v>0.678</v>
      </c>
      <c r="F693" s="22" t="n">
        <v>1.603</v>
      </c>
      <c r="G693" s="22" t="n">
        <v>1.794</v>
      </c>
      <c r="H693" s="22" t="n">
        <v>1.95</v>
      </c>
      <c r="I693" s="22" t="n">
        <v>3.06</v>
      </c>
      <c r="J693" s="22" t="n">
        <v>0.16</v>
      </c>
      <c r="K693" s="22" t="n">
        <v>1.86</v>
      </c>
      <c r="L693" s="17">
        <f>$J693-$B693</f>
        <v/>
      </c>
      <c r="M693" s="17">
        <f>$I693-$L693</f>
        <v/>
      </c>
      <c r="N693" s="23">
        <f>($G693-$M693)*100</f>
        <v/>
      </c>
      <c r="O693" s="15">
        <f>($E693-$C693)*100</f>
        <v/>
      </c>
      <c r="P693" s="15">
        <f>($G693-$E693)*100</f>
        <v/>
      </c>
      <c r="Q693" s="15">
        <f>($G693-$C693)*100</f>
        <v/>
      </c>
      <c r="R693" s="15">
        <f>IF($H693="","",($H693-$F693)*100)</f>
        <v/>
      </c>
      <c r="S693" s="15">
        <f>IF($H693="","",($H693-$G693)*100)</f>
        <v/>
      </c>
    </row>
    <row r="694">
      <c r="A694" s="11" t="n">
        <v>41341</v>
      </c>
      <c r="B694" s="22" t="n">
        <v>0.046</v>
      </c>
      <c r="C694" s="22" t="n">
        <v>0.04</v>
      </c>
      <c r="D694" s="22" t="n">
        <v>0.111</v>
      </c>
      <c r="E694" s="22" t="n">
        <v>0.647</v>
      </c>
      <c r="F694" s="22" t="n">
        <v>1.625</v>
      </c>
      <c r="G694" s="22" t="n">
        <v>1.762</v>
      </c>
      <c r="H694" s="22" t="n">
        <v>1.893</v>
      </c>
      <c r="I694" s="22" t="n">
        <v>3.25</v>
      </c>
      <c r="J694" s="22" t="n">
        <v>0.15</v>
      </c>
      <c r="K694" s="22" t="n">
        <v>2.06</v>
      </c>
      <c r="L694" s="17">
        <f>$J694-$B694</f>
        <v/>
      </c>
      <c r="M694" s="17">
        <f>$I694-$L694</f>
        <v/>
      </c>
      <c r="N694" s="23">
        <f>($G694-$M694)*100</f>
        <v/>
      </c>
      <c r="O694" s="15">
        <f>($E694-$C694)*100</f>
        <v/>
      </c>
      <c r="P694" s="15">
        <f>($G694-$E694)*100</f>
        <v/>
      </c>
      <c r="Q694" s="15">
        <f>($G694-$C694)*100</f>
        <v/>
      </c>
      <c r="R694" s="15">
        <f>IF($H694="","",($H694-$F694)*100)</f>
        <v/>
      </c>
      <c r="S694" s="15">
        <f>IF($H694="","",($H694-$G694)*100)</f>
        <v/>
      </c>
    </row>
    <row r="695">
      <c r="A695" s="11" t="n">
        <v>41348</v>
      </c>
      <c r="B695" s="22" t="n">
        <v>0.05</v>
      </c>
      <c r="C695" s="22" t="n">
        <v>0.045</v>
      </c>
      <c r="D695" s="22" t="n">
        <v>0.12</v>
      </c>
      <c r="E695" s="22" t="n">
        <v>0.615</v>
      </c>
      <c r="F695" s="22" t="n">
        <v>1.606</v>
      </c>
      <c r="G695" s="22" t="n">
        <v>1.771</v>
      </c>
      <c r="H695" s="22" t="n">
        <v>1.891</v>
      </c>
      <c r="I695" s="22" t="n">
        <v>3.22</v>
      </c>
      <c r="J695" s="22" t="n">
        <v>0.14</v>
      </c>
      <c r="K695" s="22" t="n">
        <v>2.01</v>
      </c>
      <c r="L695" s="17">
        <f>$J695-$B695</f>
        <v/>
      </c>
      <c r="M695" s="17">
        <f>$I695-$L695</f>
        <v/>
      </c>
      <c r="N695" s="23">
        <f>($G695-$M695)*100</f>
        <v/>
      </c>
      <c r="O695" s="15">
        <f>($E695-$C695)*100</f>
        <v/>
      </c>
      <c r="P695" s="15">
        <f>($G695-$E695)*100</f>
        <v/>
      </c>
      <c r="Q695" s="15">
        <f>($G695-$C695)*100</f>
        <v/>
      </c>
      <c r="R695" s="15">
        <f>IF($H695="","",($H695-$F695)*100)</f>
        <v/>
      </c>
      <c r="S695" s="15">
        <f>IF($H695="","",($H695-$G695)*100)</f>
        <v/>
      </c>
    </row>
    <row r="696">
      <c r="A696" s="11" t="n">
        <v>41355</v>
      </c>
      <c r="B696" s="22" t="n">
        <v>0.048</v>
      </c>
      <c r="C696" s="22" t="n">
        <v>0.045</v>
      </c>
      <c r="D696" s="22" t="n">
        <v>0.12</v>
      </c>
      <c r="E696" s="22" t="n">
        <v>0.5620000000000001</v>
      </c>
      <c r="F696" s="22" t="n">
        <v>1.497</v>
      </c>
      <c r="G696" s="22" t="n">
        <v>1.651</v>
      </c>
      <c r="H696" s="22" t="n">
        <v>1.757</v>
      </c>
      <c r="I696" s="22" t="n">
        <v>3.13</v>
      </c>
      <c r="J696" s="22" t="n">
        <v>0.14</v>
      </c>
      <c r="K696" s="22" t="n">
        <v>1.93</v>
      </c>
      <c r="L696" s="17">
        <f>$J696-$B696</f>
        <v/>
      </c>
      <c r="M696" s="17">
        <f>$I696-$L696</f>
        <v/>
      </c>
      <c r="N696" s="23">
        <f>($G696-$M696)*100</f>
        <v/>
      </c>
      <c r="O696" s="15">
        <f>($E696-$C696)*100</f>
        <v/>
      </c>
      <c r="P696" s="15">
        <f>($G696-$E696)*100</f>
        <v/>
      </c>
      <c r="Q696" s="15">
        <f>($G696-$C696)*100</f>
        <v/>
      </c>
      <c r="R696" s="15">
        <f>IF($H696="","",($H696-$F696)*100)</f>
        <v/>
      </c>
      <c r="S696" s="15">
        <f>IF($H696="","",($H696-$G696)*100)</f>
        <v/>
      </c>
    </row>
    <row r="697">
      <c r="A697" s="11" t="n">
        <v>41362</v>
      </c>
      <c r="B697" s="22" t="n">
        <v>0.056</v>
      </c>
      <c r="C697" s="22" t="n">
        <v>0.057</v>
      </c>
      <c r="D697" s="22" t="n">
        <v>0.131</v>
      </c>
      <c r="E697" s="22" t="n">
        <v>0.5639999999999999</v>
      </c>
      <c r="F697" s="22" t="n">
        <v>1.406</v>
      </c>
      <c r="G697" s="22" t="n">
        <v>1.555</v>
      </c>
      <c r="H697" s="22" t="n">
        <v>1.669</v>
      </c>
      <c r="I697" s="22" t="n">
        <v>3.1</v>
      </c>
      <c r="J697" s="22" t="n">
        <v>0.14</v>
      </c>
      <c r="K697" s="22" t="n">
        <v>1.87</v>
      </c>
      <c r="L697" s="17">
        <f>$J697-$B697</f>
        <v/>
      </c>
      <c r="M697" s="17">
        <f>$I697-$L697</f>
        <v/>
      </c>
      <c r="N697" s="23">
        <f>($G697-$M697)*100</f>
        <v/>
      </c>
      <c r="O697" s="15">
        <f>($E697-$C697)*100</f>
        <v/>
      </c>
      <c r="P697" s="15">
        <f>($G697-$E697)*100</f>
        <v/>
      </c>
      <c r="Q697" s="15">
        <f>($G697-$C697)*100</f>
        <v/>
      </c>
      <c r="R697" s="15">
        <f>IF($H697="","",($H697-$F697)*100)</f>
        <v/>
      </c>
      <c r="S697" s="15">
        <f>IF($H697="","",($H697-$G697)*100)</f>
        <v/>
      </c>
    </row>
    <row r="698">
      <c r="A698" s="11" t="n">
        <v>41369</v>
      </c>
      <c r="B698" s="22" t="n">
        <v>0.08</v>
      </c>
      <c r="C698" s="22" t="n">
        <v>0.082</v>
      </c>
      <c r="D698" s="22" t="n">
        <v>0.18</v>
      </c>
      <c r="E698" s="22" t="n">
        <v>0.534</v>
      </c>
      <c r="F698" s="22" t="n">
        <v>1.17</v>
      </c>
      <c r="G698" s="22" t="n">
        <v>1.279</v>
      </c>
      <c r="H698" s="22" t="n">
        <v>1.368</v>
      </c>
      <c r="I698" s="22" t="n">
        <v>2.87</v>
      </c>
      <c r="J698" s="22" t="n">
        <v>0.13</v>
      </c>
      <c r="K698" s="22" t="n">
        <v>1.72</v>
      </c>
      <c r="L698" s="17">
        <f>$J698-$B698</f>
        <v/>
      </c>
      <c r="M698" s="17">
        <f>$I698-$L698</f>
        <v/>
      </c>
      <c r="N698" s="23">
        <f>($G698-$M698)*100</f>
        <v/>
      </c>
      <c r="O698" s="15">
        <f>($E698-$C698)*100</f>
        <v/>
      </c>
      <c r="P698" s="15">
        <f>($G698-$E698)*100</f>
        <v/>
      </c>
      <c r="Q698" s="15">
        <f>($G698-$C698)*100</f>
        <v/>
      </c>
      <c r="R698" s="15">
        <f>IF($H698="","",($H698-$F698)*100)</f>
        <v/>
      </c>
      <c r="S698" s="15">
        <f>IF($H698="","",($H698-$G698)*100)</f>
        <v/>
      </c>
    </row>
    <row r="699">
      <c r="A699" s="11" t="n">
        <v>41376</v>
      </c>
      <c r="B699" s="22" t="n">
        <v>0.118</v>
      </c>
      <c r="C699" s="22" t="n">
        <v>0.129</v>
      </c>
      <c r="D699" s="22" t="n">
        <v>0.256</v>
      </c>
      <c r="E699" s="22" t="n">
        <v>0.623</v>
      </c>
      <c r="F699" s="22" t="n">
        <v>1.476</v>
      </c>
      <c r="G699" s="22" t="n">
        <v>1.584</v>
      </c>
      <c r="H699" s="22" t="n">
        <v>1.599</v>
      </c>
      <c r="I699" s="22" t="n">
        <v>2.92</v>
      </c>
      <c r="J699" s="22" t="n">
        <v>0.11</v>
      </c>
      <c r="K699" s="22" t="n">
        <v>1.75</v>
      </c>
      <c r="L699" s="17">
        <f>$J699-$B699</f>
        <v/>
      </c>
      <c r="M699" s="17">
        <f>$I699-$L699</f>
        <v/>
      </c>
      <c r="N699" s="23">
        <f>($G699-$M699)*100</f>
        <v/>
      </c>
      <c r="O699" s="15">
        <f>($E699-$C699)*100</f>
        <v/>
      </c>
      <c r="P699" s="15">
        <f>($G699-$E699)*100</f>
        <v/>
      </c>
      <c r="Q699" s="15">
        <f>($G699-$C699)*100</f>
        <v/>
      </c>
      <c r="R699" s="15">
        <f>IF($H699="","",($H699-$F699)*100)</f>
        <v/>
      </c>
      <c r="S699" s="15">
        <f>IF($H699="","",($H699-$G699)*100)</f>
        <v/>
      </c>
    </row>
    <row r="700">
      <c r="A700" s="11" t="n">
        <v>41383</v>
      </c>
      <c r="B700" s="22" t="n">
        <v>0.111</v>
      </c>
      <c r="C700" s="22" t="n">
        <v>0.125</v>
      </c>
      <c r="D700" s="22" t="n">
        <v>0.224</v>
      </c>
      <c r="E700" s="22" t="n">
        <v>0.584</v>
      </c>
      <c r="F700" s="22" t="n">
        <v>1.442</v>
      </c>
      <c r="G700" s="22" t="n">
        <v>1.581</v>
      </c>
      <c r="H700" s="22" t="n">
        <v>1.625</v>
      </c>
      <c r="I700" s="22" t="n">
        <v>2.88</v>
      </c>
      <c r="J700" s="22" t="n">
        <v>0.12</v>
      </c>
      <c r="K700" s="22" t="n">
        <v>1.73</v>
      </c>
      <c r="L700" s="17">
        <f>$J700-$B700</f>
        <v/>
      </c>
      <c r="M700" s="17">
        <f>$I700-$L700</f>
        <v/>
      </c>
      <c r="N700" s="23">
        <f>($G700-$M700)*100</f>
        <v/>
      </c>
      <c r="O700" s="15">
        <f>($E700-$C700)*100</f>
        <v/>
      </c>
      <c r="P700" s="15">
        <f>($G700-$E700)*100</f>
        <v/>
      </c>
      <c r="Q700" s="15">
        <f>($G700-$C700)*100</f>
        <v/>
      </c>
      <c r="R700" s="15">
        <f>IF($H700="","",($H700-$F700)*100)</f>
        <v/>
      </c>
      <c r="S700" s="15">
        <f>IF($H700="","",($H700-$G700)*100)</f>
        <v/>
      </c>
    </row>
    <row r="701">
      <c r="A701" s="11" t="n">
        <v>41390</v>
      </c>
      <c r="B701" s="22" t="n">
        <v>0.113</v>
      </c>
      <c r="C701" s="22" t="n">
        <v>0.124</v>
      </c>
      <c r="D701" s="22" t="n">
        <v>0.248</v>
      </c>
      <c r="E701" s="22" t="n">
        <v>0.594</v>
      </c>
      <c r="F701" s="22" t="n">
        <v>1.483</v>
      </c>
      <c r="G701" s="22" t="n">
        <v>1.631</v>
      </c>
      <c r="H701" s="22" t="n">
        <v>1.693</v>
      </c>
      <c r="I701" s="22" t="n">
        <v>2.87</v>
      </c>
      <c r="J701" s="22" t="n">
        <v>0.12</v>
      </c>
      <c r="K701" s="22" t="n">
        <v>1.7</v>
      </c>
      <c r="L701" s="17">
        <f>$J701-$B701</f>
        <v/>
      </c>
      <c r="M701" s="17">
        <f>$I701-$L701</f>
        <v/>
      </c>
      <c r="N701" s="23">
        <f>($G701-$M701)*100</f>
        <v/>
      </c>
      <c r="O701" s="15">
        <f>($E701-$C701)*100</f>
        <v/>
      </c>
      <c r="P701" s="15">
        <f>($G701-$E701)*100</f>
        <v/>
      </c>
      <c r="Q701" s="15">
        <f>($G701-$C701)*100</f>
        <v/>
      </c>
      <c r="R701" s="15">
        <f>IF($H701="","",($H701-$F701)*100)</f>
        <v/>
      </c>
      <c r="S701" s="15">
        <f>IF($H701="","",($H701-$G701)*100)</f>
        <v/>
      </c>
    </row>
    <row r="702">
      <c r="A702" s="11" t="n">
        <v>41397</v>
      </c>
      <c r="B702" s="22" t="n">
        <v>0.105</v>
      </c>
      <c r="C702" s="22" t="n">
        <v>0.111</v>
      </c>
      <c r="D702" s="22" t="n">
        <v>0.217</v>
      </c>
      <c r="E702" s="22" t="n">
        <v>0.5629999999999999</v>
      </c>
      <c r="F702" s="22" t="n">
        <v>1.458</v>
      </c>
      <c r="G702" s="22" t="n">
        <v>1.611</v>
      </c>
      <c r="H702" s="22" t="n">
        <v>1.672</v>
      </c>
      <c r="I702" s="22" t="n">
        <v>2.96</v>
      </c>
      <c r="J702" s="22" t="n">
        <v>0.11</v>
      </c>
      <c r="K702" s="22" t="n">
        <v>1.78</v>
      </c>
      <c r="L702" s="17">
        <f>$J702-$B702</f>
        <v/>
      </c>
      <c r="M702" s="17">
        <f>$I702-$L702</f>
        <v/>
      </c>
      <c r="N702" s="23">
        <f>($G702-$M702)*100</f>
        <v/>
      </c>
      <c r="O702" s="15">
        <f>($E702-$C702)*100</f>
        <v/>
      </c>
      <c r="P702" s="15">
        <f>($G702-$E702)*100</f>
        <v/>
      </c>
      <c r="Q702" s="15">
        <f>($G702-$C702)*100</f>
        <v/>
      </c>
      <c r="R702" s="15">
        <f>IF($H702="","",($H702-$F702)*100)</f>
        <v/>
      </c>
      <c r="S702" s="15">
        <f>IF($H702="","",($H702-$G702)*100)</f>
        <v/>
      </c>
    </row>
    <row r="703">
      <c r="A703" s="11" t="n">
        <v>41404</v>
      </c>
      <c r="B703" s="22" t="n">
        <v>0.109</v>
      </c>
      <c r="C703" s="22" t="n">
        <v>0.113</v>
      </c>
      <c r="D703" s="22" t="n">
        <v>0.287</v>
      </c>
      <c r="E703" s="22" t="n">
        <v>0.7</v>
      </c>
      <c r="F703" s="22" t="n">
        <v>1.563</v>
      </c>
      <c r="G703" s="22" t="n">
        <v>1.725</v>
      </c>
      <c r="H703" s="22" t="n">
        <v>1.779</v>
      </c>
      <c r="I703" s="22" t="n">
        <v>3.1</v>
      </c>
      <c r="J703" s="22" t="n">
        <v>0.11</v>
      </c>
      <c r="K703" s="22" t="n">
        <v>1.9</v>
      </c>
      <c r="L703" s="17">
        <f>$J703-$B703</f>
        <v/>
      </c>
      <c r="M703" s="17">
        <f>$I703-$L703</f>
        <v/>
      </c>
      <c r="N703" s="23">
        <f>($G703-$M703)*100</f>
        <v/>
      </c>
      <c r="O703" s="15">
        <f>($E703-$C703)*100</f>
        <v/>
      </c>
      <c r="P703" s="15">
        <f>($G703-$E703)*100</f>
        <v/>
      </c>
      <c r="Q703" s="15">
        <f>($G703-$C703)*100</f>
        <v/>
      </c>
      <c r="R703" s="15">
        <f>IF($H703="","",($H703-$F703)*100)</f>
        <v/>
      </c>
      <c r="S703" s="15">
        <f>IF($H703="","",($H703-$G703)*100)</f>
        <v/>
      </c>
    </row>
    <row r="704">
      <c r="A704" s="11" t="n">
        <v>41411</v>
      </c>
      <c r="B704" s="22" t="n">
        <v>0.111</v>
      </c>
      <c r="C704" s="22" t="n">
        <v>0.13</v>
      </c>
      <c r="D704" s="22" t="n">
        <v>0.377</v>
      </c>
      <c r="E704" s="22" t="n">
        <v>0.806</v>
      </c>
      <c r="F704" s="22" t="n">
        <v>1.652</v>
      </c>
      <c r="G704" s="22" t="n">
        <v>1.793</v>
      </c>
      <c r="H704" s="22" t="n">
        <v>1.891</v>
      </c>
      <c r="I704" s="22" t="n">
        <v>3.17</v>
      </c>
      <c r="J704" s="22" t="n">
        <v>0.12</v>
      </c>
      <c r="K704" s="22" t="n">
        <v>1.95</v>
      </c>
      <c r="L704" s="17">
        <f>$J704-$B704</f>
        <v/>
      </c>
      <c r="M704" s="17">
        <f>$I704-$L704</f>
        <v/>
      </c>
      <c r="N704" s="23">
        <f>($G704-$M704)*100</f>
        <v/>
      </c>
      <c r="O704" s="15">
        <f>($E704-$C704)*100</f>
        <v/>
      </c>
      <c r="P704" s="15">
        <f>($G704-$E704)*100</f>
        <v/>
      </c>
      <c r="Q704" s="15">
        <f>($G704-$C704)*100</f>
        <v/>
      </c>
      <c r="R704" s="15">
        <f>IF($H704="","",($H704-$F704)*100)</f>
        <v/>
      </c>
      <c r="S704" s="15">
        <f>IF($H704="","",($H704-$G704)*100)</f>
        <v/>
      </c>
    </row>
    <row r="705">
      <c r="A705" s="11" t="n">
        <v>41418</v>
      </c>
      <c r="B705" s="22" t="n">
        <v>0.113</v>
      </c>
      <c r="C705" s="22" t="n">
        <v>0.125</v>
      </c>
      <c r="D705" s="22" t="n">
        <v>0.377</v>
      </c>
      <c r="E705" s="22" t="n">
        <v>0.842</v>
      </c>
      <c r="F705" s="22" t="n">
        <v>1.668</v>
      </c>
      <c r="G705" s="22" t="n">
        <v>1.835</v>
      </c>
      <c r="H705" s="22" t="n">
        <v>1.943</v>
      </c>
      <c r="I705" s="22" t="n">
        <v>3.18</v>
      </c>
      <c r="J705" s="22" t="n">
        <v>0.12</v>
      </c>
      <c r="K705" s="22" t="n">
        <v>2.01</v>
      </c>
      <c r="L705" s="17">
        <f>$J705-$B705</f>
        <v/>
      </c>
      <c r="M705" s="17">
        <f>$I705-$L705</f>
        <v/>
      </c>
      <c r="N705" s="23">
        <f>($G705-$M705)*100</f>
        <v/>
      </c>
      <c r="O705" s="15">
        <f>($E705-$C705)*100</f>
        <v/>
      </c>
      <c r="P705" s="15">
        <f>($G705-$E705)*100</f>
        <v/>
      </c>
      <c r="Q705" s="15">
        <f>($G705-$C705)*100</f>
        <v/>
      </c>
      <c r="R705" s="15">
        <f>IF($H705="","",($H705-$F705)*100)</f>
        <v/>
      </c>
      <c r="S705" s="15">
        <f>IF($H705="","",($H705-$G705)*100)</f>
        <v/>
      </c>
    </row>
    <row r="706">
      <c r="A706" s="11" t="n">
        <v>41425</v>
      </c>
      <c r="B706" s="22" t="n">
        <v>0.115</v>
      </c>
      <c r="C706" s="22" t="n">
        <v>0.139</v>
      </c>
      <c r="D706" s="22" t="n">
        <v>0.369</v>
      </c>
      <c r="E706" s="22" t="n">
        <v>0.865</v>
      </c>
      <c r="F706" s="22" t="n">
        <v>1.626</v>
      </c>
      <c r="G706" s="22" t="n">
        <v>1.76</v>
      </c>
      <c r="H706" s="22" t="n">
        <v>1.848</v>
      </c>
      <c r="I706" s="22" t="n">
        <v>3.3</v>
      </c>
      <c r="J706" s="22" t="n">
        <v>0.14</v>
      </c>
      <c r="K706" s="22" t="n">
        <v>2.16</v>
      </c>
      <c r="L706" s="17">
        <f>$J706-$B706</f>
        <v/>
      </c>
      <c r="M706" s="17">
        <f>$I706-$L706</f>
        <v/>
      </c>
      <c r="N706" s="23">
        <f>($G706-$M706)*100</f>
        <v/>
      </c>
      <c r="O706" s="15">
        <f>($E706-$C706)*100</f>
        <v/>
      </c>
      <c r="P706" s="15">
        <f>($G706-$E706)*100</f>
        <v/>
      </c>
      <c r="Q706" s="15">
        <f>($G706-$C706)*100</f>
        <v/>
      </c>
      <c r="R706" s="15">
        <f>IF($H706="","",($H706-$F706)*100)</f>
        <v/>
      </c>
      <c r="S706" s="15">
        <f>IF($H706="","",($H706-$G706)*100)</f>
        <v/>
      </c>
    </row>
    <row r="707">
      <c r="A707" s="11" t="n">
        <v>41432</v>
      </c>
      <c r="B707" s="22" t="n">
        <v>0.1</v>
      </c>
      <c r="C707" s="22" t="n">
        <v>0.12</v>
      </c>
      <c r="D707" s="22" t="n">
        <v>0.305</v>
      </c>
      <c r="E707" s="22" t="n">
        <v>0.846</v>
      </c>
      <c r="F707" s="22" t="n">
        <v>1.632</v>
      </c>
      <c r="G707" s="22" t="n">
        <v>1.801</v>
      </c>
      <c r="H707" s="22" t="n">
        <v>1.883</v>
      </c>
      <c r="I707" s="22" t="n">
        <v>3.33</v>
      </c>
      <c r="J707" s="22" t="n">
        <v>0.14</v>
      </c>
      <c r="K707" s="22" t="n">
        <v>2.17</v>
      </c>
      <c r="L707" s="17">
        <f>$J707-$B707</f>
        <v/>
      </c>
      <c r="M707" s="17">
        <f>$I707-$L707</f>
        <v/>
      </c>
      <c r="N707" s="23">
        <f>($G707-$M707)*100</f>
        <v/>
      </c>
      <c r="O707" s="15">
        <f>($E707-$C707)*100</f>
        <v/>
      </c>
      <c r="P707" s="15">
        <f>($G707-$E707)*100</f>
        <v/>
      </c>
      <c r="Q707" s="15">
        <f>($G707-$C707)*100</f>
        <v/>
      </c>
      <c r="R707" s="15">
        <f>IF($H707="","",($H707-$F707)*100)</f>
        <v/>
      </c>
      <c r="S707" s="15">
        <f>IF($H707="","",($H707-$G707)*100)</f>
        <v/>
      </c>
    </row>
    <row r="708">
      <c r="A708" s="11" t="n">
        <v>41439</v>
      </c>
      <c r="B708" s="22" t="n">
        <v>0.1</v>
      </c>
      <c r="C708" s="22" t="n">
        <v>0.13</v>
      </c>
      <c r="D708" s="22" t="n">
        <v>0.33</v>
      </c>
      <c r="E708" s="22" t="n">
        <v>0.8139999999999999</v>
      </c>
      <c r="F708" s="22" t="n">
        <v>1.667</v>
      </c>
      <c r="G708" s="22" t="n">
        <v>1.811</v>
      </c>
      <c r="H708" s="22" t="n">
        <v>1.866</v>
      </c>
      <c r="I708" s="22" t="n">
        <v>3.28</v>
      </c>
      <c r="J708" s="22" t="n">
        <v>0.13</v>
      </c>
      <c r="K708" s="22" t="n">
        <v>2.14</v>
      </c>
      <c r="L708" s="17">
        <f>$J708-$B708</f>
        <v/>
      </c>
      <c r="M708" s="17">
        <f>$I708-$L708</f>
        <v/>
      </c>
      <c r="N708" s="23">
        <f>($G708-$M708)*100</f>
        <v/>
      </c>
      <c r="O708" s="15">
        <f>($E708-$C708)*100</f>
        <v/>
      </c>
      <c r="P708" s="15">
        <f>($G708-$E708)*100</f>
        <v/>
      </c>
      <c r="Q708" s="15">
        <f>($G708-$C708)*100</f>
        <v/>
      </c>
      <c r="R708" s="15">
        <f>IF($H708="","",($H708-$F708)*100)</f>
        <v/>
      </c>
      <c r="S708" s="15">
        <f>IF($H708="","",($H708-$G708)*100)</f>
        <v/>
      </c>
    </row>
    <row r="709">
      <c r="A709" s="11" t="n">
        <v>41446</v>
      </c>
      <c r="B709" s="22" t="n">
        <v>0.102</v>
      </c>
      <c r="C709" s="22" t="n">
        <v>0.134</v>
      </c>
      <c r="D709" s="22" t="n">
        <v>0.356</v>
      </c>
      <c r="E709" s="22" t="n">
        <v>0.872</v>
      </c>
      <c r="F709" s="22" t="n">
        <v>1.749</v>
      </c>
      <c r="G709" s="22" t="n">
        <v>1.883</v>
      </c>
      <c r="H709" s="22" t="n">
        <v>1.933</v>
      </c>
      <c r="I709" s="22" t="n">
        <v>3.56</v>
      </c>
      <c r="J709" s="22" t="n">
        <v>0.13</v>
      </c>
      <c r="K709" s="22" t="n">
        <v>2.52</v>
      </c>
      <c r="L709" s="17">
        <f>$J709-$B709</f>
        <v/>
      </c>
      <c r="M709" s="17">
        <f>$I709-$L709</f>
        <v/>
      </c>
      <c r="N709" s="23">
        <f>($G709-$M709)*100</f>
        <v/>
      </c>
      <c r="O709" s="15">
        <f>($E709-$C709)*100</f>
        <v/>
      </c>
      <c r="P709" s="15">
        <f>($G709-$E709)*100</f>
        <v/>
      </c>
      <c r="Q709" s="15">
        <f>($G709-$C709)*100</f>
        <v/>
      </c>
      <c r="R709" s="15">
        <f>IF($H709="","",($H709-$F709)*100)</f>
        <v/>
      </c>
      <c r="S709" s="15">
        <f>IF($H709="","",($H709-$G709)*100)</f>
        <v/>
      </c>
    </row>
    <row r="710">
      <c r="A710" s="11" t="n">
        <v>41453</v>
      </c>
      <c r="B710" s="22" t="n">
        <v>0.104</v>
      </c>
      <c r="C710" s="22" t="n">
        <v>0.137</v>
      </c>
      <c r="D710" s="22" t="n">
        <v>0.309</v>
      </c>
      <c r="E710" s="22" t="n">
        <v>0.845</v>
      </c>
      <c r="F710" s="22" t="n">
        <v>1.696</v>
      </c>
      <c r="G710" s="22" t="n">
        <v>1.837</v>
      </c>
      <c r="H710" s="22" t="n">
        <v>1.898</v>
      </c>
      <c r="I710" s="22" t="n">
        <v>3.52</v>
      </c>
      <c r="J710" s="22" t="n">
        <v>0.15</v>
      </c>
      <c r="K710" s="22" t="n">
        <v>2.52</v>
      </c>
      <c r="L710" s="17">
        <f>$J710-$B710</f>
        <v/>
      </c>
      <c r="M710" s="17">
        <f>$I710-$L710</f>
        <v/>
      </c>
      <c r="N710" s="23">
        <f>($G710-$M710)*100</f>
        <v/>
      </c>
      <c r="O710" s="15">
        <f>($E710-$C710)*100</f>
        <v/>
      </c>
      <c r="P710" s="15">
        <f>($G710-$E710)*100</f>
        <v/>
      </c>
      <c r="Q710" s="15">
        <f>($G710-$C710)*100</f>
        <v/>
      </c>
      <c r="R710" s="15">
        <f>IF($H710="","",($H710-$F710)*100)</f>
        <v/>
      </c>
      <c r="S710" s="15">
        <f>IF($H710="","",($H710-$G710)*100)</f>
        <v/>
      </c>
    </row>
    <row r="711">
      <c r="A711" s="11" t="n">
        <v>41460</v>
      </c>
      <c r="B711" s="22" t="n">
        <v>0.107</v>
      </c>
      <c r="C711" s="22" t="n">
        <v>0.133</v>
      </c>
      <c r="D711" s="22" t="n">
        <v>0.32</v>
      </c>
      <c r="E711" s="22" t="n">
        <v>0.855</v>
      </c>
      <c r="F711" s="22" t="n">
        <v>1.728</v>
      </c>
      <c r="G711" s="22" t="n">
        <v>1.863</v>
      </c>
      <c r="H711" s="22" t="n">
        <v>1.942</v>
      </c>
      <c r="I711" s="22" t="n">
        <v>3.68</v>
      </c>
      <c r="J711" s="22" t="n">
        <v>0.15</v>
      </c>
      <c r="K711" s="22" t="n">
        <v>2.73</v>
      </c>
      <c r="L711" s="17">
        <f>$J711-$B711</f>
        <v/>
      </c>
      <c r="M711" s="17">
        <f>$I711-$L711</f>
        <v/>
      </c>
      <c r="N711" s="23">
        <f>($G711-$M711)*100</f>
        <v/>
      </c>
      <c r="O711" s="15">
        <f>($E711-$C711)*100</f>
        <v/>
      </c>
      <c r="P711" s="15">
        <f>($G711-$E711)*100</f>
        <v/>
      </c>
      <c r="Q711" s="15">
        <f>($G711-$C711)*100</f>
        <v/>
      </c>
      <c r="R711" s="15">
        <f>IF($H711="","",($H711-$F711)*100)</f>
        <v/>
      </c>
      <c r="S711" s="15">
        <f>IF($H711="","",($H711-$G711)*100)</f>
        <v/>
      </c>
    </row>
    <row r="712">
      <c r="A712" s="11" t="n">
        <v>41467</v>
      </c>
      <c r="B712" s="22" t="n">
        <v>0.109</v>
      </c>
      <c r="C712" s="22" t="n">
        <v>0.125</v>
      </c>
      <c r="D712" s="22" t="n">
        <v>0.3</v>
      </c>
      <c r="E712" s="22" t="n">
        <v>0.8179999999999999</v>
      </c>
      <c r="F712" s="22" t="n">
        <v>1.715</v>
      </c>
      <c r="G712" s="22" t="n">
        <v>1.854</v>
      </c>
      <c r="H712" s="22" t="n">
        <v>1.936</v>
      </c>
      <c r="I712" s="22" t="n">
        <v>3.64</v>
      </c>
      <c r="J712" s="22" t="n">
        <v>0.12</v>
      </c>
      <c r="K712" s="22" t="n">
        <v>2.61</v>
      </c>
      <c r="L712" s="17">
        <f>$J712-$B712</f>
        <v/>
      </c>
      <c r="M712" s="17">
        <f>$I712-$L712</f>
        <v/>
      </c>
      <c r="N712" s="23">
        <f>($G712-$M712)*100</f>
        <v/>
      </c>
      <c r="O712" s="15">
        <f>($E712-$C712)*100</f>
        <v/>
      </c>
      <c r="P712" s="15">
        <f>($G712-$E712)*100</f>
        <v/>
      </c>
      <c r="Q712" s="15">
        <f>($G712-$C712)*100</f>
        <v/>
      </c>
      <c r="R712" s="15">
        <f>IF($H712="","",($H712-$F712)*100)</f>
        <v/>
      </c>
      <c r="S712" s="15">
        <f>IF($H712="","",($H712-$G712)*100)</f>
        <v/>
      </c>
    </row>
    <row r="713">
      <c r="A713" s="11" t="n">
        <v>41474</v>
      </c>
      <c r="B713" s="22" t="n">
        <v>0.11</v>
      </c>
      <c r="C713" s="22" t="n">
        <v>0.13</v>
      </c>
      <c r="D713" s="22" t="n">
        <v>0.29</v>
      </c>
      <c r="E713" s="22" t="n">
        <v>0.804</v>
      </c>
      <c r="F713" s="22" t="n">
        <v>1.716</v>
      </c>
      <c r="G713" s="22" t="n">
        <v>1.846</v>
      </c>
      <c r="H713" s="22" t="n">
        <v>1.926</v>
      </c>
      <c r="I713" s="22" t="n">
        <v>3.56</v>
      </c>
      <c r="J713" s="22" t="n">
        <v>0.11</v>
      </c>
      <c r="K713" s="22" t="n">
        <v>2.5</v>
      </c>
      <c r="L713" s="17">
        <f>$J713-$B713</f>
        <v/>
      </c>
      <c r="M713" s="17">
        <f>$I713-$L713</f>
        <v/>
      </c>
      <c r="N713" s="23">
        <f>($G713-$M713)*100</f>
        <v/>
      </c>
      <c r="O713" s="15">
        <f>($E713-$C713)*100</f>
        <v/>
      </c>
      <c r="P713" s="15">
        <f>($G713-$E713)*100</f>
        <v/>
      </c>
      <c r="Q713" s="15">
        <f>($G713-$C713)*100</f>
        <v/>
      </c>
      <c r="R713" s="15">
        <f>IF($H713="","",($H713-$F713)*100)</f>
        <v/>
      </c>
      <c r="S713" s="15">
        <f>IF($H713="","",($H713-$G713)*100)</f>
        <v/>
      </c>
    </row>
    <row r="714">
      <c r="A714" s="11" t="n">
        <v>41481</v>
      </c>
      <c r="B714" s="22" t="n">
        <v>0.11</v>
      </c>
      <c r="C714" s="22" t="n">
        <v>0.129</v>
      </c>
      <c r="D714" s="22" t="n">
        <v>0.29</v>
      </c>
      <c r="E714" s="22" t="n">
        <v>0.792</v>
      </c>
      <c r="F714" s="22" t="n">
        <v>1.708</v>
      </c>
      <c r="G714" s="22" t="n">
        <v>1.839</v>
      </c>
      <c r="H714" s="22" t="n">
        <v>1.902</v>
      </c>
      <c r="I714" s="22" t="n">
        <v>3.61</v>
      </c>
      <c r="J714" s="22" t="n">
        <v>0.11</v>
      </c>
      <c r="K714" s="22" t="n">
        <v>2.58</v>
      </c>
      <c r="L714" s="17">
        <f>$J714-$B714</f>
        <v/>
      </c>
      <c r="M714" s="17">
        <f>$I714-$L714</f>
        <v/>
      </c>
      <c r="N714" s="23">
        <f>($G714-$M714)*100</f>
        <v/>
      </c>
      <c r="O714" s="15">
        <f>($E714-$C714)*100</f>
        <v/>
      </c>
      <c r="P714" s="15">
        <f>($G714-$E714)*100</f>
        <v/>
      </c>
      <c r="Q714" s="15">
        <f>($G714-$C714)*100</f>
        <v/>
      </c>
      <c r="R714" s="15">
        <f>IF($H714="","",($H714-$F714)*100)</f>
        <v/>
      </c>
      <c r="S714" s="15">
        <f>IF($H714="","",($H714-$G714)*100)</f>
        <v/>
      </c>
    </row>
    <row r="715">
      <c r="A715" s="11" t="n">
        <v>41488</v>
      </c>
      <c r="B715" s="22" t="n">
        <v>0.1</v>
      </c>
      <c r="C715" s="22" t="n">
        <v>0.119</v>
      </c>
      <c r="D715" s="22" t="n">
        <v>0.308</v>
      </c>
      <c r="E715" s="22" t="n">
        <v>0.8110000000000001</v>
      </c>
      <c r="F715" s="22" t="n">
        <v>1.712</v>
      </c>
      <c r="G715" s="22" t="n">
        <v>1.834</v>
      </c>
      <c r="H715" s="22" t="n">
        <v>1.892</v>
      </c>
      <c r="I715" s="22" t="n">
        <v>3.69</v>
      </c>
      <c r="J715" s="22" t="n">
        <v>0.11</v>
      </c>
      <c r="K715" s="22" t="n">
        <v>2.63</v>
      </c>
      <c r="L715" s="17">
        <f>$J715-$B715</f>
        <v/>
      </c>
      <c r="M715" s="17">
        <f>$I715-$L715</f>
        <v/>
      </c>
      <c r="N715" s="23">
        <f>($G715-$M715)*100</f>
        <v/>
      </c>
      <c r="O715" s="15">
        <f>($E715-$C715)*100</f>
        <v/>
      </c>
      <c r="P715" s="15">
        <f>($G715-$E715)*100</f>
        <v/>
      </c>
      <c r="Q715" s="15">
        <f>($G715-$C715)*100</f>
        <v/>
      </c>
      <c r="R715" s="15">
        <f>IF($H715="","",($H715-$F715)*100)</f>
        <v/>
      </c>
      <c r="S715" s="15">
        <f>IF($H715="","",($H715-$G715)*100)</f>
        <v/>
      </c>
    </row>
    <row r="716">
      <c r="A716" s="11" t="n">
        <v>41495</v>
      </c>
      <c r="B716" s="22" t="n">
        <v>0.1</v>
      </c>
      <c r="C716" s="22" t="n">
        <v>0.109</v>
      </c>
      <c r="D716" s="22" t="n">
        <v>0.288</v>
      </c>
      <c r="E716" s="22" t="n">
        <v>0.759</v>
      </c>
      <c r="F716" s="22" t="n">
        <v>1.681</v>
      </c>
      <c r="G716" s="22" t="n">
        <v>1.808</v>
      </c>
      <c r="H716" s="22" t="n">
        <v>1.867</v>
      </c>
      <c r="I716" s="22" t="n">
        <v>3.63</v>
      </c>
      <c r="J716" s="22" t="n">
        <v>0.11</v>
      </c>
      <c r="K716" s="22" t="n">
        <v>2.57</v>
      </c>
      <c r="L716" s="17">
        <f>$J716-$B716</f>
        <v/>
      </c>
      <c r="M716" s="17">
        <f>$I716-$L716</f>
        <v/>
      </c>
      <c r="N716" s="23">
        <f>($G716-$M716)*100</f>
        <v/>
      </c>
      <c r="O716" s="15">
        <f>($E716-$C716)*100</f>
        <v/>
      </c>
      <c r="P716" s="15">
        <f>($G716-$E716)*100</f>
        <v/>
      </c>
      <c r="Q716" s="15">
        <f>($G716-$C716)*100</f>
        <v/>
      </c>
      <c r="R716" s="15">
        <f>IF($H716="","",($H716-$F716)*100)</f>
        <v/>
      </c>
      <c r="S716" s="15">
        <f>IF($H716="","",($H716-$G716)*100)</f>
        <v/>
      </c>
    </row>
    <row r="717">
      <c r="A717" s="11" t="n">
        <v>41502</v>
      </c>
      <c r="B717" s="22" t="n">
        <v>0.1</v>
      </c>
      <c r="C717" s="22" t="n">
        <v>0.11</v>
      </c>
      <c r="D717" s="22" t="n">
        <v>0.286</v>
      </c>
      <c r="E717" s="22" t="n">
        <v>0.767</v>
      </c>
      <c r="F717" s="22" t="n">
        <v>1.692</v>
      </c>
      <c r="G717" s="22" t="n">
        <v>1.825</v>
      </c>
      <c r="H717" s="22" t="n">
        <v>1.898</v>
      </c>
      <c r="I717" s="22" t="n">
        <v>3.86</v>
      </c>
      <c r="J717" s="22" t="n">
        <v>0.13</v>
      </c>
      <c r="K717" s="22" t="n">
        <v>2.84</v>
      </c>
      <c r="L717" s="17">
        <f>$J717-$B717</f>
        <v/>
      </c>
      <c r="M717" s="17">
        <f>$I717-$L717</f>
        <v/>
      </c>
      <c r="N717" s="23">
        <f>($G717-$M717)*100</f>
        <v/>
      </c>
      <c r="O717" s="15">
        <f>($E717-$C717)*100</f>
        <v/>
      </c>
      <c r="P717" s="15">
        <f>($G717-$E717)*100</f>
        <v/>
      </c>
      <c r="Q717" s="15">
        <f>($G717-$C717)*100</f>
        <v/>
      </c>
      <c r="R717" s="15">
        <f>IF($H717="","",($H717-$F717)*100)</f>
        <v/>
      </c>
      <c r="S717" s="15">
        <f>IF($H717="","",($H717-$G717)*100)</f>
        <v/>
      </c>
    </row>
    <row r="718">
      <c r="A718" s="11" t="n">
        <v>41509</v>
      </c>
      <c r="B718" s="22" t="n">
        <v>0.1</v>
      </c>
      <c r="C718" s="22" t="n">
        <v>0.111</v>
      </c>
      <c r="D718" s="22" t="n">
        <v>0.309</v>
      </c>
      <c r="E718" s="22" t="n">
        <v>0.774</v>
      </c>
      <c r="F718" s="22" t="n">
        <v>1.704</v>
      </c>
      <c r="G718" s="22" t="n">
        <v>1.83</v>
      </c>
      <c r="H718" s="22" t="n">
        <v>1.911</v>
      </c>
      <c r="I718" s="22" t="n">
        <v>3.8</v>
      </c>
      <c r="J718" s="22" t="n">
        <v>0.14</v>
      </c>
      <c r="K718" s="22" t="n">
        <v>2.82</v>
      </c>
      <c r="L718" s="17">
        <f>$J718-$B718</f>
        <v/>
      </c>
      <c r="M718" s="17">
        <f>$I718-$L718</f>
        <v/>
      </c>
      <c r="N718" s="23">
        <f>($G718-$M718)*100</f>
        <v/>
      </c>
      <c r="O718" s="15">
        <f>($E718-$C718)*100</f>
        <v/>
      </c>
      <c r="P718" s="15">
        <f>($G718-$E718)*100</f>
        <v/>
      </c>
      <c r="Q718" s="15">
        <f>($G718-$C718)*100</f>
        <v/>
      </c>
      <c r="R718" s="15">
        <f>IF($H718="","",($H718-$F718)*100)</f>
        <v/>
      </c>
      <c r="S718" s="15">
        <f>IF($H718="","",($H718-$G718)*100)</f>
        <v/>
      </c>
    </row>
    <row r="719">
      <c r="A719" s="11" t="n">
        <v>41516</v>
      </c>
      <c r="B719" s="22" t="n">
        <v>0.1</v>
      </c>
      <c r="C719" s="22" t="n">
        <v>0.115</v>
      </c>
      <c r="D719" s="22" t="n">
        <v>0.267</v>
      </c>
      <c r="E719" s="22" t="n">
        <v>0.735</v>
      </c>
      <c r="F719" s="22" t="n">
        <v>1.652</v>
      </c>
      <c r="G719" s="22" t="n">
        <v>1.779</v>
      </c>
      <c r="H719" s="22" t="n">
        <v>1.858</v>
      </c>
      <c r="I719" s="22" t="n">
        <v>3.7</v>
      </c>
      <c r="J719" s="22" t="n">
        <v>0.13</v>
      </c>
      <c r="K719" s="22" t="n">
        <v>2.78</v>
      </c>
      <c r="L719" s="17">
        <f>$J719-$B719</f>
        <v/>
      </c>
      <c r="M719" s="17">
        <f>$I719-$L719</f>
        <v/>
      </c>
      <c r="N719" s="23">
        <f>($G719-$M719)*100</f>
        <v/>
      </c>
      <c r="O719" s="15">
        <f>($E719-$C719)*100</f>
        <v/>
      </c>
      <c r="P719" s="15">
        <f>($G719-$E719)*100</f>
        <v/>
      </c>
      <c r="Q719" s="15">
        <f>($G719-$C719)*100</f>
        <v/>
      </c>
      <c r="R719" s="15">
        <f>IF($H719="","",($H719-$F719)*100)</f>
        <v/>
      </c>
      <c r="S719" s="15">
        <f>IF($H719="","",($H719-$G719)*100)</f>
        <v/>
      </c>
    </row>
    <row r="720">
      <c r="A720" s="11" t="n">
        <v>41523</v>
      </c>
      <c r="B720" s="22" t="n">
        <v>0.1</v>
      </c>
      <c r="C720" s="22" t="n">
        <v>0.117</v>
      </c>
      <c r="D720" s="22" t="n">
        <v>0.299</v>
      </c>
      <c r="E720" s="22" t="n">
        <v>0.784</v>
      </c>
      <c r="F720" s="22" t="n">
        <v>1.713</v>
      </c>
      <c r="G720" s="22" t="n">
        <v>1.843</v>
      </c>
      <c r="H720" s="22" t="n">
        <v>1.919</v>
      </c>
      <c r="I720" s="22" t="n">
        <v>3.87</v>
      </c>
      <c r="J720" s="22" t="n">
        <v>0.14</v>
      </c>
      <c r="K720" s="22" t="n">
        <v>2.94</v>
      </c>
      <c r="L720" s="17">
        <f>$J720-$B720</f>
        <v/>
      </c>
      <c r="M720" s="17">
        <f>$I720-$L720</f>
        <v/>
      </c>
      <c r="N720" s="23">
        <f>($G720-$M720)*100</f>
        <v/>
      </c>
      <c r="O720" s="15">
        <f>($E720-$C720)*100</f>
        <v/>
      </c>
      <c r="P720" s="15">
        <f>($G720-$E720)*100</f>
        <v/>
      </c>
      <c r="Q720" s="15">
        <f>($G720-$C720)*100</f>
        <v/>
      </c>
      <c r="R720" s="15">
        <f>IF($H720="","",($H720-$F720)*100)</f>
        <v/>
      </c>
      <c r="S720" s="15">
        <f>IF($H720="","",($H720-$G720)*100)</f>
        <v/>
      </c>
    </row>
    <row r="721">
      <c r="A721" s="11" t="n">
        <v>41530</v>
      </c>
      <c r="B721" s="22" t="n">
        <v>0.1</v>
      </c>
      <c r="C721" s="22" t="n">
        <v>0.119</v>
      </c>
      <c r="D721" s="22" t="n">
        <v>0.265</v>
      </c>
      <c r="E721" s="22" t="n">
        <v>0.722</v>
      </c>
      <c r="F721" s="22" t="n">
        <v>1.668</v>
      </c>
      <c r="G721" s="22" t="n">
        <v>1.8</v>
      </c>
      <c r="H721" s="22" t="n">
        <v>1.873</v>
      </c>
      <c r="I721" s="22" t="n">
        <v>3.84</v>
      </c>
      <c r="J721" s="22" t="n">
        <v>0.13</v>
      </c>
      <c r="K721" s="22" t="n">
        <v>2.9</v>
      </c>
      <c r="L721" s="17">
        <f>$J721-$B721</f>
        <v/>
      </c>
      <c r="M721" s="17">
        <f>$I721-$L721</f>
        <v/>
      </c>
      <c r="N721" s="23">
        <f>($G721-$M721)*100</f>
        <v/>
      </c>
      <c r="O721" s="15">
        <f>($E721-$C721)*100</f>
        <v/>
      </c>
      <c r="P721" s="15">
        <f>($G721-$E721)*100</f>
        <v/>
      </c>
      <c r="Q721" s="15">
        <f>($G721-$C721)*100</f>
        <v/>
      </c>
      <c r="R721" s="15">
        <f>IF($H721="","",($H721-$F721)*100)</f>
        <v/>
      </c>
      <c r="S721" s="15">
        <f>IF($H721="","",($H721-$G721)*100)</f>
        <v/>
      </c>
    </row>
    <row r="722">
      <c r="A722" s="11" t="n">
        <v>41537</v>
      </c>
      <c r="B722" s="22" t="n">
        <v>0.1</v>
      </c>
      <c r="C722" s="22" t="n">
        <v>0.1</v>
      </c>
      <c r="D722" s="22" t="n">
        <v>0.256</v>
      </c>
      <c r="E722" s="22" t="n">
        <v>0.694</v>
      </c>
      <c r="F722" s="22" t="n">
        <v>1.607</v>
      </c>
      <c r="G722" s="22" t="n">
        <v>1.746</v>
      </c>
      <c r="H722" s="22" t="n">
        <v>1.814</v>
      </c>
      <c r="I722" s="22" t="n">
        <v>3.77</v>
      </c>
      <c r="J722" s="22" t="n">
        <v>0.11</v>
      </c>
      <c r="K722" s="22" t="n">
        <v>2.75</v>
      </c>
      <c r="L722" s="17">
        <f>$J722-$B722</f>
        <v/>
      </c>
      <c r="M722" s="17">
        <f>$I722-$L722</f>
        <v/>
      </c>
      <c r="N722" s="23">
        <f>($G722-$M722)*100</f>
        <v/>
      </c>
      <c r="O722" s="15">
        <f>($E722-$C722)*100</f>
        <v/>
      </c>
      <c r="P722" s="15">
        <f>($G722-$E722)*100</f>
        <v/>
      </c>
      <c r="Q722" s="15">
        <f>($G722-$C722)*100</f>
        <v/>
      </c>
      <c r="R722" s="15">
        <f>IF($H722="","",($H722-$F722)*100)</f>
        <v/>
      </c>
      <c r="S722" s="15">
        <f>IF($H722="","",($H722-$G722)*100)</f>
        <v/>
      </c>
    </row>
    <row r="723">
      <c r="A723" s="11" t="n">
        <v>41544</v>
      </c>
      <c r="B723" s="22" t="n">
        <v>0.096</v>
      </c>
      <c r="C723" s="22" t="n">
        <v>0.1</v>
      </c>
      <c r="D723" s="22" t="n">
        <v>0.236</v>
      </c>
      <c r="E723" s="22" t="n">
        <v>0.6850000000000001</v>
      </c>
      <c r="F723" s="22" t="n">
        <v>1.585</v>
      </c>
      <c r="G723" s="22" t="n">
        <v>1.715</v>
      </c>
      <c r="H723" s="22" t="n">
        <v>1.79</v>
      </c>
      <c r="I723" s="22" t="n">
        <v>3.68</v>
      </c>
      <c r="J723" s="22" t="n">
        <v>0.1</v>
      </c>
      <c r="K723" s="22" t="n">
        <v>2.64</v>
      </c>
      <c r="L723" s="17">
        <f>$J723-$B723</f>
        <v/>
      </c>
      <c r="M723" s="17">
        <f>$I723-$L723</f>
        <v/>
      </c>
      <c r="N723" s="23">
        <f>($G723-$M723)*100</f>
        <v/>
      </c>
      <c r="O723" s="15">
        <f>($E723-$C723)*100</f>
        <v/>
      </c>
      <c r="P723" s="15">
        <f>($G723-$E723)*100</f>
        <v/>
      </c>
      <c r="Q723" s="15">
        <f>($G723-$C723)*100</f>
        <v/>
      </c>
      <c r="R723" s="15">
        <f>IF($H723="","",($H723-$F723)*100)</f>
        <v/>
      </c>
      <c r="S723" s="15">
        <f>IF($H723="","",($H723-$G723)*100)</f>
        <v/>
      </c>
    </row>
    <row r="724">
      <c r="A724" s="11" t="n">
        <v>41551</v>
      </c>
      <c r="B724" s="22" t="n">
        <v>0.08400000000000001</v>
      </c>
      <c r="C724" s="22" t="n">
        <v>0.097</v>
      </c>
      <c r="D724" s="22" t="n">
        <v>0.222</v>
      </c>
      <c r="E724" s="22" t="n">
        <v>0.657</v>
      </c>
      <c r="F724" s="22" t="n">
        <v>1.522</v>
      </c>
      <c r="G724" s="22" t="n">
        <v>1.651</v>
      </c>
      <c r="H724" s="22" t="n">
        <v>1.719</v>
      </c>
      <c r="I724" s="22" t="n">
        <v>3.73</v>
      </c>
      <c r="J724" s="22" t="n">
        <v>0.11</v>
      </c>
      <c r="K724" s="22" t="n">
        <v>2.66</v>
      </c>
      <c r="L724" s="17">
        <f>$J724-$B724</f>
        <v/>
      </c>
      <c r="M724" s="17">
        <f>$I724-$L724</f>
        <v/>
      </c>
      <c r="N724" s="23">
        <f>($G724-$M724)*100</f>
        <v/>
      </c>
      <c r="O724" s="15">
        <f>($E724-$C724)*100</f>
        <v/>
      </c>
      <c r="P724" s="15">
        <f>($G724-$E724)*100</f>
        <v/>
      </c>
      <c r="Q724" s="15">
        <f>($G724-$C724)*100</f>
        <v/>
      </c>
      <c r="R724" s="15">
        <f>IF($H724="","",($H724-$F724)*100)</f>
        <v/>
      </c>
      <c r="S724" s="15">
        <f>IF($H724="","",($H724-$G724)*100)</f>
        <v/>
      </c>
    </row>
    <row r="725">
      <c r="A725" s="11" t="n">
        <v>41558</v>
      </c>
      <c r="B725" s="22" t="n">
        <v>0.08</v>
      </c>
      <c r="C725" s="22" t="n">
        <v>0.091</v>
      </c>
      <c r="D725" s="22" t="n">
        <v>0.233</v>
      </c>
      <c r="E725" s="22" t="n">
        <v>0.658</v>
      </c>
      <c r="F725" s="22" t="n">
        <v>1.532</v>
      </c>
      <c r="G725" s="22" t="n">
        <v>1.664</v>
      </c>
      <c r="H725" s="22" t="n">
        <v>1.74</v>
      </c>
      <c r="I725" s="22" t="n">
        <v>3.74</v>
      </c>
      <c r="J725" s="22" t="n">
        <v>0.14</v>
      </c>
      <c r="K725" s="22" t="n">
        <v>2.7</v>
      </c>
      <c r="L725" s="17">
        <f>$J725-$B725</f>
        <v/>
      </c>
      <c r="M725" s="17">
        <f>$I725-$L725</f>
        <v/>
      </c>
      <c r="N725" s="23">
        <f>($G725-$M725)*100</f>
        <v/>
      </c>
      <c r="O725" s="15">
        <f>($E725-$C725)*100</f>
        <v/>
      </c>
      <c r="P725" s="15">
        <f>($G725-$E725)*100</f>
        <v/>
      </c>
      <c r="Q725" s="15">
        <f>($G725-$C725)*100</f>
        <v/>
      </c>
      <c r="R725" s="15">
        <f>IF($H725="","",($H725-$F725)*100)</f>
        <v/>
      </c>
      <c r="S725" s="15">
        <f>IF($H725="","",($H725-$G725)*100)</f>
        <v/>
      </c>
    </row>
    <row r="726">
      <c r="A726" s="11" t="n">
        <v>41565</v>
      </c>
      <c r="B726" s="22" t="n">
        <v>0.08</v>
      </c>
      <c r="C726" s="22" t="n">
        <v>0.1</v>
      </c>
      <c r="D726" s="22" t="n">
        <v>0.213</v>
      </c>
      <c r="E726" s="22" t="n">
        <v>0.625</v>
      </c>
      <c r="F726" s="22" t="n">
        <v>1.506</v>
      </c>
      <c r="G726" s="22" t="n">
        <v>1.639</v>
      </c>
      <c r="H726" s="22" t="n">
        <v>1.715</v>
      </c>
      <c r="I726" s="22" t="n">
        <v>3.65</v>
      </c>
      <c r="J726" s="22" t="n">
        <v>0.12</v>
      </c>
      <c r="K726" s="22" t="n">
        <v>2.6</v>
      </c>
      <c r="L726" s="17">
        <f>$J726-$B726</f>
        <v/>
      </c>
      <c r="M726" s="17">
        <f>$I726-$L726</f>
        <v/>
      </c>
      <c r="N726" s="23">
        <f>($G726-$M726)*100</f>
        <v/>
      </c>
      <c r="O726" s="15">
        <f>($E726-$C726)*100</f>
        <v/>
      </c>
      <c r="P726" s="15">
        <f>($G726-$E726)*100</f>
        <v/>
      </c>
      <c r="Q726" s="15">
        <f>($G726-$C726)*100</f>
        <v/>
      </c>
      <c r="R726" s="15">
        <f>IF($H726="","",($H726-$F726)*100)</f>
        <v/>
      </c>
      <c r="S726" s="15">
        <f>IF($H726="","",($H726-$G726)*100)</f>
        <v/>
      </c>
    </row>
    <row r="727">
      <c r="A727" s="11" t="n">
        <v>41572</v>
      </c>
      <c r="B727" s="22" t="n">
        <v>0.08699999999999999</v>
      </c>
      <c r="C727" s="22" t="n">
        <v>0.102</v>
      </c>
      <c r="D727" s="22" t="n">
        <v>0.209</v>
      </c>
      <c r="E727" s="22" t="n">
        <v>0.621</v>
      </c>
      <c r="F727" s="22" t="n">
        <v>1.507</v>
      </c>
      <c r="G727" s="22" t="n">
        <v>1.651</v>
      </c>
      <c r="H727" s="22" t="n">
        <v>1.725</v>
      </c>
      <c r="I727" s="22" t="n">
        <v>3.6</v>
      </c>
      <c r="J727" s="22" t="n">
        <v>0.11</v>
      </c>
      <c r="K727" s="22" t="n">
        <v>2.53</v>
      </c>
      <c r="L727" s="17">
        <f>$J727-$B727</f>
        <v/>
      </c>
      <c r="M727" s="17">
        <f>$I727-$L727</f>
        <v/>
      </c>
      <c r="N727" s="23">
        <f>($G727-$M727)*100</f>
        <v/>
      </c>
      <c r="O727" s="15">
        <f>($E727-$C727)*100</f>
        <v/>
      </c>
      <c r="P727" s="15">
        <f>($G727-$E727)*100</f>
        <v/>
      </c>
      <c r="Q727" s="15">
        <f>($G727-$C727)*100</f>
        <v/>
      </c>
      <c r="R727" s="15">
        <f>IF($H727="","",($H727-$F727)*100)</f>
        <v/>
      </c>
      <c r="S727" s="15">
        <f>IF($H727="","",($H727-$G727)*100)</f>
        <v/>
      </c>
    </row>
    <row r="728">
      <c r="A728" s="11" t="n">
        <v>41579</v>
      </c>
      <c r="B728" s="22" t="n">
        <v>0.09</v>
      </c>
      <c r="C728" s="22" t="n">
        <v>0.097</v>
      </c>
      <c r="D728" s="22" t="n">
        <v>0.195</v>
      </c>
      <c r="E728" s="22" t="n">
        <v>0.603</v>
      </c>
      <c r="F728" s="22" t="n">
        <v>1.526</v>
      </c>
      <c r="G728" s="22" t="n">
        <v>1.666</v>
      </c>
      <c r="H728" s="22" t="n">
        <v>1.736</v>
      </c>
      <c r="I728" s="22" t="n">
        <v>3.69</v>
      </c>
      <c r="J728" s="22" t="n">
        <v>0.1</v>
      </c>
      <c r="K728" s="22" t="n">
        <v>2.65</v>
      </c>
      <c r="L728" s="17">
        <f>$J728-$B728</f>
        <v/>
      </c>
      <c r="M728" s="17">
        <f>$I728-$L728</f>
        <v/>
      </c>
      <c r="N728" s="23">
        <f>($G728-$M728)*100</f>
        <v/>
      </c>
      <c r="O728" s="15">
        <f>($E728-$C728)*100</f>
        <v/>
      </c>
      <c r="P728" s="15">
        <f>($G728-$E728)*100</f>
        <v/>
      </c>
      <c r="Q728" s="15">
        <f>($G728-$C728)*100</f>
        <v/>
      </c>
      <c r="R728" s="15">
        <f>IF($H728="","",($H728-$F728)*100)</f>
        <v/>
      </c>
      <c r="S728" s="15">
        <f>IF($H728="","",($H728-$G728)*100)</f>
        <v/>
      </c>
    </row>
    <row r="729">
      <c r="A729" s="11" t="n">
        <v>41586</v>
      </c>
      <c r="B729" s="22" t="n">
        <v>0.09</v>
      </c>
      <c r="C729" s="22" t="n">
        <v>0.091</v>
      </c>
      <c r="D729" s="22" t="n">
        <v>0.201</v>
      </c>
      <c r="E729" s="22" t="n">
        <v>0.594</v>
      </c>
      <c r="F729" s="22" t="n">
        <v>1.487</v>
      </c>
      <c r="G729" s="22" t="n">
        <v>1.634</v>
      </c>
      <c r="H729" s="22" t="n">
        <v>1.712</v>
      </c>
      <c r="I729" s="22" t="n">
        <v>3.84</v>
      </c>
      <c r="J729" s="22" t="n">
        <v>0.12</v>
      </c>
      <c r="K729" s="22" t="n">
        <v>2.77</v>
      </c>
      <c r="L729" s="17">
        <f>$J729-$B729</f>
        <v/>
      </c>
      <c r="M729" s="17">
        <f>$I729-$L729</f>
        <v/>
      </c>
      <c r="N729" s="23">
        <f>($G729-$M729)*100</f>
        <v/>
      </c>
      <c r="O729" s="15">
        <f>($E729-$C729)*100</f>
        <v/>
      </c>
      <c r="P729" s="15">
        <f>($G729-$E729)*100</f>
        <v/>
      </c>
      <c r="Q729" s="15">
        <f>($G729-$C729)*100</f>
        <v/>
      </c>
      <c r="R729" s="15">
        <f>IF($H729="","",($H729-$F729)*100)</f>
        <v/>
      </c>
      <c r="S729" s="15">
        <f>IF($H729="","",($H729-$G729)*100)</f>
        <v/>
      </c>
    </row>
    <row r="730">
      <c r="A730" s="11" t="n">
        <v>41593</v>
      </c>
      <c r="B730" s="22" t="n">
        <v>0.09</v>
      </c>
      <c r="C730" s="22" t="n">
        <v>0.095</v>
      </c>
      <c r="D730" s="22" t="n">
        <v>0.212</v>
      </c>
      <c r="E730" s="22" t="n">
        <v>0.639</v>
      </c>
      <c r="F730" s="22" t="n">
        <v>1.529</v>
      </c>
      <c r="G730" s="22" t="n">
        <v>1.674</v>
      </c>
      <c r="H730" s="22" t="n">
        <v>1.75</v>
      </c>
      <c r="I730" s="22" t="n">
        <v>3.8</v>
      </c>
      <c r="J730" s="22" t="n">
        <v>0.13</v>
      </c>
      <c r="K730" s="22" t="n">
        <v>2.71</v>
      </c>
      <c r="L730" s="17">
        <f>$J730-$B730</f>
        <v/>
      </c>
      <c r="M730" s="17">
        <f>$I730-$L730</f>
        <v/>
      </c>
      <c r="N730" s="23">
        <f>($G730-$M730)*100</f>
        <v/>
      </c>
      <c r="O730" s="15">
        <f>($E730-$C730)*100</f>
        <v/>
      </c>
      <c r="P730" s="15">
        <f>($G730-$E730)*100</f>
        <v/>
      </c>
      <c r="Q730" s="15">
        <f>($G730-$C730)*100</f>
        <v/>
      </c>
      <c r="R730" s="15">
        <f>IF($H730="","",($H730-$F730)*100)</f>
        <v/>
      </c>
      <c r="S730" s="15">
        <f>IF($H730="","",($H730-$G730)*100)</f>
        <v/>
      </c>
    </row>
    <row r="731">
      <c r="A731" s="11" t="n">
        <v>41600</v>
      </c>
      <c r="B731" s="22" t="n">
        <v>0.09</v>
      </c>
      <c r="C731" s="22" t="n">
        <v>0.095</v>
      </c>
      <c r="D731" s="22" t="n">
        <v>0.201</v>
      </c>
      <c r="E731" s="22" t="n">
        <v>0.636</v>
      </c>
      <c r="F731" s="22" t="n">
        <v>1.53</v>
      </c>
      <c r="G731" s="22" t="n">
        <v>1.682</v>
      </c>
      <c r="H731" s="22" t="n">
        <v>1.762</v>
      </c>
      <c r="I731" s="22" t="n">
        <v>3.84</v>
      </c>
      <c r="J731" s="22" t="n">
        <v>0.12</v>
      </c>
      <c r="K731" s="22" t="n">
        <v>2.75</v>
      </c>
      <c r="L731" s="17">
        <f>$J731-$B731</f>
        <v/>
      </c>
      <c r="M731" s="17">
        <f>$I731-$L731</f>
        <v/>
      </c>
      <c r="N731" s="23">
        <f>($G731-$M731)*100</f>
        <v/>
      </c>
      <c r="O731" s="15">
        <f>($E731-$C731)*100</f>
        <v/>
      </c>
      <c r="P731" s="15">
        <f>($G731-$E731)*100</f>
        <v/>
      </c>
      <c r="Q731" s="15">
        <f>($G731-$C731)*100</f>
        <v/>
      </c>
      <c r="R731" s="15">
        <f>IF($H731="","",($H731-$F731)*100)</f>
        <v/>
      </c>
      <c r="S731" s="15">
        <f>IF($H731="","",($H731-$G731)*100)</f>
        <v/>
      </c>
    </row>
    <row r="732">
      <c r="A732" s="11" t="n">
        <v>41607</v>
      </c>
      <c r="B732" s="22" t="n">
        <v>0.08599999999999999</v>
      </c>
      <c r="C732" s="22" t="n">
        <v>0.083</v>
      </c>
      <c r="D732" s="22" t="n">
        <v>0.185</v>
      </c>
      <c r="E732" s="22" t="n">
        <v>0.611</v>
      </c>
      <c r="F732" s="22" t="n">
        <v>1.509</v>
      </c>
      <c r="G732" s="22" t="n">
        <v>1.661</v>
      </c>
      <c r="H732" s="22" t="n">
        <v>1.75</v>
      </c>
      <c r="I732" s="22" t="n">
        <v>3.82</v>
      </c>
      <c r="J732" s="22" t="n">
        <v>0.13</v>
      </c>
      <c r="K732" s="22" t="n">
        <v>2.75</v>
      </c>
      <c r="L732" s="17">
        <f>$J732-$B732</f>
        <v/>
      </c>
      <c r="M732" s="17">
        <f>$I732-$L732</f>
        <v/>
      </c>
      <c r="N732" s="23">
        <f>($G732-$M732)*100</f>
        <v/>
      </c>
      <c r="O732" s="15">
        <f>($E732-$C732)*100</f>
        <v/>
      </c>
      <c r="P732" s="15">
        <f>($G732-$E732)*100</f>
        <v/>
      </c>
      <c r="Q732" s="15">
        <f>($G732-$C732)*100</f>
        <v/>
      </c>
      <c r="R732" s="15">
        <f>IF($H732="","",($H732-$F732)*100)</f>
        <v/>
      </c>
      <c r="S732" s="15">
        <f>IF($H732="","",($H732-$G732)*100)</f>
        <v/>
      </c>
    </row>
    <row r="733">
      <c r="A733" s="11" t="n">
        <v>41614</v>
      </c>
      <c r="B733" s="22" t="n">
        <v>0.08</v>
      </c>
      <c r="C733" s="22" t="n">
        <v>0.08599999999999999</v>
      </c>
      <c r="D733" s="22" t="n">
        <v>0.21</v>
      </c>
      <c r="E733" s="22" t="n">
        <v>0.667</v>
      </c>
      <c r="F733" s="22" t="n">
        <v>1.544</v>
      </c>
      <c r="G733" s="22" t="n">
        <v>1.7</v>
      </c>
      <c r="H733" s="22" t="n">
        <v>1.787</v>
      </c>
      <c r="I733" s="22" t="n">
        <v>3.9</v>
      </c>
      <c r="J733" s="22" t="n">
        <v>0.13</v>
      </c>
      <c r="K733" s="22" t="n">
        <v>2.88</v>
      </c>
      <c r="L733" s="17">
        <f>$J733-$B733</f>
        <v/>
      </c>
      <c r="M733" s="17">
        <f>$I733-$L733</f>
        <v/>
      </c>
      <c r="N733" s="23">
        <f>($G733-$M733)*100</f>
        <v/>
      </c>
      <c r="O733" s="15">
        <f>($E733-$C733)*100</f>
        <v/>
      </c>
      <c r="P733" s="15">
        <f>($G733-$E733)*100</f>
        <v/>
      </c>
      <c r="Q733" s="15">
        <f>($G733-$C733)*100</f>
        <v/>
      </c>
      <c r="R733" s="15">
        <f>IF($H733="","",($H733-$F733)*100)</f>
        <v/>
      </c>
      <c r="S733" s="15">
        <f>IF($H733="","",($H733-$G733)*100)</f>
        <v/>
      </c>
    </row>
    <row r="734">
      <c r="A734" s="11" t="n">
        <v>41621</v>
      </c>
      <c r="B734" s="22" t="n">
        <v>0.08</v>
      </c>
      <c r="C734" s="22" t="n">
        <v>0.095</v>
      </c>
      <c r="D734" s="22" t="n">
        <v>0.209</v>
      </c>
      <c r="E734" s="22" t="n">
        <v>0.6820000000000001</v>
      </c>
      <c r="F734" s="22" t="n">
        <v>1.574</v>
      </c>
      <c r="G734" s="22" t="n">
        <v>1.73</v>
      </c>
      <c r="H734" s="22" t="n">
        <v>1.805</v>
      </c>
      <c r="I734" s="22" t="n">
        <v>3.88</v>
      </c>
      <c r="J734" s="22" t="n">
        <v>0.14</v>
      </c>
      <c r="K734" s="22" t="n">
        <v>2.88</v>
      </c>
      <c r="L734" s="17">
        <f>$J734-$B734</f>
        <v/>
      </c>
      <c r="M734" s="17">
        <f>$I734-$L734</f>
        <v/>
      </c>
      <c r="N734" s="23">
        <f>($G734-$M734)*100</f>
        <v/>
      </c>
      <c r="O734" s="15">
        <f>($E734-$C734)*100</f>
        <v/>
      </c>
      <c r="P734" s="15">
        <f>($G734-$E734)*100</f>
        <v/>
      </c>
      <c r="Q734" s="15">
        <f>($G734-$C734)*100</f>
        <v/>
      </c>
      <c r="R734" s="15">
        <f>IF($H734="","",($H734-$F734)*100)</f>
        <v/>
      </c>
      <c r="S734" s="15">
        <f>IF($H734="","",($H734-$G734)*100)</f>
        <v/>
      </c>
    </row>
    <row r="735">
      <c r="A735" s="11" t="n">
        <v>41628</v>
      </c>
      <c r="B735" s="22" t="n">
        <v>0.08</v>
      </c>
      <c r="C735" s="22" t="n">
        <v>0.1</v>
      </c>
      <c r="D735" s="22" t="n">
        <v>0.21</v>
      </c>
      <c r="E735" s="22" t="n">
        <v>0.678</v>
      </c>
      <c r="F735" s="22" t="n">
        <v>1.542</v>
      </c>
      <c r="G735" s="22" t="n">
        <v>1.683</v>
      </c>
      <c r="H735" s="22" t="n">
        <v>1.751</v>
      </c>
      <c r="I735" s="22" t="n">
        <v>3.82</v>
      </c>
      <c r="J735" s="22" t="n">
        <v>0.13</v>
      </c>
      <c r="K735" s="22" t="n">
        <v>2.89</v>
      </c>
      <c r="L735" s="17">
        <f>$J735-$B735</f>
        <v/>
      </c>
      <c r="M735" s="17">
        <f>$I735-$L735</f>
        <v/>
      </c>
      <c r="N735" s="23">
        <f>($G735-$M735)*100</f>
        <v/>
      </c>
      <c r="O735" s="15">
        <f>($E735-$C735)*100</f>
        <v/>
      </c>
      <c r="P735" s="15">
        <f>($G735-$E735)*100</f>
        <v/>
      </c>
      <c r="Q735" s="15">
        <f>($G735-$C735)*100</f>
        <v/>
      </c>
      <c r="R735" s="15">
        <f>IF($H735="","",($H735-$F735)*100)</f>
        <v/>
      </c>
      <c r="S735" s="15">
        <f>IF($H735="","",($H735-$G735)*100)</f>
        <v/>
      </c>
    </row>
    <row r="736">
      <c r="A736" s="11" t="n">
        <v>41635</v>
      </c>
      <c r="B736" s="22" t="n">
        <v>0.08</v>
      </c>
      <c r="C736" s="22" t="n">
        <v>0.098</v>
      </c>
      <c r="D736" s="22" t="n">
        <v>0.221</v>
      </c>
      <c r="E736" s="22" t="n">
        <v>0.708</v>
      </c>
      <c r="F736" s="22" t="n">
        <v>1.566</v>
      </c>
      <c r="G736" s="22" t="n">
        <v>1.709</v>
      </c>
      <c r="H736" s="22" t="n">
        <v>1.767</v>
      </c>
      <c r="I736" s="22" t="n">
        <v>3.94</v>
      </c>
      <c r="J736" s="22" t="n">
        <v>0.12</v>
      </c>
      <c r="K736" s="22" t="n">
        <v>3.02</v>
      </c>
      <c r="L736" s="17">
        <f>$J736-$B736</f>
        <v/>
      </c>
      <c r="M736" s="17">
        <f>$I736-$L736</f>
        <v/>
      </c>
      <c r="N736" s="23">
        <f>($G736-$M736)*100</f>
        <v/>
      </c>
      <c r="O736" s="15">
        <f>($E736-$C736)*100</f>
        <v/>
      </c>
      <c r="P736" s="15">
        <f>($G736-$E736)*100</f>
        <v/>
      </c>
      <c r="Q736" s="15">
        <f>($G736-$C736)*100</f>
        <v/>
      </c>
      <c r="R736" s="15">
        <f>IF($H736="","",($H736-$F736)*100)</f>
        <v/>
      </c>
      <c r="S736" s="15">
        <f>IF($H736="","",($H736-$G736)*100)</f>
        <v/>
      </c>
    </row>
    <row r="737">
      <c r="A737" s="11" t="n">
        <v>41642</v>
      </c>
      <c r="B737" s="22" t="n">
        <v>0.08</v>
      </c>
      <c r="C737" s="22" t="n">
        <v>0.098</v>
      </c>
      <c r="D737" s="22" t="n">
        <v>0.238</v>
      </c>
      <c r="E737" s="22" t="n">
        <v>0.736</v>
      </c>
      <c r="F737" s="22" t="n">
        <v>1.584</v>
      </c>
      <c r="G737" s="22" t="n">
        <v>1.726</v>
      </c>
      <c r="H737" s="22" t="n">
        <v>1.781</v>
      </c>
      <c r="I737" s="22" t="n">
        <v>3.93</v>
      </c>
      <c r="J737" s="22" t="n">
        <v>0.13</v>
      </c>
      <c r="K737" s="22" t="n">
        <v>3.01</v>
      </c>
      <c r="L737" s="17">
        <f>$J737-$B737</f>
        <v/>
      </c>
      <c r="M737" s="17">
        <f>$I737-$L737</f>
        <v/>
      </c>
      <c r="N737" s="23">
        <f>($G737-$M737)*100</f>
        <v/>
      </c>
      <c r="O737" s="15">
        <f>($E737-$C737)*100</f>
        <v/>
      </c>
      <c r="P737" s="15">
        <f>($G737-$E737)*100</f>
        <v/>
      </c>
      <c r="Q737" s="15">
        <f>($G737-$C737)*100</f>
        <v/>
      </c>
      <c r="R737" s="15">
        <f>IF($H737="","",($H737-$F737)*100)</f>
        <v/>
      </c>
      <c r="S737" s="15">
        <f>IF($H737="","",($H737-$G737)*100)</f>
        <v/>
      </c>
    </row>
    <row r="738">
      <c r="A738" s="11" t="n">
        <v>41649</v>
      </c>
      <c r="B738" s="22" t="n">
        <v>0.08</v>
      </c>
      <c r="C738" s="22" t="n">
        <v>0.091</v>
      </c>
      <c r="D738" s="22" t="n">
        <v>0.214</v>
      </c>
      <c r="E738" s="22" t="n">
        <v>0.696</v>
      </c>
      <c r="F738" s="22" t="n">
        <v>1.541</v>
      </c>
      <c r="G738" s="22" t="n">
        <v>1.693</v>
      </c>
      <c r="H738" s="22" t="n">
        <v>1.75</v>
      </c>
      <c r="I738" s="22" t="n">
        <v>3.8</v>
      </c>
      <c r="J738" s="22" t="n">
        <v>0.12</v>
      </c>
      <c r="K738" s="22" t="n">
        <v>2.88</v>
      </c>
      <c r="L738" s="17">
        <f>$J738-$B738</f>
        <v/>
      </c>
      <c r="M738" s="17">
        <f>$I738-$L738</f>
        <v/>
      </c>
      <c r="N738" s="23">
        <f>($G738-$M738)*100</f>
        <v/>
      </c>
      <c r="O738" s="15">
        <f>($E738-$C738)*100</f>
        <v/>
      </c>
      <c r="P738" s="15">
        <f>($G738-$E738)*100</f>
        <v/>
      </c>
      <c r="Q738" s="15">
        <f>($G738-$C738)*100</f>
        <v/>
      </c>
      <c r="R738" s="15">
        <f>IF($H738="","",($H738-$F738)*100)</f>
        <v/>
      </c>
      <c r="S738" s="15">
        <f>IF($H738="","",($H738-$G738)*100)</f>
        <v/>
      </c>
    </row>
    <row r="739">
      <c r="A739" s="11" t="n">
        <v>41656</v>
      </c>
      <c r="B739" s="22" t="n">
        <v>0.089</v>
      </c>
      <c r="C739" s="22" t="n">
        <v>0.09</v>
      </c>
      <c r="D739" s="22" t="n">
        <v>0.21</v>
      </c>
      <c r="E739" s="22" t="n">
        <v>0.674</v>
      </c>
      <c r="F739" s="22" t="n">
        <v>1.551</v>
      </c>
      <c r="G739" s="22" t="n">
        <v>1.701</v>
      </c>
      <c r="H739" s="22" t="n">
        <v>1.752</v>
      </c>
      <c r="I739" s="22" t="n">
        <v>3.75</v>
      </c>
      <c r="J739" s="22" t="n">
        <v>0.11</v>
      </c>
      <c r="K739" s="22" t="n">
        <v>2.84</v>
      </c>
      <c r="L739" s="17">
        <f>$J739-$B739</f>
        <v/>
      </c>
      <c r="M739" s="17">
        <f>$I739-$L739</f>
        <v/>
      </c>
      <c r="N739" s="23">
        <f>($G739-$M739)*100</f>
        <v/>
      </c>
      <c r="O739" s="15">
        <f>($E739-$C739)*100</f>
        <v/>
      </c>
      <c r="P739" s="15">
        <f>($G739-$E739)*100</f>
        <v/>
      </c>
      <c r="Q739" s="15">
        <f>($G739-$C739)*100</f>
        <v/>
      </c>
      <c r="R739" s="15">
        <f>IF($H739="","",($H739-$F739)*100)</f>
        <v/>
      </c>
      <c r="S739" s="15">
        <f>IF($H739="","",($H739-$G739)*100)</f>
        <v/>
      </c>
    </row>
    <row r="740">
      <c r="A740" s="11" t="n">
        <v>41663</v>
      </c>
      <c r="B740" s="22" t="n">
        <v>0.08699999999999999</v>
      </c>
      <c r="C740" s="22" t="n">
        <v>0.091</v>
      </c>
      <c r="D740" s="22" t="n">
        <v>0.199</v>
      </c>
      <c r="E740" s="22" t="n">
        <v>0.636</v>
      </c>
      <c r="F740" s="22" t="n">
        <v>1.476</v>
      </c>
      <c r="G740" s="22" t="n">
        <v>1.633</v>
      </c>
      <c r="H740" s="22" t="n">
        <v>1.685</v>
      </c>
      <c r="I740" s="22" t="n">
        <v>3.64</v>
      </c>
      <c r="J740" s="22" t="n">
        <v>0.11</v>
      </c>
      <c r="K740" s="22" t="n">
        <v>2.75</v>
      </c>
      <c r="L740" s="17">
        <f>$J740-$B740</f>
        <v/>
      </c>
      <c r="M740" s="17">
        <f>$I740-$L740</f>
        <v/>
      </c>
      <c r="N740" s="23">
        <f>($G740-$M740)*100</f>
        <v/>
      </c>
      <c r="O740" s="15">
        <f>($E740-$C740)*100</f>
        <v/>
      </c>
      <c r="P740" s="15">
        <f>($G740-$E740)*100</f>
        <v/>
      </c>
      <c r="Q740" s="15">
        <f>($G740-$C740)*100</f>
        <v/>
      </c>
      <c r="R740" s="15">
        <f>IF($H740="","",($H740-$F740)*100)</f>
        <v/>
      </c>
      <c r="S740" s="15">
        <f>IF($H740="","",($H740-$G740)*100)</f>
        <v/>
      </c>
    </row>
    <row r="741">
      <c r="A741" s="11" t="n">
        <v>41670</v>
      </c>
      <c r="B741" s="22" t="n">
        <v>0.08500000000000001</v>
      </c>
      <c r="C741" s="22" t="n">
        <v>0.08500000000000001</v>
      </c>
      <c r="D741" s="22" t="n">
        <v>0.198</v>
      </c>
      <c r="E741" s="22" t="n">
        <v>0.627</v>
      </c>
      <c r="F741" s="22" t="n">
        <v>1.482</v>
      </c>
      <c r="G741" s="22" t="n">
        <v>1.646</v>
      </c>
      <c r="H741" s="22" t="n">
        <v>1.714</v>
      </c>
      <c r="I741" s="22" t="n">
        <v>3.61</v>
      </c>
      <c r="J741" s="22" t="n">
        <v>0.1</v>
      </c>
      <c r="K741" s="22" t="n">
        <v>2.67</v>
      </c>
      <c r="L741" s="17">
        <f>$J741-$B741</f>
        <v/>
      </c>
      <c r="M741" s="17">
        <f>$I741-$L741</f>
        <v/>
      </c>
      <c r="N741" s="23">
        <f>($G741-$M741)*100</f>
        <v/>
      </c>
      <c r="O741" s="15">
        <f>($E741-$C741)*100</f>
        <v/>
      </c>
      <c r="P741" s="15">
        <f>($G741-$E741)*100</f>
        <v/>
      </c>
      <c r="Q741" s="15">
        <f>($G741-$C741)*100</f>
        <v/>
      </c>
      <c r="R741" s="15">
        <f>IF($H741="","",($H741-$F741)*100)</f>
        <v/>
      </c>
      <c r="S741" s="15">
        <f>IF($H741="","",($H741-$G741)*100)</f>
        <v/>
      </c>
    </row>
    <row r="742">
      <c r="A742" s="11" t="n">
        <v>41677</v>
      </c>
      <c r="B742" s="22" t="n">
        <v>0.08</v>
      </c>
      <c r="C742" s="22" t="n">
        <v>0.076</v>
      </c>
      <c r="D742" s="22" t="n">
        <v>0.2</v>
      </c>
      <c r="E742" s="22" t="n">
        <v>0.622</v>
      </c>
      <c r="F742" s="22" t="n">
        <v>1.478</v>
      </c>
      <c r="G742" s="22" t="n">
        <v>1.633</v>
      </c>
      <c r="H742" s="22" t="n">
        <v>1.713</v>
      </c>
      <c r="I742" s="22" t="n">
        <v>3.67</v>
      </c>
      <c r="J742" s="22" t="n">
        <v>0.12</v>
      </c>
      <c r="K742" s="22" t="n">
        <v>2.71</v>
      </c>
      <c r="L742" s="17">
        <f>$J742-$B742</f>
        <v/>
      </c>
      <c r="M742" s="17">
        <f>$I742-$L742</f>
        <v/>
      </c>
      <c r="N742" s="23">
        <f>($G742-$M742)*100</f>
        <v/>
      </c>
      <c r="O742" s="15">
        <f>($E742-$C742)*100</f>
        <v/>
      </c>
      <c r="P742" s="15">
        <f>($G742-$E742)*100</f>
        <v/>
      </c>
      <c r="Q742" s="15">
        <f>($G742-$C742)*100</f>
        <v/>
      </c>
      <c r="R742" s="15">
        <f>IF($H742="","",($H742-$F742)*100)</f>
        <v/>
      </c>
      <c r="S742" s="15">
        <f>IF($H742="","",($H742-$G742)*100)</f>
        <v/>
      </c>
    </row>
    <row r="743">
      <c r="A743" s="11" t="n">
        <v>41684</v>
      </c>
      <c r="B743" s="22" t="n">
        <v>0.07000000000000001</v>
      </c>
      <c r="C743" s="22" t="n">
        <v>0.075</v>
      </c>
      <c r="D743" s="22" t="n">
        <v>0.185</v>
      </c>
      <c r="E743" s="22" t="n">
        <v>0.595</v>
      </c>
      <c r="F743" s="22" t="n">
        <v>1.464</v>
      </c>
      <c r="G743" s="22" t="n">
        <v>1.621</v>
      </c>
      <c r="H743" s="22" t="n">
        <v>1.702</v>
      </c>
      <c r="I743" s="22" t="n">
        <v>3.69</v>
      </c>
      <c r="J743" s="22" t="n">
        <v>0.11</v>
      </c>
      <c r="K743" s="22" t="n">
        <v>2.75</v>
      </c>
      <c r="L743" s="17">
        <f>$J743-$B743</f>
        <v/>
      </c>
      <c r="M743" s="17">
        <f>$I743-$L743</f>
        <v/>
      </c>
      <c r="N743" s="23">
        <f>($G743-$M743)*100</f>
        <v/>
      </c>
      <c r="O743" s="15">
        <f>($E743-$C743)*100</f>
        <v/>
      </c>
      <c r="P743" s="15">
        <f>($G743-$E743)*100</f>
        <v/>
      </c>
      <c r="Q743" s="15">
        <f>($G743-$C743)*100</f>
        <v/>
      </c>
      <c r="R743" s="15">
        <f>IF($H743="","",($H743-$F743)*100)</f>
        <v/>
      </c>
      <c r="S743" s="15">
        <f>IF($H743="","",($H743-$G743)*100)</f>
        <v/>
      </c>
    </row>
    <row r="744">
      <c r="A744" s="11" t="n">
        <v>41691</v>
      </c>
      <c r="B744" s="22" t="n">
        <v>0.08</v>
      </c>
      <c r="C744" s="22" t="n">
        <v>0.08</v>
      </c>
      <c r="D744" s="22" t="n">
        <v>0.187</v>
      </c>
      <c r="E744" s="22" t="n">
        <v>0.608</v>
      </c>
      <c r="F744" s="22" t="n">
        <v>1.49</v>
      </c>
      <c r="G744" s="22" t="n">
        <v>1.656</v>
      </c>
      <c r="H744" s="22" t="n">
        <v>1.735</v>
      </c>
      <c r="I744" s="22" t="n">
        <v>3.69</v>
      </c>
      <c r="J744" s="22" t="n">
        <v>0.12</v>
      </c>
      <c r="K744" s="22" t="n">
        <v>2.73</v>
      </c>
      <c r="L744" s="17">
        <f>$J744-$B744</f>
        <v/>
      </c>
      <c r="M744" s="17">
        <f>$I744-$L744</f>
        <v/>
      </c>
      <c r="N744" s="23">
        <f>($G744-$M744)*100</f>
        <v/>
      </c>
      <c r="O744" s="15">
        <f>($E744-$C744)*100</f>
        <v/>
      </c>
      <c r="P744" s="15">
        <f>($G744-$E744)*100</f>
        <v/>
      </c>
      <c r="Q744" s="15">
        <f>($G744-$C744)*100</f>
        <v/>
      </c>
      <c r="R744" s="15">
        <f>IF($H744="","",($H744-$F744)*100)</f>
        <v/>
      </c>
      <c r="S744" s="15">
        <f>IF($H744="","",($H744-$G744)*100)</f>
        <v/>
      </c>
    </row>
    <row r="745">
      <c r="A745" s="11" t="n">
        <v>41698</v>
      </c>
      <c r="B745" s="22" t="n">
        <v>0.076</v>
      </c>
      <c r="C745" s="22" t="n">
        <v>0.073</v>
      </c>
      <c r="D745" s="22" t="n">
        <v>0.182</v>
      </c>
      <c r="E745" s="22" t="n">
        <v>0.594</v>
      </c>
      <c r="F745" s="22" t="n">
        <v>1.465</v>
      </c>
      <c r="G745" s="22" t="n">
        <v>1.652</v>
      </c>
      <c r="H745" s="22" t="n">
        <v>1.728</v>
      </c>
      <c r="I745" s="22" t="n">
        <v>3.59</v>
      </c>
      <c r="J745" s="22" t="n">
        <v>0.12</v>
      </c>
      <c r="K745" s="22" t="n">
        <v>2.66</v>
      </c>
      <c r="L745" s="17">
        <f>$J745-$B745</f>
        <v/>
      </c>
      <c r="M745" s="17">
        <f>$I745-$L745</f>
        <v/>
      </c>
      <c r="N745" s="23">
        <f>($G745-$M745)*100</f>
        <v/>
      </c>
      <c r="O745" s="15">
        <f>($E745-$C745)*100</f>
        <v/>
      </c>
      <c r="P745" s="15">
        <f>($G745-$E745)*100</f>
        <v/>
      </c>
      <c r="Q745" s="15">
        <f>($G745-$C745)*100</f>
        <v/>
      </c>
      <c r="R745" s="15">
        <f>IF($H745="","",($H745-$F745)*100)</f>
        <v/>
      </c>
      <c r="S745" s="15">
        <f>IF($H745="","",($H745-$G745)*100)</f>
        <v/>
      </c>
    </row>
    <row r="746">
      <c r="A746" s="11" t="n">
        <v>41705</v>
      </c>
      <c r="B746" s="22" t="n">
        <v>0.07000000000000001</v>
      </c>
      <c r="C746" s="22" t="n">
        <v>0.07199999999999999</v>
      </c>
      <c r="D746" s="22" t="n">
        <v>0.189</v>
      </c>
      <c r="E746" s="22" t="n">
        <v>0.617</v>
      </c>
      <c r="F746" s="22" t="n">
        <v>1.484</v>
      </c>
      <c r="G746" s="22" t="n">
        <v>1.674</v>
      </c>
      <c r="H746" s="22" t="n">
        <v>1.744</v>
      </c>
      <c r="I746" s="22" t="n">
        <v>3.72</v>
      </c>
      <c r="J746" s="22" t="n">
        <v>0.13</v>
      </c>
      <c r="K746" s="22" t="n">
        <v>2.8</v>
      </c>
      <c r="L746" s="17">
        <f>$J746-$B746</f>
        <v/>
      </c>
      <c r="M746" s="17">
        <f>$I746-$L746</f>
        <v/>
      </c>
      <c r="N746" s="23">
        <f>($G746-$M746)*100</f>
        <v/>
      </c>
      <c r="O746" s="15">
        <f>($E746-$C746)*100</f>
        <v/>
      </c>
      <c r="P746" s="15">
        <f>($G746-$E746)*100</f>
        <v/>
      </c>
      <c r="Q746" s="15">
        <f>($G746-$C746)*100</f>
        <v/>
      </c>
      <c r="R746" s="15">
        <f>IF($H746="","",($H746-$F746)*100)</f>
        <v/>
      </c>
      <c r="S746" s="15">
        <f>IF($H746="","",($H746-$G746)*100)</f>
        <v/>
      </c>
    </row>
    <row r="747">
      <c r="A747" s="11" t="n">
        <v>41712</v>
      </c>
      <c r="B747" s="22" t="n">
        <v>0.06</v>
      </c>
      <c r="C747" s="22" t="n">
        <v>0.08</v>
      </c>
      <c r="D747" s="22" t="n">
        <v>0.195</v>
      </c>
      <c r="E747" s="22" t="n">
        <v>0.619</v>
      </c>
      <c r="F747" s="22" t="n">
        <v>1.504</v>
      </c>
      <c r="G747" s="22" t="n">
        <v>1.7</v>
      </c>
      <c r="H747" s="22" t="n">
        <v>1.769</v>
      </c>
      <c r="I747" s="22" t="n">
        <v>3.59</v>
      </c>
      <c r="J747" s="22" t="n">
        <v>0.12</v>
      </c>
      <c r="K747" s="22" t="n">
        <v>2.65</v>
      </c>
      <c r="L747" s="17">
        <f>$J747-$B747</f>
        <v/>
      </c>
      <c r="M747" s="17">
        <f>$I747-$L747</f>
        <v/>
      </c>
      <c r="N747" s="23">
        <f>($G747-$M747)*100</f>
        <v/>
      </c>
      <c r="O747" s="15">
        <f>($E747-$C747)*100</f>
        <v/>
      </c>
      <c r="P747" s="15">
        <f>($G747-$E747)*100</f>
        <v/>
      </c>
      <c r="Q747" s="15">
        <f>($G747-$C747)*100</f>
        <v/>
      </c>
      <c r="R747" s="15">
        <f>IF($H747="","",($H747-$F747)*100)</f>
        <v/>
      </c>
      <c r="S747" s="15">
        <f>IF($H747="","",($H747-$G747)*100)</f>
        <v/>
      </c>
    </row>
    <row r="748">
      <c r="A748" s="11" t="n">
        <v>41719</v>
      </c>
      <c r="B748" s="22" t="n">
        <v>0.051</v>
      </c>
      <c r="C748" s="22" t="n">
        <v>0.075</v>
      </c>
      <c r="D748" s="22" t="n">
        <v>0.186</v>
      </c>
      <c r="E748" s="22" t="n">
        <v>0.595</v>
      </c>
      <c r="F748" s="22" t="n">
        <v>1.469</v>
      </c>
      <c r="G748" s="22" t="n">
        <v>1.675</v>
      </c>
      <c r="H748" s="22" t="n">
        <v>1.747</v>
      </c>
      <c r="I748" s="22" t="n">
        <v>3.61</v>
      </c>
      <c r="J748" s="22" t="n">
        <v>0.14</v>
      </c>
      <c r="K748" s="22" t="n">
        <v>2.75</v>
      </c>
      <c r="L748" s="17">
        <f>$J748-$B748</f>
        <v/>
      </c>
      <c r="M748" s="17">
        <f>$I748-$L748</f>
        <v/>
      </c>
      <c r="N748" s="23">
        <f>($G748-$M748)*100</f>
        <v/>
      </c>
      <c r="O748" s="15">
        <f>($E748-$C748)*100</f>
        <v/>
      </c>
      <c r="P748" s="15">
        <f>($G748-$E748)*100</f>
        <v/>
      </c>
      <c r="Q748" s="15">
        <f>($G748-$C748)*100</f>
        <v/>
      </c>
      <c r="R748" s="15">
        <f>IF($H748="","",($H748-$F748)*100)</f>
        <v/>
      </c>
      <c r="S748" s="15">
        <f>IF($H748="","",($H748-$G748)*100)</f>
        <v/>
      </c>
    </row>
    <row r="749">
      <c r="A749" s="11" t="n">
        <v>41726</v>
      </c>
      <c r="B749" s="22" t="n">
        <v>0.063</v>
      </c>
      <c r="C749" s="22" t="n">
        <v>0.08799999999999999</v>
      </c>
      <c r="D749" s="22" t="n">
        <v>0.197</v>
      </c>
      <c r="E749" s="22" t="n">
        <v>0.626</v>
      </c>
      <c r="F749" s="22" t="n">
        <v>1.493</v>
      </c>
      <c r="G749" s="22" t="n">
        <v>1.696</v>
      </c>
      <c r="H749" s="22" t="n">
        <v>1.781</v>
      </c>
      <c r="I749" s="22" t="n">
        <v>3.55</v>
      </c>
      <c r="J749" s="22" t="n">
        <v>0.13</v>
      </c>
      <c r="K749" s="22" t="n">
        <v>2.73</v>
      </c>
      <c r="L749" s="17">
        <f>$J749-$B749</f>
        <v/>
      </c>
      <c r="M749" s="17">
        <f>$I749-$L749</f>
        <v/>
      </c>
      <c r="N749" s="23">
        <f>($G749-$M749)*100</f>
        <v/>
      </c>
      <c r="O749" s="15">
        <f>($E749-$C749)*100</f>
        <v/>
      </c>
      <c r="P749" s="15">
        <f>($G749-$E749)*100</f>
        <v/>
      </c>
      <c r="Q749" s="15">
        <f>($G749-$C749)*100</f>
        <v/>
      </c>
      <c r="R749" s="15">
        <f>IF($H749="","",($H749-$F749)*100)</f>
        <v/>
      </c>
      <c r="S749" s="15">
        <f>IF($H749="","",($H749-$G749)*100)</f>
        <v/>
      </c>
    </row>
    <row r="750">
      <c r="A750" s="11" t="n">
        <v>41733</v>
      </c>
      <c r="B750" s="22" t="n">
        <v>0.08</v>
      </c>
      <c r="C750" s="22" t="n">
        <v>0.082</v>
      </c>
      <c r="D750" s="22" t="n">
        <v>0.198</v>
      </c>
      <c r="E750" s="22" t="n">
        <v>0.642</v>
      </c>
      <c r="F750" s="22" t="n">
        <v>1.494</v>
      </c>
      <c r="G750" s="22" t="n">
        <v>1.684</v>
      </c>
      <c r="H750" s="22" t="n">
        <v>1.765</v>
      </c>
      <c r="I750" s="22" t="n">
        <v>3.59</v>
      </c>
      <c r="J750" s="22" t="n">
        <v>0.11</v>
      </c>
      <c r="K750" s="22" t="n">
        <v>2.74</v>
      </c>
      <c r="L750" s="17">
        <f>$J750-$B750</f>
        <v/>
      </c>
      <c r="M750" s="17">
        <f>$I750-$L750</f>
        <v/>
      </c>
      <c r="N750" s="23">
        <f>($G750-$M750)*100</f>
        <v/>
      </c>
      <c r="O750" s="15">
        <f>($E750-$C750)*100</f>
        <v/>
      </c>
      <c r="P750" s="15">
        <f>($G750-$E750)*100</f>
        <v/>
      </c>
      <c r="Q750" s="15">
        <f>($G750-$C750)*100</f>
        <v/>
      </c>
      <c r="R750" s="15">
        <f>IF($H750="","",($H750-$F750)*100)</f>
        <v/>
      </c>
      <c r="S750" s="15">
        <f>IF($H750="","",($H750-$G750)*100)</f>
        <v/>
      </c>
    </row>
    <row r="751">
      <c r="A751" s="11" t="n">
        <v>41740</v>
      </c>
      <c r="B751" s="22" t="n">
        <v>0.08</v>
      </c>
      <c r="C751" s="22" t="n">
        <v>0.081</v>
      </c>
      <c r="D751" s="22" t="n">
        <v>0.188</v>
      </c>
      <c r="E751" s="22" t="n">
        <v>0.605</v>
      </c>
      <c r="F751" s="22" t="n">
        <v>1.491</v>
      </c>
      <c r="G751" s="22" t="n">
        <v>1.692</v>
      </c>
      <c r="H751" s="22" t="n">
        <v>1.777</v>
      </c>
      <c r="I751" s="22" t="n">
        <v>3.48</v>
      </c>
      <c r="J751" s="22" t="n">
        <v>0.09</v>
      </c>
      <c r="K751" s="22" t="n">
        <v>2.63</v>
      </c>
      <c r="L751" s="17">
        <f>$J751-$B751</f>
        <v/>
      </c>
      <c r="M751" s="17">
        <f>$I751-$L751</f>
        <v/>
      </c>
      <c r="N751" s="23">
        <f>($G751-$M751)*100</f>
        <v/>
      </c>
      <c r="O751" s="15">
        <f>($E751-$C751)*100</f>
        <v/>
      </c>
      <c r="P751" s="15">
        <f>($G751-$E751)*100</f>
        <v/>
      </c>
      <c r="Q751" s="15">
        <f>($G751-$C751)*100</f>
        <v/>
      </c>
      <c r="R751" s="15">
        <f>IF($H751="","",($H751-$F751)*100)</f>
        <v/>
      </c>
      <c r="S751" s="15">
        <f>IF($H751="","",($H751-$G751)*100)</f>
        <v/>
      </c>
    </row>
    <row r="752">
      <c r="A752" s="11" t="n">
        <v>41747</v>
      </c>
      <c r="B752" s="22" t="n">
        <v>0.08</v>
      </c>
      <c r="C752" s="22" t="n">
        <v>0.09</v>
      </c>
      <c r="D752" s="22" t="n">
        <v>0.189</v>
      </c>
      <c r="E752" s="22" t="n">
        <v>0.602</v>
      </c>
      <c r="F752" s="22" t="n">
        <v>1.47</v>
      </c>
      <c r="G752" s="22" t="n">
        <v>1.683</v>
      </c>
      <c r="H752" s="22" t="n">
        <v>1.769</v>
      </c>
      <c r="I752" s="22" t="n">
        <v>3.52</v>
      </c>
      <c r="J752" s="22" t="n">
        <v>0.11</v>
      </c>
      <c r="K752" s="22" t="n">
        <v>2.73</v>
      </c>
      <c r="L752" s="17">
        <f>$J752-$B752</f>
        <v/>
      </c>
      <c r="M752" s="17">
        <f>$I752-$L752</f>
        <v/>
      </c>
      <c r="N752" s="23">
        <f>($G752-$M752)*100</f>
        <v/>
      </c>
      <c r="O752" s="15">
        <f>($E752-$C752)*100</f>
        <v/>
      </c>
      <c r="P752" s="15">
        <f>($G752-$E752)*100</f>
        <v/>
      </c>
      <c r="Q752" s="15">
        <f>($G752-$C752)*100</f>
        <v/>
      </c>
      <c r="R752" s="15">
        <f>IF($H752="","",($H752-$F752)*100)</f>
        <v/>
      </c>
      <c r="S752" s="15">
        <f>IF($H752="","",($H752-$G752)*100)</f>
        <v/>
      </c>
    </row>
    <row r="753">
      <c r="A753" s="11" t="n">
        <v>41754</v>
      </c>
      <c r="B753" s="22" t="n">
        <v>0.08</v>
      </c>
      <c r="C753" s="22" t="n">
        <v>0.08799999999999999</v>
      </c>
      <c r="D753" s="22" t="n">
        <v>0.196</v>
      </c>
      <c r="E753" s="22" t="n">
        <v>0.628</v>
      </c>
      <c r="F753" s="22" t="n">
        <v>1.489</v>
      </c>
      <c r="G753" s="22" t="n">
        <v>1.697</v>
      </c>
      <c r="H753" s="22" t="n">
        <v>1.786</v>
      </c>
      <c r="I753" s="22" t="n">
        <v>3.45</v>
      </c>
      <c r="J753" s="22" t="n">
        <v>0.11</v>
      </c>
      <c r="K753" s="22" t="n">
        <v>2.68</v>
      </c>
      <c r="L753" s="17">
        <f>$J753-$B753</f>
        <v/>
      </c>
      <c r="M753" s="17">
        <f>$I753-$L753</f>
        <v/>
      </c>
      <c r="N753" s="23">
        <f>($G753-$M753)*100</f>
        <v/>
      </c>
      <c r="O753" s="15">
        <f>($E753-$C753)*100</f>
        <v/>
      </c>
      <c r="P753" s="15">
        <f>($G753-$E753)*100</f>
        <v/>
      </c>
      <c r="Q753" s="15">
        <f>($G753-$C753)*100</f>
        <v/>
      </c>
      <c r="R753" s="15">
        <f>IF($H753="","",($H753-$F753)*100)</f>
        <v/>
      </c>
      <c r="S753" s="15">
        <f>IF($H753="","",($H753-$G753)*100)</f>
        <v/>
      </c>
    </row>
    <row r="754">
      <c r="A754" s="11" t="n">
        <v>41761</v>
      </c>
      <c r="B754" s="22" t="n">
        <v>0.08</v>
      </c>
      <c r="C754" s="22" t="n">
        <v>0.08500000000000001</v>
      </c>
      <c r="D754" s="22" t="n">
        <v>0.19</v>
      </c>
      <c r="E754" s="22" t="n">
        <v>0.614</v>
      </c>
      <c r="F754" s="22" t="n">
        <v>1.481</v>
      </c>
      <c r="G754" s="22" t="n">
        <v>1.706</v>
      </c>
      <c r="H754" s="22" t="n">
        <v>1.799</v>
      </c>
      <c r="I754" s="22" t="n">
        <v>3.37</v>
      </c>
      <c r="J754" s="22" t="n">
        <v>0.1</v>
      </c>
      <c r="K754" s="22" t="n">
        <v>2.6</v>
      </c>
      <c r="L754" s="17">
        <f>$J754-$B754</f>
        <v/>
      </c>
      <c r="M754" s="17">
        <f>$I754-$L754</f>
        <v/>
      </c>
      <c r="N754" s="23">
        <f>($G754-$M754)*100</f>
        <v/>
      </c>
      <c r="O754" s="15">
        <f>($E754-$C754)*100</f>
        <v/>
      </c>
      <c r="P754" s="15">
        <f>($G754-$E754)*100</f>
        <v/>
      </c>
      <c r="Q754" s="15">
        <f>($G754-$C754)*100</f>
        <v/>
      </c>
      <c r="R754" s="15">
        <f>IF($H754="","",($H754-$F754)*100)</f>
        <v/>
      </c>
      <c r="S754" s="15">
        <f>IF($H754="","",($H754-$G754)*100)</f>
        <v/>
      </c>
    </row>
    <row r="755">
      <c r="A755" s="11" t="n">
        <v>41768</v>
      </c>
      <c r="B755" s="22" t="n">
        <v>0.08</v>
      </c>
      <c r="C755" s="22" t="n">
        <v>0.081</v>
      </c>
      <c r="D755" s="22" t="n">
        <v>0.191</v>
      </c>
      <c r="E755" s="22" t="n">
        <v>0.611</v>
      </c>
      <c r="F755" s="22" t="n">
        <v>1.479</v>
      </c>
      <c r="G755" s="22" t="n">
        <v>1.703</v>
      </c>
      <c r="H755" s="22" t="n">
        <v>1.799</v>
      </c>
      <c r="I755" s="22" t="n">
        <v>3.47</v>
      </c>
      <c r="J755" s="22" t="n">
        <v>0.1</v>
      </c>
      <c r="K755" s="22" t="n">
        <v>2.62</v>
      </c>
      <c r="L755" s="17">
        <f>$J755-$B755</f>
        <v/>
      </c>
      <c r="M755" s="17">
        <f>$I755-$L755</f>
        <v/>
      </c>
      <c r="N755" s="23">
        <f>($G755-$M755)*100</f>
        <v/>
      </c>
      <c r="O755" s="15">
        <f>($E755-$C755)*100</f>
        <v/>
      </c>
      <c r="P755" s="15">
        <f>($G755-$E755)*100</f>
        <v/>
      </c>
      <c r="Q755" s="15">
        <f>($G755-$C755)*100</f>
        <v/>
      </c>
      <c r="R755" s="15">
        <f>IF($H755="","",($H755-$F755)*100)</f>
        <v/>
      </c>
      <c r="S755" s="15">
        <f>IF($H755="","",($H755-$G755)*100)</f>
        <v/>
      </c>
    </row>
    <row r="756">
      <c r="A756" s="11" t="n">
        <v>41775</v>
      </c>
      <c r="B756" s="22" t="n">
        <v>0.08</v>
      </c>
      <c r="C756" s="22" t="n">
        <v>0.08500000000000001</v>
      </c>
      <c r="D756" s="22" t="n">
        <v>0.188</v>
      </c>
      <c r="E756" s="22" t="n">
        <v>0.593</v>
      </c>
      <c r="F756" s="22" t="n">
        <v>1.475</v>
      </c>
      <c r="G756" s="22" t="n">
        <v>1.69</v>
      </c>
      <c r="H756" s="22" t="n">
        <v>1.797</v>
      </c>
      <c r="I756" s="22" t="n">
        <v>3.34</v>
      </c>
      <c r="J756" s="22" t="n">
        <v>0.09</v>
      </c>
      <c r="K756" s="22" t="n">
        <v>2.52</v>
      </c>
      <c r="L756" s="17">
        <f>$J756-$B756</f>
        <v/>
      </c>
      <c r="M756" s="17">
        <f>$I756-$L756</f>
        <v/>
      </c>
      <c r="N756" s="23">
        <f>($G756-$M756)*100</f>
        <v/>
      </c>
      <c r="O756" s="15">
        <f>($E756-$C756)*100</f>
        <v/>
      </c>
      <c r="P756" s="15">
        <f>($G756-$E756)*100</f>
        <v/>
      </c>
      <c r="Q756" s="15">
        <f>($G756-$C756)*100</f>
        <v/>
      </c>
      <c r="R756" s="15">
        <f>IF($H756="","",($H756-$F756)*100)</f>
        <v/>
      </c>
      <c r="S756" s="15">
        <f>IF($H756="","",($H756-$G756)*100)</f>
        <v/>
      </c>
    </row>
    <row r="757">
      <c r="A757" s="11" t="n">
        <v>41782</v>
      </c>
      <c r="B757" s="22" t="n">
        <v>0.079</v>
      </c>
      <c r="C757" s="22" t="n">
        <v>0.08500000000000001</v>
      </c>
      <c r="D757" s="22" t="n">
        <v>0.189</v>
      </c>
      <c r="E757" s="22" t="n">
        <v>0.6</v>
      </c>
      <c r="F757" s="22" t="n">
        <v>1.462</v>
      </c>
      <c r="G757" s="22" t="n">
        <v>1.692</v>
      </c>
      <c r="H757" s="22" t="n">
        <v>1.795</v>
      </c>
      <c r="I757" s="22" t="n">
        <v>3.4</v>
      </c>
      <c r="J757" s="22" t="n">
        <v>0.1</v>
      </c>
      <c r="K757" s="22" t="n">
        <v>2.54</v>
      </c>
      <c r="L757" s="17">
        <f>$J757-$B757</f>
        <v/>
      </c>
      <c r="M757" s="17">
        <f>$I757-$L757</f>
        <v/>
      </c>
      <c r="N757" s="23">
        <f>($G757-$M757)*100</f>
        <v/>
      </c>
      <c r="O757" s="15">
        <f>($E757-$C757)*100</f>
        <v/>
      </c>
      <c r="P757" s="15">
        <f>($G757-$E757)*100</f>
        <v/>
      </c>
      <c r="Q757" s="15">
        <f>($G757-$C757)*100</f>
        <v/>
      </c>
      <c r="R757" s="15">
        <f>IF($H757="","",($H757-$F757)*100)</f>
        <v/>
      </c>
      <c r="S757" s="15">
        <f>IF($H757="","",($H757-$G757)*100)</f>
        <v/>
      </c>
    </row>
    <row r="758">
      <c r="A758" s="11" t="n">
        <v>41789</v>
      </c>
      <c r="B758" s="22" t="n">
        <v>0.078</v>
      </c>
      <c r="C758" s="22" t="n">
        <v>0.08799999999999999</v>
      </c>
      <c r="D758" s="22" t="n">
        <v>0.179</v>
      </c>
      <c r="E758" s="22" t="n">
        <v>0.589</v>
      </c>
      <c r="F758" s="22" t="n">
        <v>1.456</v>
      </c>
      <c r="G758" s="22" t="n">
        <v>1.685</v>
      </c>
      <c r="H758" s="22" t="n">
        <v>1.779</v>
      </c>
      <c r="I758" s="22" t="n">
        <v>3.33</v>
      </c>
      <c r="J758" s="22" t="n">
        <v>0.1</v>
      </c>
      <c r="K758" s="22" t="n">
        <v>2.48</v>
      </c>
      <c r="L758" s="17">
        <f>$J758-$B758</f>
        <v/>
      </c>
      <c r="M758" s="17">
        <f>$I758-$L758</f>
        <v/>
      </c>
      <c r="N758" s="23">
        <f>($G758-$M758)*100</f>
        <v/>
      </c>
      <c r="O758" s="15">
        <f>($E758-$C758)*100</f>
        <v/>
      </c>
      <c r="P758" s="15">
        <f>($G758-$E758)*100</f>
        <v/>
      </c>
      <c r="Q758" s="15">
        <f>($G758-$C758)*100</f>
        <v/>
      </c>
      <c r="R758" s="15">
        <f>IF($H758="","",($H758-$F758)*100)</f>
        <v/>
      </c>
      <c r="S758" s="15">
        <f>IF($H758="","",($H758-$G758)*100)</f>
        <v/>
      </c>
    </row>
    <row r="759">
      <c r="A759" s="11" t="n">
        <v>41796</v>
      </c>
      <c r="B759" s="22" t="n">
        <v>0.082</v>
      </c>
      <c r="C759" s="22" t="n">
        <v>0.08599999999999999</v>
      </c>
      <c r="D759" s="22" t="n">
        <v>0.178</v>
      </c>
      <c r="E759" s="22" t="n">
        <v>0.592</v>
      </c>
      <c r="F759" s="22" t="n">
        <v>1.465</v>
      </c>
      <c r="G759" s="22" t="n">
        <v>1.7</v>
      </c>
      <c r="H759" s="22" t="n">
        <v>1.787</v>
      </c>
      <c r="I759" s="22" t="n">
        <v>3.44</v>
      </c>
      <c r="J759" s="22" t="n">
        <v>0.11</v>
      </c>
      <c r="K759" s="22" t="n">
        <v>2.6</v>
      </c>
      <c r="L759" s="17">
        <f>$J759-$B759</f>
        <v/>
      </c>
      <c r="M759" s="17">
        <f>$I759-$L759</f>
        <v/>
      </c>
      <c r="N759" s="23">
        <f>($G759-$M759)*100</f>
        <v/>
      </c>
      <c r="O759" s="15">
        <f>($E759-$C759)*100</f>
        <v/>
      </c>
      <c r="P759" s="15">
        <f>($G759-$E759)*100</f>
        <v/>
      </c>
      <c r="Q759" s="15">
        <f>($G759-$C759)*100</f>
        <v/>
      </c>
      <c r="R759" s="15">
        <f>IF($H759="","",($H759-$F759)*100)</f>
        <v/>
      </c>
      <c r="S759" s="15">
        <f>IF($H759="","",($H759-$G759)*100)</f>
        <v/>
      </c>
    </row>
    <row r="760">
      <c r="A760" s="11" t="n">
        <v>41803</v>
      </c>
      <c r="B760" s="22" t="n">
        <v>0.081</v>
      </c>
      <c r="C760" s="22" t="n">
        <v>0.081</v>
      </c>
      <c r="D760" s="22" t="n">
        <v>0.185</v>
      </c>
      <c r="E760" s="22" t="n">
        <v>0.599</v>
      </c>
      <c r="F760" s="22" t="n">
        <v>1.467</v>
      </c>
      <c r="G760" s="22" t="n">
        <v>1.684</v>
      </c>
      <c r="H760" s="22" t="n">
        <v>1.764</v>
      </c>
      <c r="I760" s="22" t="n">
        <v>3.41</v>
      </c>
      <c r="J760" s="22" t="n">
        <v>0.11</v>
      </c>
      <c r="K760" s="22" t="n">
        <v>2.6</v>
      </c>
      <c r="L760" s="17">
        <f>$J760-$B760</f>
        <v/>
      </c>
      <c r="M760" s="17">
        <f>$I760-$L760</f>
        <v/>
      </c>
      <c r="N760" s="23">
        <f>($G760-$M760)*100</f>
        <v/>
      </c>
      <c r="O760" s="15">
        <f>($E760-$C760)*100</f>
        <v/>
      </c>
      <c r="P760" s="15">
        <f>($G760-$E760)*100</f>
        <v/>
      </c>
      <c r="Q760" s="15">
        <f>($G760-$C760)*100</f>
        <v/>
      </c>
      <c r="R760" s="15">
        <f>IF($H760="","",($H760-$F760)*100)</f>
        <v/>
      </c>
      <c r="S760" s="15">
        <f>IF($H760="","",($H760-$G760)*100)</f>
        <v/>
      </c>
    </row>
    <row r="761">
      <c r="A761" s="11" t="n">
        <v>41810</v>
      </c>
      <c r="B761" s="22" t="n">
        <v>0.08</v>
      </c>
      <c r="C761" s="22" t="n">
        <v>0.08500000000000001</v>
      </c>
      <c r="D761" s="22" t="n">
        <v>0.172</v>
      </c>
      <c r="E761" s="22" t="n">
        <v>0.576</v>
      </c>
      <c r="F761" s="22" t="n">
        <v>1.46</v>
      </c>
      <c r="G761" s="22" t="n">
        <v>1.708</v>
      </c>
      <c r="H761" s="22" t="n">
        <v>1.779</v>
      </c>
      <c r="I761" s="22" t="n">
        <v>3.44</v>
      </c>
      <c r="J761" s="22" t="n">
        <v>0.09</v>
      </c>
      <c r="K761" s="22" t="n">
        <v>2.63</v>
      </c>
      <c r="L761" s="17">
        <f>$J761-$B761</f>
        <v/>
      </c>
      <c r="M761" s="17">
        <f>$I761-$L761</f>
        <v/>
      </c>
      <c r="N761" s="23">
        <f>($G761-$M761)*100</f>
        <v/>
      </c>
      <c r="O761" s="15">
        <f>($E761-$C761)*100</f>
        <v/>
      </c>
      <c r="P761" s="15">
        <f>($G761-$E761)*100</f>
        <v/>
      </c>
      <c r="Q761" s="15">
        <f>($G761-$C761)*100</f>
        <v/>
      </c>
      <c r="R761" s="15">
        <f>IF($H761="","",($H761-$F761)*100)</f>
        <v/>
      </c>
      <c r="S761" s="15">
        <f>IF($H761="","",($H761-$G761)*100)</f>
        <v/>
      </c>
    </row>
    <row r="762">
      <c r="A762" s="11" t="n">
        <v>41817</v>
      </c>
      <c r="B762" s="22" t="n">
        <v>0.07000000000000001</v>
      </c>
      <c r="C762" s="22" t="n">
        <v>0.075</v>
      </c>
      <c r="D762" s="22" t="n">
        <v>0.162</v>
      </c>
      <c r="E762" s="22" t="n">
        <v>0.5580000000000001</v>
      </c>
      <c r="F762" s="22" t="n">
        <v>1.421</v>
      </c>
      <c r="G762" s="22" t="n">
        <v>1.682</v>
      </c>
      <c r="H762" s="22" t="n">
        <v>1.779</v>
      </c>
      <c r="I762" s="22" t="n">
        <v>3.36</v>
      </c>
      <c r="J762" s="22" t="n">
        <v>0.1</v>
      </c>
      <c r="K762" s="22" t="n">
        <v>2.54</v>
      </c>
      <c r="L762" s="17">
        <f>$J762-$B762</f>
        <v/>
      </c>
      <c r="M762" s="17">
        <f>$I762-$L762</f>
        <v/>
      </c>
      <c r="N762" s="23">
        <f>($G762-$M762)*100</f>
        <v/>
      </c>
      <c r="O762" s="15">
        <f>($E762-$C762)*100</f>
        <v/>
      </c>
      <c r="P762" s="15">
        <f>($G762-$E762)*100</f>
        <v/>
      </c>
      <c r="Q762" s="15">
        <f>($G762-$C762)*100</f>
        <v/>
      </c>
      <c r="R762" s="15">
        <f>IF($H762="","",($H762-$F762)*100)</f>
        <v/>
      </c>
      <c r="S762" s="15">
        <f>IF($H762="","",($H762-$G762)*100)</f>
        <v/>
      </c>
    </row>
    <row r="763">
      <c r="A763" s="11" t="n">
        <v>41824</v>
      </c>
      <c r="B763" s="22" t="n">
        <v>0.07000000000000001</v>
      </c>
      <c r="C763" s="22" t="n">
        <v>0.07199999999999999</v>
      </c>
      <c r="D763" s="22" t="n">
        <v>0.163</v>
      </c>
      <c r="E763" s="22" t="n">
        <v>0.5649999999999999</v>
      </c>
      <c r="F763" s="22" t="n">
        <v>1.436</v>
      </c>
      <c r="G763" s="22" t="n">
        <v>1.697</v>
      </c>
      <c r="H763" s="22" t="n">
        <v>1.787</v>
      </c>
      <c r="I763" s="22" t="n">
        <v>3.47</v>
      </c>
      <c r="J763" s="22" t="n">
        <v>0.11</v>
      </c>
      <c r="K763" s="22" t="n">
        <v>2.65</v>
      </c>
      <c r="L763" s="17">
        <f>$J763-$B763</f>
        <v/>
      </c>
      <c r="M763" s="17">
        <f>$I763-$L763</f>
        <v/>
      </c>
      <c r="N763" s="23">
        <f>($G763-$M763)*100</f>
        <v/>
      </c>
      <c r="O763" s="15">
        <f>($E763-$C763)*100</f>
        <v/>
      </c>
      <c r="P763" s="15">
        <f>($G763-$E763)*100</f>
        <v/>
      </c>
      <c r="Q763" s="15">
        <f>($G763-$C763)*100</f>
        <v/>
      </c>
      <c r="R763" s="15">
        <f>IF($H763="","",($H763-$F763)*100)</f>
        <v/>
      </c>
      <c r="S763" s="15">
        <f>IF($H763="","",($H763-$G763)*100)</f>
        <v/>
      </c>
    </row>
    <row r="764">
      <c r="A764" s="11" t="n">
        <v>41831</v>
      </c>
      <c r="B764" s="22" t="n">
        <v>0.062</v>
      </c>
      <c r="C764" s="22" t="n">
        <v>0.061</v>
      </c>
      <c r="D764" s="22" t="n">
        <v>0.15</v>
      </c>
      <c r="E764" s="22" t="n">
        <v>0.536</v>
      </c>
      <c r="F764" s="22" t="n">
        <v>1.419</v>
      </c>
      <c r="G764" s="22" t="n">
        <v>1.71</v>
      </c>
      <c r="H764" s="22" t="n">
        <v>1.811</v>
      </c>
      <c r="I764" s="22" t="n">
        <v>3.34</v>
      </c>
      <c r="J764" s="22" t="n">
        <v>0.11</v>
      </c>
      <c r="K764" s="22" t="n">
        <v>2.53</v>
      </c>
      <c r="L764" s="17">
        <f>$J764-$B764</f>
        <v/>
      </c>
      <c r="M764" s="17">
        <f>$I764-$L764</f>
        <v/>
      </c>
      <c r="N764" s="23">
        <f>($G764-$M764)*100</f>
        <v/>
      </c>
      <c r="O764" s="15">
        <f>($E764-$C764)*100</f>
        <v/>
      </c>
      <c r="P764" s="15">
        <f>($G764-$E764)*100</f>
        <v/>
      </c>
      <c r="Q764" s="15">
        <f>($G764-$C764)*100</f>
        <v/>
      </c>
      <c r="R764" s="15">
        <f>IF($H764="","",($H764-$F764)*100)</f>
        <v/>
      </c>
      <c r="S764" s="15">
        <f>IF($H764="","",($H764-$G764)*100)</f>
        <v/>
      </c>
    </row>
    <row r="765">
      <c r="A765" s="11" t="n">
        <v>41838</v>
      </c>
      <c r="B765" s="22" t="n">
        <v>0.049</v>
      </c>
      <c r="C765" s="22" t="n">
        <v>0.065</v>
      </c>
      <c r="D765" s="22" t="n">
        <v>0.154</v>
      </c>
      <c r="E765" s="22" t="n">
        <v>0.543</v>
      </c>
      <c r="F765" s="22" t="n">
        <v>1.411</v>
      </c>
      <c r="G765" s="22" t="n">
        <v>1.669</v>
      </c>
      <c r="H765" s="22" t="n">
        <v>1.775</v>
      </c>
      <c r="I765" s="22" t="n">
        <v>3.29</v>
      </c>
      <c r="J765" s="22" t="n">
        <v>0.1</v>
      </c>
      <c r="K765" s="22" t="n">
        <v>2.5</v>
      </c>
      <c r="L765" s="17">
        <f>$J765-$B765</f>
        <v/>
      </c>
      <c r="M765" s="17">
        <f>$I765-$L765</f>
        <v/>
      </c>
      <c r="N765" s="23">
        <f>($G765-$M765)*100</f>
        <v/>
      </c>
      <c r="O765" s="15">
        <f>($E765-$C765)*100</f>
        <v/>
      </c>
      <c r="P765" s="15">
        <f>($G765-$E765)*100</f>
        <v/>
      </c>
      <c r="Q765" s="15">
        <f>($G765-$C765)*100</f>
        <v/>
      </c>
      <c r="R765" s="15">
        <f>IF($H765="","",($H765-$F765)*100)</f>
        <v/>
      </c>
      <c r="S765" s="15">
        <f>IF($H765="","",($H765-$G765)*100)</f>
        <v/>
      </c>
    </row>
    <row r="766">
      <c r="A766" s="11" t="n">
        <v>41845</v>
      </c>
      <c r="B766" s="22" t="n">
        <v>0.048</v>
      </c>
      <c r="C766" s="22" t="n">
        <v>0.07000000000000001</v>
      </c>
      <c r="D766" s="22" t="n">
        <v>0.149</v>
      </c>
      <c r="E766" s="22" t="n">
        <v>0.536</v>
      </c>
      <c r="F766" s="22" t="n">
        <v>1.4</v>
      </c>
      <c r="G766" s="22" t="n">
        <v>1.664</v>
      </c>
      <c r="H766" s="22" t="n">
        <v>1.755</v>
      </c>
      <c r="I766" s="22" t="n">
        <v>3.24</v>
      </c>
      <c r="J766" s="22" t="n">
        <v>0.11</v>
      </c>
      <c r="K766" s="22" t="n">
        <v>2.48</v>
      </c>
      <c r="L766" s="17">
        <f>$J766-$B766</f>
        <v/>
      </c>
      <c r="M766" s="17">
        <f>$I766-$L766</f>
        <v/>
      </c>
      <c r="N766" s="23">
        <f>($G766-$M766)*100</f>
        <v/>
      </c>
      <c r="O766" s="15">
        <f>($E766-$C766)*100</f>
        <v/>
      </c>
      <c r="P766" s="15">
        <f>($G766-$E766)*100</f>
        <v/>
      </c>
      <c r="Q766" s="15">
        <f>($G766-$C766)*100</f>
        <v/>
      </c>
      <c r="R766" s="15">
        <f>IF($H766="","",($H766-$F766)*100)</f>
        <v/>
      </c>
      <c r="S766" s="15">
        <f>IF($H766="","",($H766-$G766)*100)</f>
        <v/>
      </c>
    </row>
    <row r="767">
      <c r="A767" s="11" t="n">
        <v>41852</v>
      </c>
      <c r="B767" s="22" t="n">
        <v>0.048</v>
      </c>
      <c r="C767" s="22" t="n">
        <v>0.067</v>
      </c>
      <c r="D767" s="22" t="n">
        <v>0.149</v>
      </c>
      <c r="E767" s="22" t="n">
        <v>0.543</v>
      </c>
      <c r="F767" s="22" t="n">
        <v>1.411</v>
      </c>
      <c r="G767" s="22" t="n">
        <v>1.685</v>
      </c>
      <c r="H767" s="22" t="n">
        <v>1.784</v>
      </c>
      <c r="I767" s="22" t="n">
        <v>3.29</v>
      </c>
      <c r="J767" s="22" t="n">
        <v>0.13</v>
      </c>
      <c r="K767" s="22" t="n">
        <v>2.52</v>
      </c>
      <c r="L767" s="17">
        <f>$J767-$B767</f>
        <v/>
      </c>
      <c r="M767" s="17">
        <f>$I767-$L767</f>
        <v/>
      </c>
      <c r="N767" s="23">
        <f>($G767-$M767)*100</f>
        <v/>
      </c>
      <c r="O767" s="15">
        <f>($E767-$C767)*100</f>
        <v/>
      </c>
      <c r="P767" s="15">
        <f>($G767-$E767)*100</f>
        <v/>
      </c>
      <c r="Q767" s="15">
        <f>($G767-$C767)*100</f>
        <v/>
      </c>
      <c r="R767" s="15">
        <f>IF($H767="","",($H767-$F767)*100)</f>
        <v/>
      </c>
      <c r="S767" s="15">
        <f>IF($H767="","",($H767-$G767)*100)</f>
        <v/>
      </c>
    </row>
    <row r="768">
      <c r="A768" s="11" t="n">
        <v>41859</v>
      </c>
      <c r="B768" s="22" t="n">
        <v>0.051</v>
      </c>
      <c r="C768" s="22" t="n">
        <v>0.066</v>
      </c>
      <c r="D768" s="22" t="n">
        <v>0.15</v>
      </c>
      <c r="E768" s="22" t="n">
        <v>0.519</v>
      </c>
      <c r="F768" s="22" t="n">
        <v>1.385</v>
      </c>
      <c r="G768" s="22" t="n">
        <v>1.68</v>
      </c>
      <c r="H768" s="22" t="n">
        <v>1.784</v>
      </c>
      <c r="I768" s="22" t="n">
        <v>3.23</v>
      </c>
      <c r="J768" s="22" t="n">
        <v>0.1</v>
      </c>
      <c r="K768" s="22" t="n">
        <v>2.44</v>
      </c>
      <c r="L768" s="17">
        <f>$J768-$B768</f>
        <v/>
      </c>
      <c r="M768" s="17">
        <f>$I768-$L768</f>
        <v/>
      </c>
      <c r="N768" s="23">
        <f>($G768-$M768)*100</f>
        <v/>
      </c>
      <c r="O768" s="15">
        <f>($E768-$C768)*100</f>
        <v/>
      </c>
      <c r="P768" s="15">
        <f>($G768-$E768)*100</f>
        <v/>
      </c>
      <c r="Q768" s="15">
        <f>($G768-$C768)*100</f>
        <v/>
      </c>
      <c r="R768" s="15">
        <f>IF($H768="","",($H768-$F768)*100)</f>
        <v/>
      </c>
      <c r="S768" s="15">
        <f>IF($H768="","",($H768-$G768)*100)</f>
        <v/>
      </c>
    </row>
    <row r="769">
      <c r="A769" s="11" t="n">
        <v>41866</v>
      </c>
      <c r="B769" s="22" t="n">
        <v>0.06</v>
      </c>
      <c r="C769" s="22" t="n">
        <v>0.07000000000000001</v>
      </c>
      <c r="D769" s="22" t="n">
        <v>0.15</v>
      </c>
      <c r="E769" s="22" t="n">
        <v>0.516</v>
      </c>
      <c r="F769" s="22" t="n">
        <v>1.386</v>
      </c>
      <c r="G769" s="22" t="n">
        <v>1.673</v>
      </c>
      <c r="H769" s="22" t="n">
        <v>1.784</v>
      </c>
      <c r="I769" s="22" t="n">
        <v>3.13</v>
      </c>
      <c r="J769" s="22" t="n">
        <v>0.09</v>
      </c>
      <c r="K769" s="22" t="n">
        <v>2.34</v>
      </c>
      <c r="L769" s="17">
        <f>$J769-$B769</f>
        <v/>
      </c>
      <c r="M769" s="17">
        <f>$I769-$L769</f>
        <v/>
      </c>
      <c r="N769" s="23">
        <f>($G769-$M769)*100</f>
        <v/>
      </c>
      <c r="O769" s="15">
        <f>($E769-$C769)*100</f>
        <v/>
      </c>
      <c r="P769" s="15">
        <f>($G769-$E769)*100</f>
        <v/>
      </c>
      <c r="Q769" s="15">
        <f>($G769-$C769)*100</f>
        <v/>
      </c>
      <c r="R769" s="15">
        <f>IF($H769="","",($H769-$F769)*100)</f>
        <v/>
      </c>
      <c r="S769" s="15">
        <f>IF($H769="","",($H769-$G769)*100)</f>
        <v/>
      </c>
    </row>
    <row r="770">
      <c r="A770" s="11" t="n">
        <v>41873</v>
      </c>
      <c r="B770" s="22" t="n">
        <v>0.058</v>
      </c>
      <c r="C770" s="22" t="n">
        <v>0.081</v>
      </c>
      <c r="D770" s="22" t="n">
        <v>0.162</v>
      </c>
      <c r="E770" s="22" t="n">
        <v>0.522</v>
      </c>
      <c r="F770" s="22" t="n">
        <v>1.377</v>
      </c>
      <c r="G770" s="22" t="n">
        <v>1.661</v>
      </c>
      <c r="H770" s="22" t="n">
        <v>1.78</v>
      </c>
      <c r="I770" s="22" t="n">
        <v>3.16</v>
      </c>
      <c r="J770" s="22" t="n">
        <v>0.1</v>
      </c>
      <c r="K770" s="22" t="n">
        <v>2.4</v>
      </c>
      <c r="L770" s="17">
        <f>$J770-$B770</f>
        <v/>
      </c>
      <c r="M770" s="17">
        <f>$I770-$L770</f>
        <v/>
      </c>
      <c r="N770" s="23">
        <f>($G770-$M770)*100</f>
        <v/>
      </c>
      <c r="O770" s="15">
        <f>($E770-$C770)*100</f>
        <v/>
      </c>
      <c r="P770" s="15">
        <f>($G770-$E770)*100</f>
        <v/>
      </c>
      <c r="Q770" s="15">
        <f>($G770-$C770)*100</f>
        <v/>
      </c>
      <c r="R770" s="15">
        <f>IF($H770="","",($H770-$F770)*100)</f>
        <v/>
      </c>
      <c r="S770" s="15">
        <f>IF($H770="","",($H770-$G770)*100)</f>
        <v/>
      </c>
    </row>
    <row r="771">
      <c r="A771" s="11" t="n">
        <v>41880</v>
      </c>
      <c r="B771" s="22" t="n">
        <v>0.055</v>
      </c>
      <c r="C771" s="22" t="n">
        <v>0.073</v>
      </c>
      <c r="D771" s="22" t="n">
        <v>0.162</v>
      </c>
      <c r="E771" s="22" t="n">
        <v>0.508</v>
      </c>
      <c r="F771" s="22" t="n">
        <v>1.35</v>
      </c>
      <c r="G771" s="22" t="n">
        <v>1.637</v>
      </c>
      <c r="H771" s="22" t="n">
        <v>1.766</v>
      </c>
      <c r="I771" s="22" t="n">
        <v>3.09</v>
      </c>
      <c r="J771" s="22" t="n">
        <v>0.09</v>
      </c>
      <c r="K771" s="22" t="n">
        <v>2.35</v>
      </c>
      <c r="L771" s="17">
        <f>$J771-$B771</f>
        <v/>
      </c>
      <c r="M771" s="17">
        <f>$I771-$L771</f>
        <v/>
      </c>
      <c r="N771" s="23">
        <f>($G771-$M771)*100</f>
        <v/>
      </c>
      <c r="O771" s="15">
        <f>($E771-$C771)*100</f>
        <v/>
      </c>
      <c r="P771" s="15">
        <f>($G771-$E771)*100</f>
        <v/>
      </c>
      <c r="Q771" s="15">
        <f>($G771-$C771)*100</f>
        <v/>
      </c>
      <c r="R771" s="15">
        <f>IF($H771="","",($H771-$F771)*100)</f>
        <v/>
      </c>
      <c r="S771" s="15">
        <f>IF($H771="","",($H771-$G771)*100)</f>
        <v/>
      </c>
    </row>
    <row r="772">
      <c r="A772" s="11" t="n">
        <v>41887</v>
      </c>
      <c r="B772" s="22" t="n">
        <v>0.06</v>
      </c>
      <c r="C772" s="22" t="n">
        <v>0.076</v>
      </c>
      <c r="D772" s="22" t="n">
        <v>0.167</v>
      </c>
      <c r="E772" s="22" t="n">
        <v>0.531</v>
      </c>
      <c r="F772" s="22" t="n">
        <v>1.371</v>
      </c>
      <c r="G772" s="22" t="n">
        <v>1.671</v>
      </c>
      <c r="H772" s="22" t="n">
        <v>1.786</v>
      </c>
      <c r="I772" s="22" t="n">
        <v>3.23</v>
      </c>
      <c r="J772" s="22" t="n">
        <v>0.1</v>
      </c>
      <c r="K772" s="22" t="n">
        <v>2.46</v>
      </c>
      <c r="L772" s="17">
        <f>$J772-$B772</f>
        <v/>
      </c>
      <c r="M772" s="17">
        <f>$I772-$L772</f>
        <v/>
      </c>
      <c r="N772" s="23">
        <f>($G772-$M772)*100</f>
        <v/>
      </c>
      <c r="O772" s="15">
        <f>($E772-$C772)*100</f>
        <v/>
      </c>
      <c r="P772" s="15">
        <f>($G772-$E772)*100</f>
        <v/>
      </c>
      <c r="Q772" s="15">
        <f>($G772-$C772)*100</f>
        <v/>
      </c>
      <c r="R772" s="15">
        <f>IF($H772="","",($H772-$F772)*100)</f>
        <v/>
      </c>
      <c r="S772" s="15">
        <f>IF($H772="","",($H772-$G772)*100)</f>
        <v/>
      </c>
    </row>
    <row r="773">
      <c r="A773" s="11" t="n">
        <v>41894</v>
      </c>
      <c r="B773" s="22" t="n">
        <v>0.049</v>
      </c>
      <c r="C773" s="22" t="n">
        <v>0.075</v>
      </c>
      <c r="D773" s="22" t="n">
        <v>0.181</v>
      </c>
      <c r="E773" s="22" t="n">
        <v>0.5669999999999999</v>
      </c>
      <c r="F773" s="22" t="n">
        <v>1.415</v>
      </c>
      <c r="G773" s="22" t="n">
        <v>1.692</v>
      </c>
      <c r="H773" s="22" t="n">
        <v>1.806</v>
      </c>
      <c r="I773" s="22" t="n">
        <v>3.35</v>
      </c>
      <c r="J773" s="22" t="n">
        <v>0.11</v>
      </c>
      <c r="K773" s="22" t="n">
        <v>2.62</v>
      </c>
      <c r="L773" s="17">
        <f>$J773-$B773</f>
        <v/>
      </c>
      <c r="M773" s="17">
        <f>$I773-$L773</f>
        <v/>
      </c>
      <c r="N773" s="23">
        <f>($G773-$M773)*100</f>
        <v/>
      </c>
      <c r="O773" s="15">
        <f>($E773-$C773)*100</f>
        <v/>
      </c>
      <c r="P773" s="15">
        <f>($G773-$E773)*100</f>
        <v/>
      </c>
      <c r="Q773" s="15">
        <f>($G773-$C773)*100</f>
        <v/>
      </c>
      <c r="R773" s="15">
        <f>IF($H773="","",($H773-$F773)*100)</f>
        <v/>
      </c>
      <c r="S773" s="15">
        <f>IF($H773="","",($H773-$G773)*100)</f>
        <v/>
      </c>
    </row>
    <row r="774">
      <c r="A774" s="11" t="n">
        <v>41901</v>
      </c>
      <c r="B774" s="22" t="n">
        <v>0.031</v>
      </c>
      <c r="C774" s="22" t="n">
        <v>0.07000000000000001</v>
      </c>
      <c r="D774" s="22" t="n">
        <v>0.176</v>
      </c>
      <c r="E774" s="22" t="n">
        <v>0.554</v>
      </c>
      <c r="F774" s="22" t="n">
        <v>1.409</v>
      </c>
      <c r="G774" s="22" t="n">
        <v>1.696</v>
      </c>
      <c r="H774" s="22" t="n">
        <v>1.811</v>
      </c>
      <c r="I774" s="22" t="n">
        <v>3.29</v>
      </c>
      <c r="J774" s="22" t="n">
        <v>0.11</v>
      </c>
      <c r="K774" s="22" t="n">
        <v>2.59</v>
      </c>
      <c r="L774" s="17">
        <f>$J774-$B774</f>
        <v/>
      </c>
      <c r="M774" s="17">
        <f>$I774-$L774</f>
        <v/>
      </c>
      <c r="N774" s="23">
        <f>($G774-$M774)*100</f>
        <v/>
      </c>
      <c r="O774" s="15">
        <f>($E774-$C774)*100</f>
        <v/>
      </c>
      <c r="P774" s="15">
        <f>($G774-$E774)*100</f>
        <v/>
      </c>
      <c r="Q774" s="15">
        <f>($G774-$C774)*100</f>
        <v/>
      </c>
      <c r="R774" s="15">
        <f>IF($H774="","",($H774-$F774)*100)</f>
        <v/>
      </c>
      <c r="S774" s="15">
        <f>IF($H774="","",($H774-$G774)*100)</f>
        <v/>
      </c>
    </row>
    <row r="775">
      <c r="A775" s="11" t="n">
        <v>41908</v>
      </c>
      <c r="B775" s="22" t="n">
        <v>0.04</v>
      </c>
      <c r="C775" s="22" t="n">
        <v>0.064</v>
      </c>
      <c r="D775" s="22" t="n">
        <v>0.166</v>
      </c>
      <c r="E775" s="22" t="n">
        <v>0.517</v>
      </c>
      <c r="F775" s="22" t="n">
        <v>1.352</v>
      </c>
      <c r="G775" s="22" t="n">
        <v>1.632</v>
      </c>
      <c r="H775" s="22" t="n">
        <v>1.752</v>
      </c>
      <c r="I775" s="22" t="n">
        <v>3.22</v>
      </c>
      <c r="J775" s="22" t="n">
        <v>0.11</v>
      </c>
      <c r="K775" s="22" t="n">
        <v>2.54</v>
      </c>
      <c r="L775" s="17">
        <f>$J775-$B775</f>
        <v/>
      </c>
      <c r="M775" s="17">
        <f>$I775-$L775</f>
        <v/>
      </c>
      <c r="N775" s="23">
        <f>($G775-$M775)*100</f>
        <v/>
      </c>
      <c r="O775" s="15">
        <f>($E775-$C775)*100</f>
        <v/>
      </c>
      <c r="P775" s="15">
        <f>($G775-$E775)*100</f>
        <v/>
      </c>
      <c r="Q775" s="15">
        <f>($G775-$C775)*100</f>
        <v/>
      </c>
      <c r="R775" s="15">
        <f>IF($H775="","",($H775-$F775)*100)</f>
        <v/>
      </c>
      <c r="S775" s="15">
        <f>IF($H775="","",($H775-$G775)*100)</f>
        <v/>
      </c>
    </row>
    <row r="776">
      <c r="A776" s="11" t="n">
        <v>41915</v>
      </c>
      <c r="B776" s="22" t="n">
        <v>0.035</v>
      </c>
      <c r="C776" s="22" t="n">
        <v>0.06</v>
      </c>
      <c r="D776" s="22" t="n">
        <v>0.147</v>
      </c>
      <c r="E776" s="22" t="n">
        <v>0.519</v>
      </c>
      <c r="F776" s="22" t="n">
        <v>1.362</v>
      </c>
      <c r="G776" s="22" t="n">
        <v>1.65</v>
      </c>
      <c r="H776" s="22" t="n">
        <v>1.772</v>
      </c>
      <c r="I776" s="22" t="n">
        <v>3.13</v>
      </c>
      <c r="J776" s="22" t="n">
        <v>0.11</v>
      </c>
      <c r="K776" s="22" t="n">
        <v>2.45</v>
      </c>
      <c r="L776" s="17">
        <f>$J776-$B776</f>
        <v/>
      </c>
      <c r="M776" s="17">
        <f>$I776-$L776</f>
        <v/>
      </c>
      <c r="N776" s="23">
        <f>($G776-$M776)*100</f>
        <v/>
      </c>
      <c r="O776" s="15">
        <f>($E776-$C776)*100</f>
        <v/>
      </c>
      <c r="P776" s="15">
        <f>($G776-$E776)*100</f>
        <v/>
      </c>
      <c r="Q776" s="15">
        <f>($G776-$C776)*100</f>
        <v/>
      </c>
      <c r="R776" s="15">
        <f>IF($H776="","",($H776-$F776)*100)</f>
        <v/>
      </c>
      <c r="S776" s="15">
        <f>IF($H776="","",($H776-$G776)*100)</f>
        <v/>
      </c>
    </row>
    <row r="777">
      <c r="A777" s="11" t="n">
        <v>41922</v>
      </c>
      <c r="B777" s="22" t="n">
        <v>0.03</v>
      </c>
      <c r="C777" s="22" t="n">
        <v>0.049</v>
      </c>
      <c r="D777" s="22" t="n">
        <v>0.149</v>
      </c>
      <c r="E777" s="22" t="n">
        <v>0.502</v>
      </c>
      <c r="F777" s="22" t="n">
        <v>1.35</v>
      </c>
      <c r="G777" s="22" t="n">
        <v>1.651</v>
      </c>
      <c r="H777" s="22" t="n">
        <v>1.773</v>
      </c>
      <c r="I777" s="22" t="n">
        <v>3.03</v>
      </c>
      <c r="J777" s="22" t="n">
        <v>0.1</v>
      </c>
      <c r="K777" s="22" t="n">
        <v>2.31</v>
      </c>
      <c r="L777" s="17">
        <f>$J777-$B777</f>
        <v/>
      </c>
      <c r="M777" s="17">
        <f>$I777-$L777</f>
        <v/>
      </c>
      <c r="N777" s="23">
        <f>($G777-$M777)*100</f>
        <v/>
      </c>
      <c r="O777" s="15">
        <f>($E777-$C777)*100</f>
        <v/>
      </c>
      <c r="P777" s="15">
        <f>($G777-$E777)*100</f>
        <v/>
      </c>
      <c r="Q777" s="15">
        <f>($G777-$C777)*100</f>
        <v/>
      </c>
      <c r="R777" s="15">
        <f>IF($H777="","",($H777-$F777)*100)</f>
        <v/>
      </c>
      <c r="S777" s="15">
        <f>IF($H777="","",($H777-$G777)*100)</f>
        <v/>
      </c>
    </row>
    <row r="778">
      <c r="A778" s="11" t="n">
        <v>41929</v>
      </c>
      <c r="B778" s="22" t="n">
        <v>0.01</v>
      </c>
      <c r="C778" s="22" t="n">
        <v>0.015</v>
      </c>
      <c r="D778" s="22" t="n">
        <v>0.129</v>
      </c>
      <c r="E778" s="22" t="n">
        <v>0.472</v>
      </c>
      <c r="F778" s="22" t="n">
        <v>1.324</v>
      </c>
      <c r="G778" s="22" t="n">
        <v>1.634</v>
      </c>
      <c r="H778" s="22" t="n">
        <v>1.78</v>
      </c>
      <c r="I778" s="22" t="n">
        <v>2.98</v>
      </c>
      <c r="J778" s="22" t="n">
        <v>0.11</v>
      </c>
      <c r="K778" s="22" t="n">
        <v>2.22</v>
      </c>
      <c r="L778" s="17">
        <f>$J778-$B778</f>
        <v/>
      </c>
      <c r="M778" s="17">
        <f>$I778-$L778</f>
        <v/>
      </c>
      <c r="N778" s="23">
        <f>($G778-$M778)*100</f>
        <v/>
      </c>
      <c r="O778" s="15">
        <f>($E778-$C778)*100</f>
        <v/>
      </c>
      <c r="P778" s="15">
        <f>($G778-$E778)*100</f>
        <v/>
      </c>
      <c r="Q778" s="15">
        <f>($G778-$C778)*100</f>
        <v/>
      </c>
      <c r="R778" s="15">
        <f>IF($H778="","",($H778-$F778)*100)</f>
        <v/>
      </c>
      <c r="S778" s="15">
        <f>IF($H778="","",($H778-$G778)*100)</f>
        <v/>
      </c>
    </row>
    <row r="779">
      <c r="A779" s="11" t="n">
        <v>41936</v>
      </c>
      <c r="B779" s="22" t="n">
        <v>0.01</v>
      </c>
      <c r="C779" s="22" t="n">
        <v>0.019</v>
      </c>
      <c r="D779" s="22" t="n">
        <v>0.115</v>
      </c>
      <c r="E779" s="22" t="n">
        <v>0.473</v>
      </c>
      <c r="F779" s="22" t="n">
        <v>1.321</v>
      </c>
      <c r="G779" s="22" t="n">
        <v>1.625</v>
      </c>
      <c r="H779" s="22" t="n">
        <v>1.768</v>
      </c>
      <c r="I779" s="22" t="n">
        <v>3.05</v>
      </c>
      <c r="J779" s="22" t="n">
        <v>0.11</v>
      </c>
      <c r="K779" s="22" t="n">
        <v>2.29</v>
      </c>
      <c r="L779" s="17">
        <f>$J779-$B779</f>
        <v/>
      </c>
      <c r="M779" s="17">
        <f>$I779-$L779</f>
        <v/>
      </c>
      <c r="N779" s="23">
        <f>($G779-$M779)*100</f>
        <v/>
      </c>
      <c r="O779" s="15">
        <f>($E779-$C779)*100</f>
        <v/>
      </c>
      <c r="P779" s="15">
        <f>($G779-$E779)*100</f>
        <v/>
      </c>
      <c r="Q779" s="15">
        <f>($G779-$C779)*100</f>
        <v/>
      </c>
      <c r="R779" s="15">
        <f>IF($H779="","",($H779-$F779)*100)</f>
        <v/>
      </c>
      <c r="S779" s="15">
        <f>IF($H779="","",($H779-$G779)*100)</f>
        <v/>
      </c>
    </row>
    <row r="780">
      <c r="A780" s="11" t="n">
        <v>41943</v>
      </c>
      <c r="B780" s="22" t="n">
        <v>0.025</v>
      </c>
      <c r="C780" s="22" t="n">
        <v>0.03</v>
      </c>
      <c r="D780" s="22" t="n">
        <v>0.13</v>
      </c>
      <c r="E780" s="22" t="n">
        <v>0.466</v>
      </c>
      <c r="F780" s="22" t="n">
        <v>1.289</v>
      </c>
      <c r="G780" s="22" t="n">
        <v>1.591</v>
      </c>
      <c r="H780" s="22" t="n">
        <v>1.741</v>
      </c>
      <c r="I780" s="22" t="n">
        <v>3.07</v>
      </c>
      <c r="J780" s="22" t="n">
        <v>0.11</v>
      </c>
      <c r="K780" s="22" t="n">
        <v>2.35</v>
      </c>
      <c r="L780" s="17">
        <f>$J780-$B780</f>
        <v/>
      </c>
      <c r="M780" s="17">
        <f>$I780-$L780</f>
        <v/>
      </c>
      <c r="N780" s="23">
        <f>($G780-$M780)*100</f>
        <v/>
      </c>
      <c r="O780" s="15">
        <f>($E780-$C780)*100</f>
        <v/>
      </c>
      <c r="P780" s="15">
        <f>($G780-$E780)*100</f>
        <v/>
      </c>
      <c r="Q780" s="15">
        <f>($G780-$C780)*100</f>
        <v/>
      </c>
      <c r="R780" s="15">
        <f>IF($H780="","",($H780-$F780)*100)</f>
        <v/>
      </c>
      <c r="S780" s="15">
        <f>IF($H780="","",($H780-$G780)*100)</f>
        <v/>
      </c>
    </row>
    <row r="781">
      <c r="A781" s="11" t="n">
        <v>41950</v>
      </c>
      <c r="B781" s="22" t="n">
        <v>0.012</v>
      </c>
      <c r="C781" s="22" t="n">
        <v>0.03</v>
      </c>
      <c r="D781" s="22" t="n">
        <v>0.131</v>
      </c>
      <c r="E781" s="22" t="n">
        <v>0.482</v>
      </c>
      <c r="F781" s="22" t="n">
        <v>1.271</v>
      </c>
      <c r="G781" s="22" t="n">
        <v>1.548</v>
      </c>
      <c r="H781" s="22" t="n">
        <v>1.693</v>
      </c>
      <c r="I781" s="22" t="n">
        <v>3.04</v>
      </c>
      <c r="J781" s="22" t="n">
        <v>0.12</v>
      </c>
      <c r="K781" s="22" t="n">
        <v>2.32</v>
      </c>
      <c r="L781" s="17">
        <f>$J781-$B781</f>
        <v/>
      </c>
      <c r="M781" s="17">
        <f>$I781-$L781</f>
        <v/>
      </c>
      <c r="N781" s="23">
        <f>($G781-$M781)*100</f>
        <v/>
      </c>
      <c r="O781" s="15">
        <f>($E781-$C781)*100</f>
        <v/>
      </c>
      <c r="P781" s="15">
        <f>($G781-$E781)*100</f>
        <v/>
      </c>
      <c r="Q781" s="15">
        <f>($G781-$C781)*100</f>
        <v/>
      </c>
      <c r="R781" s="15">
        <f>IF($H781="","",($H781-$F781)*100)</f>
        <v/>
      </c>
      <c r="S781" s="15">
        <f>IF($H781="","",($H781-$G781)*100)</f>
        <v/>
      </c>
    </row>
    <row r="782">
      <c r="A782" s="11" t="n">
        <v>41957</v>
      </c>
      <c r="B782" s="22" t="n">
        <v>0.01</v>
      </c>
      <c r="C782" s="22" t="n">
        <v>0.02</v>
      </c>
      <c r="D782" s="22" t="n">
        <v>0.141</v>
      </c>
      <c r="E782" s="22" t="n">
        <v>0.486</v>
      </c>
      <c r="F782" s="22" t="n">
        <v>1.272</v>
      </c>
      <c r="G782" s="22" t="n">
        <v>1.473</v>
      </c>
      <c r="H782" s="22" t="n">
        <v>1.624</v>
      </c>
      <c r="I782" s="22" t="n">
        <v>3.04</v>
      </c>
      <c r="J782" s="22" t="n">
        <v>0.15</v>
      </c>
      <c r="K782" s="22" t="n">
        <v>2.32</v>
      </c>
      <c r="L782" s="17">
        <f>$J782-$B782</f>
        <v/>
      </c>
      <c r="M782" s="17">
        <f>$I782-$L782</f>
        <v/>
      </c>
      <c r="N782" s="23">
        <f>($G782-$M782)*100</f>
        <v/>
      </c>
      <c r="O782" s="15">
        <f>($E782-$C782)*100</f>
        <v/>
      </c>
      <c r="P782" s="15">
        <f>($G782-$E782)*100</f>
        <v/>
      </c>
      <c r="Q782" s="15">
        <f>($G782-$C782)*100</f>
        <v/>
      </c>
      <c r="R782" s="15">
        <f>IF($H782="","",($H782-$F782)*100)</f>
        <v/>
      </c>
      <c r="S782" s="15">
        <f>IF($H782="","",($H782-$G782)*100)</f>
        <v/>
      </c>
    </row>
    <row r="783">
      <c r="A783" s="11" t="n">
        <v>41964</v>
      </c>
      <c r="B783" s="22" t="n">
        <v>0.008</v>
      </c>
      <c r="C783" s="22" t="n">
        <v>0.008999999999999999</v>
      </c>
      <c r="D783" s="22" t="n">
        <v>0.118</v>
      </c>
      <c r="E783" s="22" t="n">
        <v>0.471</v>
      </c>
      <c r="F783" s="22" t="n">
        <v>1.259</v>
      </c>
      <c r="G783" s="22" t="n">
        <v>1.459</v>
      </c>
      <c r="H783" s="22" t="n">
        <v>1.592</v>
      </c>
      <c r="I783" s="22" t="n">
        <v>3.02</v>
      </c>
      <c r="J783" s="22" t="n">
        <v>0.14</v>
      </c>
      <c r="K783" s="22" t="n">
        <v>2.31</v>
      </c>
      <c r="L783" s="17">
        <f>$J783-$B783</f>
        <v/>
      </c>
      <c r="M783" s="17">
        <f>$I783-$L783</f>
        <v/>
      </c>
      <c r="N783" s="23">
        <f>($G783-$M783)*100</f>
        <v/>
      </c>
      <c r="O783" s="15">
        <f>($E783-$C783)*100</f>
        <v/>
      </c>
      <c r="P783" s="15">
        <f>($G783-$E783)*100</f>
        <v/>
      </c>
      <c r="Q783" s="15">
        <f>($G783-$C783)*100</f>
        <v/>
      </c>
      <c r="R783" s="15">
        <f>IF($H783="","",($H783-$F783)*100)</f>
        <v/>
      </c>
      <c r="S783" s="15">
        <f>IF($H783="","",($H783-$G783)*100)</f>
        <v/>
      </c>
    </row>
    <row r="784">
      <c r="A784" s="11" t="n">
        <v>41971</v>
      </c>
      <c r="B784" s="22" t="n">
        <v>0.01</v>
      </c>
      <c r="C784" s="22" t="n">
        <v>0.01</v>
      </c>
      <c r="D784" s="22" t="n">
        <v>0.105</v>
      </c>
      <c r="E784" s="22" t="n">
        <v>0.431</v>
      </c>
      <c r="F784" s="22" t="n">
        <v>1.211</v>
      </c>
      <c r="G784" s="22" t="n">
        <v>1.428</v>
      </c>
      <c r="H784" s="22" t="n">
        <v>1.555</v>
      </c>
      <c r="I784" s="22" t="n">
        <v>2.89</v>
      </c>
      <c r="J784" s="22" t="n">
        <v>0.13</v>
      </c>
      <c r="K784" s="22" t="n">
        <v>2.18</v>
      </c>
      <c r="L784" s="17">
        <f>$J784-$B784</f>
        <v/>
      </c>
      <c r="M784" s="17">
        <f>$I784-$L784</f>
        <v/>
      </c>
      <c r="N784" s="23">
        <f>($G784-$M784)*100</f>
        <v/>
      </c>
      <c r="O784" s="15">
        <f>($E784-$C784)*100</f>
        <v/>
      </c>
      <c r="P784" s="15">
        <f>($G784-$E784)*100</f>
        <v/>
      </c>
      <c r="Q784" s="15">
        <f>($G784-$C784)*100</f>
        <v/>
      </c>
      <c r="R784" s="15">
        <f>IF($H784="","",($H784-$F784)*100)</f>
        <v/>
      </c>
      <c r="S784" s="15">
        <f>IF($H784="","",($H784-$G784)*100)</f>
        <v/>
      </c>
    </row>
    <row r="785">
      <c r="A785" s="11" t="n">
        <v>41978</v>
      </c>
      <c r="B785" s="22" t="n">
        <v>0.003</v>
      </c>
      <c r="C785" s="22" t="n">
        <v>-0.003</v>
      </c>
      <c r="D785" s="22" t="n">
        <v>0.076</v>
      </c>
      <c r="E785" s="22" t="n">
        <v>0.417</v>
      </c>
      <c r="F785" s="22" t="n">
        <v>1.213</v>
      </c>
      <c r="G785" s="22" t="n">
        <v>1.457</v>
      </c>
      <c r="H785" s="22" t="n">
        <v>1.576</v>
      </c>
      <c r="I785" s="22" t="n">
        <v>2.97</v>
      </c>
      <c r="J785" s="22" t="n">
        <v>0.18</v>
      </c>
      <c r="K785" s="22" t="n">
        <v>2.31</v>
      </c>
      <c r="L785" s="17">
        <f>$J785-$B785</f>
        <v/>
      </c>
      <c r="M785" s="17">
        <f>$I785-$L785</f>
        <v/>
      </c>
      <c r="N785" s="23">
        <f>($G785-$M785)*100</f>
        <v/>
      </c>
      <c r="O785" s="15">
        <f>($E785-$C785)*100</f>
        <v/>
      </c>
      <c r="P785" s="15">
        <f>($G785-$E785)*100</f>
        <v/>
      </c>
      <c r="Q785" s="15">
        <f>($G785-$C785)*100</f>
        <v/>
      </c>
      <c r="R785" s="15">
        <f>IF($H785="","",($H785-$F785)*100)</f>
        <v/>
      </c>
      <c r="S785" s="15">
        <f>IF($H785="","",($H785-$G785)*100)</f>
        <v/>
      </c>
    </row>
    <row r="786">
      <c r="A786" s="11" t="n">
        <v>41985</v>
      </c>
      <c r="B786" s="22" t="n">
        <v>0.001</v>
      </c>
      <c r="C786" s="22" t="n">
        <v>0.005</v>
      </c>
      <c r="D786" s="22" t="n">
        <v>0.081</v>
      </c>
      <c r="E786" s="22" t="n">
        <v>0.395</v>
      </c>
      <c r="F786" s="22" t="n">
        <v>1.19</v>
      </c>
      <c r="G786" s="22" t="n">
        <v>1.404</v>
      </c>
      <c r="H786" s="22" t="n">
        <v>1.514</v>
      </c>
      <c r="I786" s="22" t="n">
        <v>2.75</v>
      </c>
      <c r="J786" s="22" t="n">
        <v>0.19</v>
      </c>
      <c r="K786" s="22" t="n">
        <v>2.1</v>
      </c>
      <c r="L786" s="17">
        <f>$J786-$B786</f>
        <v/>
      </c>
      <c r="M786" s="17">
        <f>$I786-$L786</f>
        <v/>
      </c>
      <c r="N786" s="23">
        <f>($G786-$M786)*100</f>
        <v/>
      </c>
      <c r="O786" s="15">
        <f>($E786-$C786)*100</f>
        <v/>
      </c>
      <c r="P786" s="15">
        <f>($G786-$E786)*100</f>
        <v/>
      </c>
      <c r="Q786" s="15">
        <f>($G786-$C786)*100</f>
        <v/>
      </c>
      <c r="R786" s="15">
        <f>IF($H786="","",($H786-$F786)*100)</f>
        <v/>
      </c>
      <c r="S786" s="15">
        <f>IF($H786="","",($H786-$G786)*100)</f>
        <v/>
      </c>
    </row>
    <row r="787">
      <c r="A787" s="11" t="n">
        <v>41992</v>
      </c>
      <c r="B787" s="22" t="n">
        <v>-0.032</v>
      </c>
      <c r="C787" s="22" t="n">
        <v>-0.035</v>
      </c>
      <c r="D787" s="22" t="n">
        <v>0.032</v>
      </c>
      <c r="E787" s="22" t="n">
        <v>0.353</v>
      </c>
      <c r="F787" s="22" t="n">
        <v>1.118</v>
      </c>
      <c r="G787" s="22" t="n">
        <v>1.343</v>
      </c>
      <c r="H787" s="22" t="n">
        <v>1.46</v>
      </c>
      <c r="I787" s="22" t="n">
        <v>2.77</v>
      </c>
      <c r="J787" s="22" t="n">
        <v>0.26</v>
      </c>
      <c r="K787" s="22" t="n">
        <v>2.17</v>
      </c>
      <c r="L787" s="17">
        <f>$J787-$B787</f>
        <v/>
      </c>
      <c r="M787" s="17">
        <f>$I787-$L787</f>
        <v/>
      </c>
      <c r="N787" s="23">
        <f>($G787-$M787)*100</f>
        <v/>
      </c>
      <c r="O787" s="15">
        <f>($E787-$C787)*100</f>
        <v/>
      </c>
      <c r="P787" s="15">
        <f>($G787-$E787)*100</f>
        <v/>
      </c>
      <c r="Q787" s="15">
        <f>($G787-$C787)*100</f>
        <v/>
      </c>
      <c r="R787" s="15">
        <f>IF($H787="","",($H787-$F787)*100)</f>
        <v/>
      </c>
      <c r="S787" s="15">
        <f>IF($H787="","",($H787-$G787)*100)</f>
        <v/>
      </c>
    </row>
    <row r="788">
      <c r="A788" s="11" t="n">
        <v>41999</v>
      </c>
      <c r="B788" s="22" t="n">
        <v>-0.034</v>
      </c>
      <c r="C788" s="22" t="n">
        <v>-0.028</v>
      </c>
      <c r="D788" s="22" t="n">
        <v>0.042</v>
      </c>
      <c r="E788" s="22" t="n">
        <v>0.329</v>
      </c>
      <c r="F788" s="22" t="n">
        <v>1.077</v>
      </c>
      <c r="G788" s="22" t="n">
        <v>1.295</v>
      </c>
      <c r="H788" s="22" t="n">
        <v>1.41</v>
      </c>
      <c r="I788" s="22" t="n">
        <v>2.81</v>
      </c>
      <c r="J788" s="22" t="n">
        <v>0.26</v>
      </c>
      <c r="K788" s="22" t="n">
        <v>2.25</v>
      </c>
      <c r="L788" s="17">
        <f>$J788-$B788</f>
        <v/>
      </c>
      <c r="M788" s="17">
        <f>$I788-$L788</f>
        <v/>
      </c>
      <c r="N788" s="23">
        <f>($G788-$M788)*100</f>
        <v/>
      </c>
      <c r="O788" s="15">
        <f>($E788-$C788)*100</f>
        <v/>
      </c>
      <c r="P788" s="15">
        <f>($G788-$E788)*100</f>
        <v/>
      </c>
      <c r="Q788" s="15">
        <f>($G788-$C788)*100</f>
        <v/>
      </c>
      <c r="R788" s="15">
        <f>IF($H788="","",($H788-$F788)*100)</f>
        <v/>
      </c>
      <c r="S788" s="15">
        <f>IF($H788="","",($H788-$G788)*100)</f>
        <v/>
      </c>
    </row>
    <row r="789">
      <c r="A789" s="11" t="n">
        <v>42006</v>
      </c>
      <c r="B789" s="22" t="n">
        <v>-0.02</v>
      </c>
      <c r="C789" s="22" t="n">
        <v>-0.028</v>
      </c>
      <c r="D789" s="22" t="n">
        <v>0.026</v>
      </c>
      <c r="E789" s="22" t="n">
        <v>0.325</v>
      </c>
      <c r="F789" s="22" t="n">
        <v>1.065</v>
      </c>
      <c r="G789" s="22" t="n">
        <v>1.269</v>
      </c>
      <c r="H789" s="22" t="n">
        <v>1.386</v>
      </c>
      <c r="I789" s="22" t="n">
        <v>2.69</v>
      </c>
      <c r="J789" s="22" t="n">
        <v>0.25</v>
      </c>
      <c r="K789" s="22" t="n">
        <v>2.12</v>
      </c>
      <c r="L789" s="17">
        <f>$J789-$B789</f>
        <v/>
      </c>
      <c r="M789" s="17">
        <f>$I789-$L789</f>
        <v/>
      </c>
      <c r="N789" s="23">
        <f>($G789-$M789)*100</f>
        <v/>
      </c>
      <c r="O789" s="15">
        <f>($E789-$C789)*100</f>
        <v/>
      </c>
      <c r="P789" s="15">
        <f>($G789-$E789)*100</f>
        <v/>
      </c>
      <c r="Q789" s="15">
        <f>($G789-$C789)*100</f>
        <v/>
      </c>
      <c r="R789" s="15">
        <f>IF($H789="","",($H789-$F789)*100)</f>
        <v/>
      </c>
      <c r="S789" s="15">
        <f>IF($H789="","",($H789-$G789)*100)</f>
        <v/>
      </c>
    </row>
    <row r="790">
      <c r="A790" s="11" t="n">
        <v>42013</v>
      </c>
      <c r="B790" s="22" t="n">
        <v>-0.016</v>
      </c>
      <c r="C790" s="22" t="n">
        <v>-0.029</v>
      </c>
      <c r="D790" s="22" t="n">
        <v>0.012</v>
      </c>
      <c r="E790" s="22" t="n">
        <v>0.279</v>
      </c>
      <c r="F790" s="22" t="n">
        <v>0.97</v>
      </c>
      <c r="G790" s="22" t="n">
        <v>1.191</v>
      </c>
      <c r="H790" s="22" t="n">
        <v>1.293</v>
      </c>
      <c r="I790" s="22" t="n">
        <v>2.55</v>
      </c>
      <c r="J790" s="22" t="n">
        <v>0.22</v>
      </c>
      <c r="K790" s="22" t="n">
        <v>1.98</v>
      </c>
      <c r="L790" s="17">
        <f>$J790-$B790</f>
        <v/>
      </c>
      <c r="M790" s="17">
        <f>$I790-$L790</f>
        <v/>
      </c>
      <c r="N790" s="23">
        <f>($G790-$M790)*100</f>
        <v/>
      </c>
      <c r="O790" s="15">
        <f>($E790-$C790)*100</f>
        <v/>
      </c>
      <c r="P790" s="15">
        <f>($G790-$E790)*100</f>
        <v/>
      </c>
      <c r="Q790" s="15">
        <f>($G790-$C790)*100</f>
        <v/>
      </c>
      <c r="R790" s="15">
        <f>IF($H790="","",($H790-$F790)*100)</f>
        <v/>
      </c>
      <c r="S790" s="15">
        <f>IF($H790="","",($H790-$G790)*100)</f>
        <v/>
      </c>
    </row>
    <row r="791">
      <c r="A791" s="11" t="n">
        <v>42020</v>
      </c>
      <c r="B791" s="22" t="n">
        <v>-0.02</v>
      </c>
      <c r="C791" s="22" t="n">
        <v>-0.025</v>
      </c>
      <c r="D791" s="22" t="n">
        <v>0.018</v>
      </c>
      <c r="E791" s="22" t="n">
        <v>0.241</v>
      </c>
      <c r="F791" s="22" t="n">
        <v>0.929</v>
      </c>
      <c r="G791" s="22" t="n">
        <v>1.13</v>
      </c>
      <c r="H791" s="22" t="n">
        <v>1.226</v>
      </c>
      <c r="I791" s="22" t="n">
        <v>2.44</v>
      </c>
      <c r="J791" s="22" t="n">
        <v>0.17</v>
      </c>
      <c r="K791" s="22" t="n">
        <v>1.83</v>
      </c>
      <c r="L791" s="17">
        <f>$J791-$B791</f>
        <v/>
      </c>
      <c r="M791" s="17">
        <f>$I791-$L791</f>
        <v/>
      </c>
      <c r="N791" s="23">
        <f>($G791-$M791)*100</f>
        <v/>
      </c>
      <c r="O791" s="15">
        <f>($E791-$C791)*100</f>
        <v/>
      </c>
      <c r="P791" s="15">
        <f>($G791-$E791)*100</f>
        <v/>
      </c>
      <c r="Q791" s="15">
        <f>($G791-$C791)*100</f>
        <v/>
      </c>
      <c r="R791" s="15">
        <f>IF($H791="","",($H791-$F791)*100)</f>
        <v/>
      </c>
      <c r="S791" s="15">
        <f>IF($H791="","",($H791-$G791)*100)</f>
        <v/>
      </c>
    </row>
    <row r="792">
      <c r="A792" s="11" t="n">
        <v>42027</v>
      </c>
      <c r="B792" s="22" t="n">
        <v>-0.015</v>
      </c>
      <c r="C792" s="22" t="n">
        <v>-0.015</v>
      </c>
      <c r="D792" s="22" t="n">
        <v>0.018</v>
      </c>
      <c r="E792" s="22" t="n">
        <v>0.244</v>
      </c>
      <c r="F792" s="22" t="n">
        <v>1.068</v>
      </c>
      <c r="G792" s="22" t="n">
        <v>1.331</v>
      </c>
      <c r="H792" s="22" t="n">
        <v>1.44</v>
      </c>
      <c r="I792" s="22" t="n">
        <v>2.38</v>
      </c>
      <c r="J792" s="22" t="n">
        <v>0.17</v>
      </c>
      <c r="K792" s="22" t="n">
        <v>1.81</v>
      </c>
      <c r="L792" s="17">
        <f>$J792-$B792</f>
        <v/>
      </c>
      <c r="M792" s="17">
        <f>$I792-$L792</f>
        <v/>
      </c>
      <c r="N792" s="23">
        <f>($G792-$M792)*100</f>
        <v/>
      </c>
      <c r="O792" s="15">
        <f>($E792-$C792)*100</f>
        <v/>
      </c>
      <c r="P792" s="15">
        <f>($G792-$E792)*100</f>
        <v/>
      </c>
      <c r="Q792" s="15">
        <f>($G792-$C792)*100</f>
        <v/>
      </c>
      <c r="R792" s="15">
        <f>IF($H792="","",($H792-$F792)*100)</f>
        <v/>
      </c>
      <c r="S792" s="15">
        <f>IF($H792="","",($H792-$G792)*100)</f>
        <v/>
      </c>
    </row>
    <row r="793">
      <c r="A793" s="11" t="n">
        <v>42034</v>
      </c>
      <c r="B793" s="22" t="n">
        <v>0.008999999999999999</v>
      </c>
      <c r="C793" s="22" t="n">
        <v>0.01</v>
      </c>
      <c r="D793" s="22" t="n">
        <v>0.046</v>
      </c>
      <c r="E793" s="22" t="n">
        <v>0.288</v>
      </c>
      <c r="F793" s="22" t="n">
        <v>1.054</v>
      </c>
      <c r="G793" s="22" t="n">
        <v>1.299</v>
      </c>
      <c r="H793" s="22" t="n">
        <v>1.415</v>
      </c>
      <c r="I793" s="22" t="n">
        <v>2.25</v>
      </c>
      <c r="J793" s="22" t="n">
        <v>0.18</v>
      </c>
      <c r="K793" s="22" t="n">
        <v>1.68</v>
      </c>
      <c r="L793" s="17">
        <f>$J793-$B793</f>
        <v/>
      </c>
      <c r="M793" s="17">
        <f>$I793-$L793</f>
        <v/>
      </c>
      <c r="N793" s="23">
        <f>($G793-$M793)*100</f>
        <v/>
      </c>
      <c r="O793" s="15">
        <f>($E793-$C793)*100</f>
        <v/>
      </c>
      <c r="P793" s="15">
        <f>($G793-$E793)*100</f>
        <v/>
      </c>
      <c r="Q793" s="15">
        <f>($G793-$C793)*100</f>
        <v/>
      </c>
      <c r="R793" s="15">
        <f>IF($H793="","",($H793-$F793)*100)</f>
        <v/>
      </c>
      <c r="S793" s="15">
        <f>IF($H793="","",($H793-$G793)*100)</f>
        <v/>
      </c>
    </row>
    <row r="794">
      <c r="A794" s="11" t="n">
        <v>42041</v>
      </c>
      <c r="B794" s="22" t="n">
        <v>0.013</v>
      </c>
      <c r="C794" s="22" t="n">
        <v>0.035</v>
      </c>
      <c r="D794" s="22" t="n">
        <v>0.08500000000000001</v>
      </c>
      <c r="E794" s="22" t="n">
        <v>0.343</v>
      </c>
      <c r="F794" s="22" t="n">
        <v>1.106</v>
      </c>
      <c r="G794" s="22" t="n">
        <v>1.338</v>
      </c>
      <c r="H794" s="22" t="n">
        <v>1.454</v>
      </c>
      <c r="I794" s="22" t="n">
        <v>2.51</v>
      </c>
      <c r="J794" s="22" t="n">
        <v>0.26</v>
      </c>
      <c r="K794" s="22" t="n">
        <v>1.95</v>
      </c>
      <c r="L794" s="17">
        <f>$J794-$B794</f>
        <v/>
      </c>
      <c r="M794" s="17">
        <f>$I794-$L794</f>
        <v/>
      </c>
      <c r="N794" s="23">
        <f>($G794-$M794)*100</f>
        <v/>
      </c>
      <c r="O794" s="15">
        <f>($E794-$C794)*100</f>
        <v/>
      </c>
      <c r="P794" s="15">
        <f>($G794-$E794)*100</f>
        <v/>
      </c>
      <c r="Q794" s="15">
        <f>($G794-$C794)*100</f>
        <v/>
      </c>
      <c r="R794" s="15">
        <f>IF($H794="","",($H794-$F794)*100)</f>
        <v/>
      </c>
      <c r="S794" s="15">
        <f>IF($H794="","",($H794-$G794)*100)</f>
        <v/>
      </c>
    </row>
    <row r="795">
      <c r="A795" s="11" t="n">
        <v>42048</v>
      </c>
      <c r="B795" s="22" t="n">
        <v>0.01</v>
      </c>
      <c r="C795" s="22" t="n">
        <v>0.04</v>
      </c>
      <c r="D795" s="22" t="n">
        <v>0.138</v>
      </c>
      <c r="E795" s="22" t="n">
        <v>0.423</v>
      </c>
      <c r="F795" s="22" t="n">
        <v>1.244</v>
      </c>
      <c r="G795" s="22" t="n">
        <v>1.467</v>
      </c>
      <c r="H795" s="22" t="n">
        <v>1.583</v>
      </c>
      <c r="I795" s="22" t="n">
        <v>2.63</v>
      </c>
      <c r="J795" s="22" t="n">
        <v>0.23</v>
      </c>
      <c r="K795" s="22" t="n">
        <v>2.02</v>
      </c>
      <c r="L795" s="17">
        <f>$J795-$B795</f>
        <v/>
      </c>
      <c r="M795" s="17">
        <f>$I795-$L795</f>
        <v/>
      </c>
      <c r="N795" s="23">
        <f>($G795-$M795)*100</f>
        <v/>
      </c>
      <c r="O795" s="15">
        <f>($E795-$C795)*100</f>
        <v/>
      </c>
      <c r="P795" s="15">
        <f>($G795-$E795)*100</f>
        <v/>
      </c>
      <c r="Q795" s="15">
        <f>($G795-$C795)*100</f>
        <v/>
      </c>
      <c r="R795" s="15">
        <f>IF($H795="","",($H795-$F795)*100)</f>
        <v/>
      </c>
      <c r="S795" s="15">
        <f>IF($H795="","",($H795-$G795)*100)</f>
        <v/>
      </c>
    </row>
    <row r="796">
      <c r="A796" s="11" t="n">
        <v>42055</v>
      </c>
      <c r="B796" s="22" t="n">
        <v>0.01</v>
      </c>
      <c r="C796" s="22" t="n">
        <v>0.034</v>
      </c>
      <c r="D796" s="22" t="n">
        <v>0.112</v>
      </c>
      <c r="E796" s="22" t="n">
        <v>0.393</v>
      </c>
      <c r="F796" s="22" t="n">
        <v>1.217</v>
      </c>
      <c r="G796" s="22" t="n">
        <v>1.456</v>
      </c>
      <c r="H796" s="22" t="n">
        <v>1.579</v>
      </c>
      <c r="I796" s="22" t="n">
        <v>2.73</v>
      </c>
      <c r="J796" s="22" t="n">
        <v>0.23</v>
      </c>
      <c r="K796" s="22" t="n">
        <v>2.13</v>
      </c>
      <c r="L796" s="17">
        <f>$J796-$B796</f>
        <v/>
      </c>
      <c r="M796" s="17">
        <f>$I796-$L796</f>
        <v/>
      </c>
      <c r="N796" s="23">
        <f>($G796-$M796)*100</f>
        <v/>
      </c>
      <c r="O796" s="15">
        <f>($E796-$C796)*100</f>
        <v/>
      </c>
      <c r="P796" s="15">
        <f>($G796-$E796)*100</f>
        <v/>
      </c>
      <c r="Q796" s="15">
        <f>($G796-$C796)*100</f>
        <v/>
      </c>
      <c r="R796" s="15">
        <f>IF($H796="","",($H796-$F796)*100)</f>
        <v/>
      </c>
      <c r="S796" s="15">
        <f>IF($H796="","",($H796-$G796)*100)</f>
        <v/>
      </c>
    </row>
    <row r="797">
      <c r="A797" s="11" t="n">
        <v>42062</v>
      </c>
      <c r="B797" s="22" t="n">
        <v>0.006</v>
      </c>
      <c r="C797" s="22" t="n">
        <v>0.015</v>
      </c>
      <c r="D797" s="22" t="n">
        <v>0.07099999999999999</v>
      </c>
      <c r="E797" s="22" t="n">
        <v>0.349</v>
      </c>
      <c r="F797" s="22" t="n">
        <v>1.166</v>
      </c>
      <c r="G797" s="22" t="n">
        <v>1.434</v>
      </c>
      <c r="H797" s="22" t="n">
        <v>1.554</v>
      </c>
      <c r="I797" s="22" t="n">
        <v>2.6</v>
      </c>
      <c r="J797" s="22" t="n">
        <v>0.22</v>
      </c>
      <c r="K797" s="22" t="n">
        <v>2</v>
      </c>
      <c r="L797" s="17">
        <f>$J797-$B797</f>
        <v/>
      </c>
      <c r="M797" s="17">
        <f>$I797-$L797</f>
        <v/>
      </c>
      <c r="N797" s="23">
        <f>($G797-$M797)*100</f>
        <v/>
      </c>
      <c r="O797" s="15">
        <f>($E797-$C797)*100</f>
        <v/>
      </c>
      <c r="P797" s="15">
        <f>($G797-$E797)*100</f>
        <v/>
      </c>
      <c r="Q797" s="15">
        <f>($G797-$C797)*100</f>
        <v/>
      </c>
      <c r="R797" s="15">
        <f>IF($H797="","",($H797-$F797)*100)</f>
        <v/>
      </c>
      <c r="S797" s="15">
        <f>IF($H797="","",($H797-$G797)*100)</f>
        <v/>
      </c>
    </row>
    <row r="798">
      <c r="A798" s="11" t="n">
        <v>42069</v>
      </c>
      <c r="B798" s="22" t="n">
        <v>0.01</v>
      </c>
      <c r="C798" s="22" t="n">
        <v>0.007</v>
      </c>
      <c r="D798" s="22" t="n">
        <v>0.089</v>
      </c>
      <c r="E798" s="22" t="n">
        <v>0.376</v>
      </c>
      <c r="F798" s="22" t="n">
        <v>1.18</v>
      </c>
      <c r="G798" s="22" t="n">
        <v>1.441</v>
      </c>
      <c r="H798" s="22" t="n">
        <v>1.571</v>
      </c>
      <c r="I798" s="22" t="n">
        <v>2.83</v>
      </c>
      <c r="J798" s="22" t="n">
        <v>0.27</v>
      </c>
      <c r="K798" s="22" t="n">
        <v>2.24</v>
      </c>
      <c r="L798" s="17">
        <f>$J798-$B798</f>
        <v/>
      </c>
      <c r="M798" s="17">
        <f>$I798-$L798</f>
        <v/>
      </c>
      <c r="N798" s="23">
        <f>($G798-$M798)*100</f>
        <v/>
      </c>
      <c r="O798" s="15">
        <f>($E798-$C798)*100</f>
        <v/>
      </c>
      <c r="P798" s="15">
        <f>($G798-$E798)*100</f>
        <v/>
      </c>
      <c r="Q798" s="15">
        <f>($G798-$C798)*100</f>
        <v/>
      </c>
      <c r="R798" s="15">
        <f>IF($H798="","",($H798-$F798)*100)</f>
        <v/>
      </c>
      <c r="S798" s="15">
        <f>IF($H798="","",($H798-$G798)*100)</f>
        <v/>
      </c>
    </row>
    <row r="799">
      <c r="A799" s="11" t="n">
        <v>42076</v>
      </c>
      <c r="B799" s="22" t="n">
        <v>0.001</v>
      </c>
      <c r="C799" s="22" t="n">
        <v>0.016</v>
      </c>
      <c r="D799" s="22" t="n">
        <v>0.13</v>
      </c>
      <c r="E799" s="22" t="n">
        <v>0.408</v>
      </c>
      <c r="F799" s="22" t="n">
        <v>1.231</v>
      </c>
      <c r="G799" s="22" t="n">
        <v>1.483</v>
      </c>
      <c r="H799" s="22" t="n">
        <v>1.608</v>
      </c>
      <c r="I799" s="22" t="n">
        <v>2.7</v>
      </c>
      <c r="J799" s="22" t="n">
        <v>0.24</v>
      </c>
      <c r="K799" s="22" t="n">
        <v>2.13</v>
      </c>
      <c r="L799" s="17">
        <f>$J799-$B799</f>
        <v/>
      </c>
      <c r="M799" s="17">
        <f>$I799-$L799</f>
        <v/>
      </c>
      <c r="N799" s="23">
        <f>($G799-$M799)*100</f>
        <v/>
      </c>
      <c r="O799" s="15">
        <f>($E799-$C799)*100</f>
        <v/>
      </c>
      <c r="P799" s="15">
        <f>($G799-$E799)*100</f>
        <v/>
      </c>
      <c r="Q799" s="15">
        <f>($G799-$C799)*100</f>
        <v/>
      </c>
      <c r="R799" s="15">
        <f>IF($H799="","",($H799-$F799)*100)</f>
        <v/>
      </c>
      <c r="S799" s="15">
        <f>IF($H799="","",($H799-$G799)*100)</f>
        <v/>
      </c>
    </row>
    <row r="800">
      <c r="A800" s="11" t="n">
        <v>42083</v>
      </c>
      <c r="B800" s="22" t="n">
        <v>0.008999999999999999</v>
      </c>
      <c r="C800" s="22" t="n">
        <v>0.01</v>
      </c>
      <c r="D800" s="22" t="n">
        <v>0.076</v>
      </c>
      <c r="E800" s="22" t="n">
        <v>0.322</v>
      </c>
      <c r="F800" s="22" t="n">
        <v>1.104</v>
      </c>
      <c r="G800" s="22" t="n">
        <v>1.321</v>
      </c>
      <c r="H800" s="22" t="n">
        <v>1.437</v>
      </c>
      <c r="I800" s="22" t="n">
        <v>2.5</v>
      </c>
      <c r="J800" s="22" t="n">
        <v>0.24</v>
      </c>
      <c r="K800" s="22" t="n">
        <v>1.93</v>
      </c>
      <c r="L800" s="17">
        <f>$J800-$B800</f>
        <v/>
      </c>
      <c r="M800" s="17">
        <f>$I800-$L800</f>
        <v/>
      </c>
      <c r="N800" s="23">
        <f>($G800-$M800)*100</f>
        <v/>
      </c>
      <c r="O800" s="15">
        <f>($E800-$C800)*100</f>
        <v/>
      </c>
      <c r="P800" s="15">
        <f>($G800-$E800)*100</f>
        <v/>
      </c>
      <c r="Q800" s="15">
        <f>($G800-$C800)*100</f>
        <v/>
      </c>
      <c r="R800" s="15">
        <f>IF($H800="","",($H800-$F800)*100)</f>
        <v/>
      </c>
      <c r="S800" s="15">
        <f>IF($H800="","",($H800-$G800)*100)</f>
        <v/>
      </c>
    </row>
    <row r="801">
      <c r="A801" s="11" t="n">
        <v>42090</v>
      </c>
      <c r="B801" s="22" t="n">
        <v>0.019</v>
      </c>
      <c r="C801" s="22" t="n">
        <v>0.035</v>
      </c>
      <c r="D801" s="22" t="n">
        <v>0.121</v>
      </c>
      <c r="E801" s="22" t="n">
        <v>0.373</v>
      </c>
      <c r="F801" s="22" t="n">
        <v>1.142</v>
      </c>
      <c r="G801" s="22" t="n">
        <v>1.383</v>
      </c>
      <c r="H801" s="22" t="n">
        <v>1.497</v>
      </c>
      <c r="I801" s="22" t="n">
        <v>2.53</v>
      </c>
      <c r="J801" s="22" t="n">
        <v>0.27</v>
      </c>
      <c r="K801" s="22" t="n">
        <v>1.95</v>
      </c>
      <c r="L801" s="17">
        <f>$J801-$B801</f>
        <v/>
      </c>
      <c r="M801" s="17">
        <f>$I801-$L801</f>
        <v/>
      </c>
      <c r="N801" s="23">
        <f>($G801-$M801)*100</f>
        <v/>
      </c>
      <c r="O801" s="15">
        <f>($E801-$C801)*100</f>
        <v/>
      </c>
      <c r="P801" s="15">
        <f>($G801-$E801)*100</f>
        <v/>
      </c>
      <c r="Q801" s="15">
        <f>($G801-$C801)*100</f>
        <v/>
      </c>
      <c r="R801" s="15">
        <f>IF($H801="","",($H801-$F801)*100)</f>
        <v/>
      </c>
      <c r="S801" s="15">
        <f>IF($H801="","",($H801-$G801)*100)</f>
        <v/>
      </c>
    </row>
    <row r="802">
      <c r="A802" s="11" t="n">
        <v>42097</v>
      </c>
      <c r="B802" s="22" t="n">
        <v>0.02</v>
      </c>
      <c r="C802" s="22" t="n">
        <v>0.015</v>
      </c>
      <c r="D802" s="22" t="n">
        <v>0.097</v>
      </c>
      <c r="E802" s="22" t="n">
        <v>0.354</v>
      </c>
      <c r="F802" s="22" t="n">
        <v>1.129</v>
      </c>
      <c r="G802" s="22" t="n">
        <v>1.383</v>
      </c>
      <c r="H802" s="22" t="n">
        <v>1.501</v>
      </c>
      <c r="I802" s="22" t="n">
        <v>2.49</v>
      </c>
      <c r="J802" s="22" t="n">
        <v>0.21</v>
      </c>
      <c r="K802" s="22" t="n">
        <v>1.85</v>
      </c>
      <c r="L802" s="17">
        <f>$J802-$B802</f>
        <v/>
      </c>
      <c r="M802" s="17">
        <f>$I802-$L802</f>
        <v/>
      </c>
      <c r="N802" s="23">
        <f>($G802-$M802)*100</f>
        <v/>
      </c>
      <c r="O802" s="15">
        <f>($E802-$C802)*100</f>
        <v/>
      </c>
      <c r="P802" s="15">
        <f>($G802-$E802)*100</f>
        <v/>
      </c>
      <c r="Q802" s="15">
        <f>($G802-$C802)*100</f>
        <v/>
      </c>
      <c r="R802" s="15">
        <f>IF($H802="","",($H802-$F802)*100)</f>
        <v/>
      </c>
      <c r="S802" s="15">
        <f>IF($H802="","",($H802-$G802)*100)</f>
        <v/>
      </c>
    </row>
    <row r="803">
      <c r="A803" s="11" t="n">
        <v>42104</v>
      </c>
      <c r="B803" s="22" t="n">
        <v>0.012</v>
      </c>
      <c r="C803" s="22" t="n">
        <v>0.006</v>
      </c>
      <c r="D803" s="22" t="n">
        <v>0.097</v>
      </c>
      <c r="E803" s="22" t="n">
        <v>0.341</v>
      </c>
      <c r="F803" s="22" t="n">
        <v>1.126</v>
      </c>
      <c r="G803" s="22" t="n">
        <v>1.382</v>
      </c>
      <c r="H803" s="22" t="n">
        <v>1.505</v>
      </c>
      <c r="I803" s="22" t="n">
        <v>2.58</v>
      </c>
      <c r="J803" s="22" t="n">
        <v>0.24</v>
      </c>
      <c r="K803" s="22" t="n">
        <v>1.96</v>
      </c>
      <c r="L803" s="17">
        <f>$J803-$B803</f>
        <v/>
      </c>
      <c r="M803" s="17">
        <f>$I803-$L803</f>
        <v/>
      </c>
      <c r="N803" s="23">
        <f>($G803-$M803)*100</f>
        <v/>
      </c>
      <c r="O803" s="15">
        <f>($E803-$C803)*100</f>
        <v/>
      </c>
      <c r="P803" s="15">
        <f>($G803-$E803)*100</f>
        <v/>
      </c>
      <c r="Q803" s="15">
        <f>($G803-$C803)*100</f>
        <v/>
      </c>
      <c r="R803" s="15">
        <f>IF($H803="","",($H803-$F803)*100)</f>
        <v/>
      </c>
      <c r="S803" s="15">
        <f>IF($H803="","",($H803-$G803)*100)</f>
        <v/>
      </c>
    </row>
    <row r="804">
      <c r="A804" s="11" t="n">
        <v>42111</v>
      </c>
      <c r="B804" s="22" t="n">
        <v>0.008999999999999999</v>
      </c>
      <c r="C804" s="22" t="n">
        <v>0.005</v>
      </c>
      <c r="D804" s="22" t="n">
        <v>0.073</v>
      </c>
      <c r="E804" s="22" t="n">
        <v>0.307</v>
      </c>
      <c r="F804" s="22" t="n">
        <v>1.062</v>
      </c>
      <c r="G804" s="22" t="n">
        <v>1.309</v>
      </c>
      <c r="H804" s="22" t="n">
        <v>1.438</v>
      </c>
      <c r="I804" s="22" t="n">
        <v>2.51</v>
      </c>
      <c r="J804" s="22" t="n">
        <v>0.23</v>
      </c>
      <c r="K804" s="22" t="n">
        <v>1.87</v>
      </c>
      <c r="L804" s="17">
        <f>$J804-$B804</f>
        <v/>
      </c>
      <c r="M804" s="17">
        <f>$I804-$L804</f>
        <v/>
      </c>
      <c r="N804" s="23">
        <f>($G804-$M804)*100</f>
        <v/>
      </c>
      <c r="O804" s="15">
        <f>($E804-$C804)*100</f>
        <v/>
      </c>
      <c r="P804" s="15">
        <f>($G804-$E804)*100</f>
        <v/>
      </c>
      <c r="Q804" s="15">
        <f>($G804-$C804)*100</f>
        <v/>
      </c>
      <c r="R804" s="15">
        <f>IF($H804="","",($H804-$F804)*100)</f>
        <v/>
      </c>
      <c r="S804" s="15">
        <f>IF($H804="","",($H804-$G804)*100)</f>
        <v/>
      </c>
    </row>
    <row r="805">
      <c r="A805" s="11" t="n">
        <v>42118</v>
      </c>
      <c r="B805" s="22" t="n">
        <v>-0.013</v>
      </c>
      <c r="C805" s="22" t="n">
        <v>-0.016</v>
      </c>
      <c r="D805" s="22" t="n">
        <v>0.053</v>
      </c>
      <c r="E805" s="22" t="n">
        <v>0.294</v>
      </c>
      <c r="F805" s="22" t="n">
        <v>1.068</v>
      </c>
      <c r="G805" s="22" t="n">
        <v>1.323</v>
      </c>
      <c r="H805" s="22" t="n">
        <v>1.443</v>
      </c>
      <c r="I805" s="22" t="n">
        <v>2.62</v>
      </c>
      <c r="J805" s="22" t="n">
        <v>0.24</v>
      </c>
      <c r="K805" s="22" t="n">
        <v>1.93</v>
      </c>
      <c r="L805" s="17">
        <f>$J805-$B805</f>
        <v/>
      </c>
      <c r="M805" s="17">
        <f>$I805-$L805</f>
        <v/>
      </c>
      <c r="N805" s="23">
        <f>($G805-$M805)*100</f>
        <v/>
      </c>
      <c r="O805" s="15">
        <f>($E805-$C805)*100</f>
        <v/>
      </c>
      <c r="P805" s="15">
        <f>($G805-$E805)*100</f>
        <v/>
      </c>
      <c r="Q805" s="15">
        <f>($G805-$C805)*100</f>
        <v/>
      </c>
      <c r="R805" s="15">
        <f>IF($H805="","",($H805-$F805)*100)</f>
        <v/>
      </c>
      <c r="S805" s="15">
        <f>IF($H805="","",($H805-$G805)*100)</f>
        <v/>
      </c>
    </row>
    <row r="806">
      <c r="A806" s="11" t="n">
        <v>42125</v>
      </c>
      <c r="B806" s="22" t="n">
        <v>0</v>
      </c>
      <c r="C806" s="22" t="n">
        <v>0.002</v>
      </c>
      <c r="D806" s="22" t="n">
        <v>0.096</v>
      </c>
      <c r="E806" s="22" t="n">
        <v>0.37</v>
      </c>
      <c r="F806" s="22" t="n">
        <v>1.134</v>
      </c>
      <c r="G806" s="22" t="n">
        <v>1.384</v>
      </c>
      <c r="H806" s="22" t="n">
        <v>1.505</v>
      </c>
      <c r="I806" s="22" t="n">
        <v>2.82</v>
      </c>
      <c r="J806" s="22" t="n">
        <v>0.25</v>
      </c>
      <c r="K806" s="22" t="n">
        <v>2.12</v>
      </c>
      <c r="L806" s="17">
        <f>$J806-$B806</f>
        <v/>
      </c>
      <c r="M806" s="17">
        <f>$I806-$L806</f>
        <v/>
      </c>
      <c r="N806" s="23">
        <f>($G806-$M806)*100</f>
        <v/>
      </c>
      <c r="O806" s="15">
        <f>($E806-$C806)*100</f>
        <v/>
      </c>
      <c r="P806" s="15">
        <f>($G806-$E806)*100</f>
        <v/>
      </c>
      <c r="Q806" s="15">
        <f>($G806-$C806)*100</f>
        <v/>
      </c>
      <c r="R806" s="15">
        <f>IF($H806="","",($H806-$F806)*100)</f>
        <v/>
      </c>
      <c r="S806" s="15">
        <f>IF($H806="","",($H806-$G806)*100)</f>
        <v/>
      </c>
    </row>
    <row r="807">
      <c r="A807" s="11" t="n">
        <v>42132</v>
      </c>
      <c r="B807" s="22" t="n">
        <v>0.003</v>
      </c>
      <c r="C807" s="22" t="n">
        <v>0.006</v>
      </c>
      <c r="D807" s="22" t="n">
        <v>0.109</v>
      </c>
      <c r="E807" s="22" t="n">
        <v>0.421</v>
      </c>
      <c r="F807" s="22" t="n">
        <v>1.191</v>
      </c>
      <c r="G807" s="22" t="n">
        <v>1.446</v>
      </c>
      <c r="H807" s="22" t="n">
        <v>1.562</v>
      </c>
      <c r="I807" s="22" t="n">
        <v>2.9</v>
      </c>
      <c r="J807" s="22" t="n">
        <v>0.23</v>
      </c>
      <c r="K807" s="22" t="n">
        <v>2.16</v>
      </c>
      <c r="L807" s="17">
        <f>$J807-$B807</f>
        <v/>
      </c>
      <c r="M807" s="17">
        <f>$I807-$L807</f>
        <v/>
      </c>
      <c r="N807" s="23">
        <f>($G807-$M807)*100</f>
        <v/>
      </c>
      <c r="O807" s="15">
        <f>($E807-$C807)*100</f>
        <v/>
      </c>
      <c r="P807" s="15">
        <f>($G807-$E807)*100</f>
        <v/>
      </c>
      <c r="Q807" s="15">
        <f>($G807-$C807)*100</f>
        <v/>
      </c>
      <c r="R807" s="15">
        <f>IF($H807="","",($H807-$F807)*100)</f>
        <v/>
      </c>
      <c r="S807" s="15">
        <f>IF($H807="","",($H807-$G807)*100)</f>
        <v/>
      </c>
    </row>
    <row r="808">
      <c r="A808" s="11" t="n">
        <v>42139</v>
      </c>
      <c r="B808" s="22" t="n">
        <v>-0.01</v>
      </c>
      <c r="C808" s="22" t="n">
        <v>-0.01</v>
      </c>
      <c r="D808" s="22" t="n">
        <v>0.102</v>
      </c>
      <c r="E808" s="22" t="n">
        <v>0.402</v>
      </c>
      <c r="F808" s="22" t="n">
        <v>1.173</v>
      </c>
      <c r="G808" s="22" t="n">
        <v>1.438</v>
      </c>
      <c r="H808" s="22" t="n">
        <v>1.563</v>
      </c>
      <c r="I808" s="22" t="n">
        <v>2.93</v>
      </c>
      <c r="J808" s="22" t="n">
        <v>0.23</v>
      </c>
      <c r="K808" s="22" t="n">
        <v>2.14</v>
      </c>
      <c r="L808" s="17">
        <f>$J808-$B808</f>
        <v/>
      </c>
      <c r="M808" s="17">
        <f>$I808-$L808</f>
        <v/>
      </c>
      <c r="N808" s="23">
        <f>($G808-$M808)*100</f>
        <v/>
      </c>
      <c r="O808" s="15">
        <f>($E808-$C808)*100</f>
        <v/>
      </c>
      <c r="P808" s="15">
        <f>($G808-$E808)*100</f>
        <v/>
      </c>
      <c r="Q808" s="15">
        <f>($G808-$C808)*100</f>
        <v/>
      </c>
      <c r="R808" s="15">
        <f>IF($H808="","",($H808-$F808)*100)</f>
        <v/>
      </c>
      <c r="S808" s="15">
        <f>IF($H808="","",($H808-$G808)*100)</f>
        <v/>
      </c>
    </row>
    <row r="809">
      <c r="A809" s="11" t="n">
        <v>42146</v>
      </c>
      <c r="B809" s="22" t="n">
        <v>-0.002</v>
      </c>
      <c r="C809" s="22" t="n">
        <v>-0.006</v>
      </c>
      <c r="D809" s="22" t="n">
        <v>0.113</v>
      </c>
      <c r="E809" s="22" t="n">
        <v>0.423</v>
      </c>
      <c r="F809" s="22" t="n">
        <v>1.217</v>
      </c>
      <c r="G809" s="22" t="n">
        <v>1.473</v>
      </c>
      <c r="H809" s="22" t="n">
        <v>1.603</v>
      </c>
      <c r="I809" s="22" t="n">
        <v>2.99</v>
      </c>
      <c r="J809" s="22" t="n">
        <v>0.23</v>
      </c>
      <c r="K809" s="22" t="n">
        <v>2.21</v>
      </c>
      <c r="L809" s="17">
        <f>$J809-$B809</f>
        <v/>
      </c>
      <c r="M809" s="17">
        <f>$I809-$L809</f>
        <v/>
      </c>
      <c r="N809" s="23">
        <f>($G809-$M809)*100</f>
        <v/>
      </c>
      <c r="O809" s="15">
        <f>($E809-$C809)*100</f>
        <v/>
      </c>
      <c r="P809" s="15">
        <f>($G809-$E809)*100</f>
        <v/>
      </c>
      <c r="Q809" s="15">
        <f>($G809-$C809)*100</f>
        <v/>
      </c>
      <c r="R809" s="15">
        <f>IF($H809="","",($H809-$F809)*100)</f>
        <v/>
      </c>
      <c r="S809" s="15">
        <f>IF($H809="","",($H809-$G809)*100)</f>
        <v/>
      </c>
    </row>
    <row r="810">
      <c r="A810" s="11" t="n">
        <v>42153</v>
      </c>
      <c r="B810" s="22" t="n">
        <v>0</v>
      </c>
      <c r="C810" s="22" t="n">
        <v>-0.008</v>
      </c>
      <c r="D810" s="22" t="n">
        <v>0.095</v>
      </c>
      <c r="E810" s="22" t="n">
        <v>0.406</v>
      </c>
      <c r="F810" s="22" t="n">
        <v>1.199</v>
      </c>
      <c r="G810" s="22" t="n">
        <v>1.473</v>
      </c>
      <c r="H810" s="22" t="n">
        <v>1.595</v>
      </c>
      <c r="I810" s="22" t="n">
        <v>2.88</v>
      </c>
      <c r="J810" s="22" t="n">
        <v>0.26</v>
      </c>
      <c r="K810" s="22" t="n">
        <v>2.12</v>
      </c>
      <c r="L810" s="17">
        <f>$J810-$B810</f>
        <v/>
      </c>
      <c r="M810" s="17">
        <f>$I810-$L810</f>
        <v/>
      </c>
      <c r="N810" s="23">
        <f>($G810-$M810)*100</f>
        <v/>
      </c>
      <c r="O810" s="15">
        <f>($E810-$C810)*100</f>
        <v/>
      </c>
      <c r="P810" s="15">
        <f>($G810-$E810)*100</f>
        <v/>
      </c>
      <c r="Q810" s="15">
        <f>($G810-$C810)*100</f>
        <v/>
      </c>
      <c r="R810" s="15">
        <f>IF($H810="","",($H810-$F810)*100)</f>
        <v/>
      </c>
      <c r="S810" s="15">
        <f>IF($H810="","",($H810-$G810)*100)</f>
        <v/>
      </c>
    </row>
    <row r="811">
      <c r="A811" s="11" t="n">
        <v>42160</v>
      </c>
      <c r="B811" s="22" t="n">
        <v>-0.003</v>
      </c>
      <c r="C811" s="22" t="n">
        <v>-0.005</v>
      </c>
      <c r="D811" s="22" t="n">
        <v>0.119</v>
      </c>
      <c r="E811" s="22" t="n">
        <v>0.475</v>
      </c>
      <c r="F811" s="22" t="n">
        <v>1.274</v>
      </c>
      <c r="G811" s="22" t="n">
        <v>1.532</v>
      </c>
      <c r="H811" s="22" t="n">
        <v>1.65</v>
      </c>
      <c r="I811" s="22" t="n">
        <v>3.11</v>
      </c>
      <c r="J811" s="22" t="n">
        <v>0.29</v>
      </c>
      <c r="K811" s="22" t="n">
        <v>2.41</v>
      </c>
      <c r="L811" s="17">
        <f>$J811-$B811</f>
        <v/>
      </c>
      <c r="M811" s="17">
        <f>$I811-$L811</f>
        <v/>
      </c>
      <c r="N811" s="23">
        <f>($G811-$M811)*100</f>
        <v/>
      </c>
      <c r="O811" s="15">
        <f>($E811-$C811)*100</f>
        <v/>
      </c>
      <c r="P811" s="15">
        <f>($G811-$E811)*100</f>
        <v/>
      </c>
      <c r="Q811" s="15">
        <f>($G811-$C811)*100</f>
        <v/>
      </c>
      <c r="R811" s="15">
        <f>IF($H811="","",($H811-$F811)*100)</f>
        <v/>
      </c>
      <c r="S811" s="15">
        <f>IF($H811="","",($H811-$G811)*100)</f>
        <v/>
      </c>
    </row>
    <row r="812">
      <c r="A812" s="11" t="n">
        <v>42167</v>
      </c>
      <c r="B812" s="22" t="n">
        <v>0.001</v>
      </c>
      <c r="C812" s="22" t="n">
        <v>-0.004</v>
      </c>
      <c r="D812" s="22" t="n">
        <v>0.128</v>
      </c>
      <c r="E812" s="22" t="n">
        <v>0.497</v>
      </c>
      <c r="F812" s="22" t="n">
        <v>1.267</v>
      </c>
      <c r="G812" s="22" t="n">
        <v>1.51</v>
      </c>
      <c r="H812" s="22" t="n">
        <v>1.635</v>
      </c>
      <c r="I812" s="22" t="n">
        <v>3.1</v>
      </c>
      <c r="J812" s="22" t="n">
        <v>0.28</v>
      </c>
      <c r="K812" s="22" t="n">
        <v>2.39</v>
      </c>
      <c r="L812" s="17">
        <f>$J812-$B812</f>
        <v/>
      </c>
      <c r="M812" s="17">
        <f>$I812-$L812</f>
        <v/>
      </c>
      <c r="N812" s="23">
        <f>($G812-$M812)*100</f>
        <v/>
      </c>
      <c r="O812" s="15">
        <f>($E812-$C812)*100</f>
        <v/>
      </c>
      <c r="P812" s="15">
        <f>($G812-$E812)*100</f>
        <v/>
      </c>
      <c r="Q812" s="15">
        <f>($G812-$C812)*100</f>
        <v/>
      </c>
      <c r="R812" s="15">
        <f>IF($H812="","",($H812-$F812)*100)</f>
        <v/>
      </c>
      <c r="S812" s="15">
        <f>IF($H812="","",($H812-$G812)*100)</f>
        <v/>
      </c>
    </row>
    <row r="813">
      <c r="A813" s="11" t="n">
        <v>42174</v>
      </c>
      <c r="B813" s="22" t="n">
        <v>0.008</v>
      </c>
      <c r="C813" s="22" t="n">
        <v>0.005</v>
      </c>
      <c r="D813" s="22" t="n">
        <v>0.106</v>
      </c>
      <c r="E813" s="22" t="n">
        <v>0.415</v>
      </c>
      <c r="F813" s="22" t="n">
        <v>1.188</v>
      </c>
      <c r="G813" s="22" t="n">
        <v>1.461</v>
      </c>
      <c r="H813" s="22" t="n">
        <v>1.579</v>
      </c>
      <c r="I813" s="22" t="n">
        <v>3.05</v>
      </c>
      <c r="J813" s="22" t="n">
        <v>0.25</v>
      </c>
      <c r="K813" s="22" t="n">
        <v>2.26</v>
      </c>
      <c r="L813" s="17">
        <f>$J813-$B813</f>
        <v/>
      </c>
      <c r="M813" s="17">
        <f>$I813-$L813</f>
        <v/>
      </c>
      <c r="N813" s="23">
        <f>($G813-$M813)*100</f>
        <v/>
      </c>
      <c r="O813" s="15">
        <f>($E813-$C813)*100</f>
        <v/>
      </c>
      <c r="P813" s="15">
        <f>($G813-$E813)*100</f>
        <v/>
      </c>
      <c r="Q813" s="15">
        <f>($G813-$C813)*100</f>
        <v/>
      </c>
      <c r="R813" s="15">
        <f>IF($H813="","",($H813-$F813)*100)</f>
        <v/>
      </c>
      <c r="S813" s="15">
        <f>IF($H813="","",($H813-$G813)*100)</f>
        <v/>
      </c>
    </row>
    <row r="814">
      <c r="A814" s="11" t="n">
        <v>42181</v>
      </c>
      <c r="B814" s="22" t="n">
        <v>0</v>
      </c>
      <c r="C814" s="22" t="n">
        <v>-0.002</v>
      </c>
      <c r="D814" s="22" t="n">
        <v>0.121</v>
      </c>
      <c r="E814" s="22" t="n">
        <v>0.47</v>
      </c>
      <c r="F814" s="22" t="n">
        <v>1.229</v>
      </c>
      <c r="G814" s="22" t="n">
        <v>1.475</v>
      </c>
      <c r="H814" s="22" t="n">
        <v>1.596</v>
      </c>
      <c r="I814" s="22" t="n">
        <v>3.25</v>
      </c>
      <c r="J814" s="22" t="n">
        <v>0.29</v>
      </c>
      <c r="K814" s="22" t="n">
        <v>2.49</v>
      </c>
      <c r="L814" s="17">
        <f>$J814-$B814</f>
        <v/>
      </c>
      <c r="M814" s="17">
        <f>$I814-$L814</f>
        <v/>
      </c>
      <c r="N814" s="23">
        <f>($G814-$M814)*100</f>
        <v/>
      </c>
      <c r="O814" s="15">
        <f>($E814-$C814)*100</f>
        <v/>
      </c>
      <c r="P814" s="15">
        <f>($G814-$E814)*100</f>
        <v/>
      </c>
      <c r="Q814" s="15">
        <f>($G814-$C814)*100</f>
        <v/>
      </c>
      <c r="R814" s="15">
        <f>IF($H814="","",($H814-$F814)*100)</f>
        <v/>
      </c>
      <c r="S814" s="15">
        <f>IF($H814="","",($H814-$G814)*100)</f>
        <v/>
      </c>
    </row>
    <row r="815">
      <c r="A815" s="11" t="n">
        <v>42188</v>
      </c>
      <c r="B815" s="22" t="n">
        <v>0.01</v>
      </c>
      <c r="C815" s="22" t="n">
        <v>0.01</v>
      </c>
      <c r="D815" s="22" t="n">
        <v>0.118</v>
      </c>
      <c r="E815" s="22" t="n">
        <v>0.482</v>
      </c>
      <c r="F815" s="22" t="n">
        <v>1.239</v>
      </c>
      <c r="G815" s="22" t="n">
        <v>1.484</v>
      </c>
      <c r="H815" s="22" t="n">
        <v>1.596</v>
      </c>
      <c r="I815" s="22" t="n">
        <v>3.19</v>
      </c>
      <c r="J815" s="22" t="n">
        <v>0.26</v>
      </c>
      <c r="K815" s="22" t="n">
        <v>2.4</v>
      </c>
      <c r="L815" s="17">
        <f>$J815-$B815</f>
        <v/>
      </c>
      <c r="M815" s="17">
        <f>$I815-$L815</f>
        <v/>
      </c>
      <c r="N815" s="23">
        <f>($G815-$M815)*100</f>
        <v/>
      </c>
      <c r="O815" s="15">
        <f>($E815-$C815)*100</f>
        <v/>
      </c>
      <c r="P815" s="15">
        <f>($G815-$E815)*100</f>
        <v/>
      </c>
      <c r="Q815" s="15">
        <f>($G815-$C815)*100</f>
        <v/>
      </c>
      <c r="R815" s="15">
        <f>IF($H815="","",($H815-$F815)*100)</f>
        <v/>
      </c>
      <c r="S815" s="15">
        <f>IF($H815="","",($H815-$G815)*100)</f>
        <v/>
      </c>
    </row>
    <row r="816">
      <c r="A816" s="11" t="n">
        <v>42195</v>
      </c>
      <c r="B816" s="22" t="n">
        <v>0.002</v>
      </c>
      <c r="C816" s="22" t="n">
        <v>0.005</v>
      </c>
      <c r="D816" s="22" t="n">
        <v>0.101</v>
      </c>
      <c r="E816" s="22" t="n">
        <v>0.434</v>
      </c>
      <c r="F816" s="22" t="n">
        <v>1.208</v>
      </c>
      <c r="G816" s="22" t="n">
        <v>1.462</v>
      </c>
      <c r="H816" s="22" t="n">
        <v>1.58</v>
      </c>
      <c r="I816" s="22" t="n">
        <v>3.2</v>
      </c>
      <c r="J816" s="22" t="n">
        <v>0.28</v>
      </c>
      <c r="K816" s="22" t="n">
        <v>2.42</v>
      </c>
      <c r="L816" s="17">
        <f>$J816-$B816</f>
        <v/>
      </c>
      <c r="M816" s="17">
        <f>$I816-$L816</f>
        <v/>
      </c>
      <c r="N816" s="23">
        <f>($G816-$M816)*100</f>
        <v/>
      </c>
      <c r="O816" s="15">
        <f>($E816-$C816)*100</f>
        <v/>
      </c>
      <c r="P816" s="15">
        <f>($G816-$E816)*100</f>
        <v/>
      </c>
      <c r="Q816" s="15">
        <f>($G816-$C816)*100</f>
        <v/>
      </c>
      <c r="R816" s="15">
        <f>IF($H816="","",($H816-$F816)*100)</f>
        <v/>
      </c>
      <c r="S816" s="15">
        <f>IF($H816="","",($H816-$G816)*100)</f>
        <v/>
      </c>
    </row>
    <row r="817">
      <c r="A817" s="11" t="n">
        <v>42202</v>
      </c>
      <c r="B817" s="22" t="n">
        <v>0.008999999999999999</v>
      </c>
      <c r="C817" s="22" t="n">
        <v>0.005</v>
      </c>
      <c r="D817" s="22" t="n">
        <v>0.108</v>
      </c>
      <c r="E817" s="22" t="n">
        <v>0.426</v>
      </c>
      <c r="F817" s="22" t="n">
        <v>1.208</v>
      </c>
      <c r="G817" s="22" t="n">
        <v>1.468</v>
      </c>
      <c r="H817" s="22" t="n">
        <v>1.577</v>
      </c>
      <c r="I817" s="22" t="n">
        <v>3.08</v>
      </c>
      <c r="J817" s="22" t="n">
        <v>0.29</v>
      </c>
      <c r="K817" s="22" t="n">
        <v>2.34</v>
      </c>
      <c r="L817" s="17">
        <f>$J817-$B817</f>
        <v/>
      </c>
      <c r="M817" s="17">
        <f>$I817-$L817</f>
        <v/>
      </c>
      <c r="N817" s="23">
        <f>($G817-$M817)*100</f>
        <v/>
      </c>
      <c r="O817" s="15">
        <f>($E817-$C817)*100</f>
        <v/>
      </c>
      <c r="P817" s="15">
        <f>($G817-$E817)*100</f>
        <v/>
      </c>
      <c r="Q817" s="15">
        <f>($G817-$C817)*100</f>
        <v/>
      </c>
      <c r="R817" s="15">
        <f>IF($H817="","",($H817-$F817)*100)</f>
        <v/>
      </c>
      <c r="S817" s="15">
        <f>IF($H817="","",($H817-$G817)*100)</f>
        <v/>
      </c>
    </row>
    <row r="818">
      <c r="A818" s="11" t="n">
        <v>42209</v>
      </c>
      <c r="B818" s="22" t="n">
        <v>0.007</v>
      </c>
      <c r="C818" s="22" t="n">
        <v>0.004</v>
      </c>
      <c r="D818" s="22" t="n">
        <v>0.103</v>
      </c>
      <c r="E818" s="22" t="n">
        <v>0.412</v>
      </c>
      <c r="F818" s="22" t="n">
        <v>1.178</v>
      </c>
      <c r="G818" s="22" t="n">
        <v>1.424</v>
      </c>
      <c r="H818" s="22" t="n">
        <v>1.54</v>
      </c>
      <c r="I818" s="22" t="n">
        <v>2.96</v>
      </c>
      <c r="J818" s="22" t="n">
        <v>0.32</v>
      </c>
      <c r="K818" s="22" t="n">
        <v>2.27</v>
      </c>
      <c r="L818" s="17">
        <f>$J818-$B818</f>
        <v/>
      </c>
      <c r="M818" s="17">
        <f>$I818-$L818</f>
        <v/>
      </c>
      <c r="N818" s="23">
        <f>($G818-$M818)*100</f>
        <v/>
      </c>
      <c r="O818" s="15">
        <f>($E818-$C818)*100</f>
        <v/>
      </c>
      <c r="P818" s="15">
        <f>($G818-$E818)*100</f>
        <v/>
      </c>
      <c r="Q818" s="15">
        <f>($G818-$C818)*100</f>
        <v/>
      </c>
      <c r="R818" s="15">
        <f>IF($H818="","",($H818-$F818)*100)</f>
        <v/>
      </c>
      <c r="S818" s="15">
        <f>IF($H818="","",($H818-$G818)*100)</f>
        <v/>
      </c>
    </row>
    <row r="819">
      <c r="A819" s="11" t="n">
        <v>42216</v>
      </c>
      <c r="B819" s="22" t="n">
        <v>0.005</v>
      </c>
      <c r="C819" s="22" t="n">
        <v>0.005</v>
      </c>
      <c r="D819" s="22" t="n">
        <v>0.096</v>
      </c>
      <c r="E819" s="22" t="n">
        <v>0.414</v>
      </c>
      <c r="F819" s="22" t="n">
        <v>1.175</v>
      </c>
      <c r="G819" s="22" t="n">
        <v>1.433</v>
      </c>
      <c r="H819" s="22" t="n">
        <v>1.55</v>
      </c>
      <c r="I819" s="22" t="n">
        <v>2.92</v>
      </c>
      <c r="J819" s="22" t="n">
        <v>0.33</v>
      </c>
      <c r="K819" s="22" t="n">
        <v>2.2</v>
      </c>
      <c r="L819" s="17">
        <f>$J819-$B819</f>
        <v/>
      </c>
      <c r="M819" s="17">
        <f>$I819-$L819</f>
        <v/>
      </c>
      <c r="N819" s="23">
        <f>($G819-$M819)*100</f>
        <v/>
      </c>
      <c r="O819" s="15">
        <f>($E819-$C819)*100</f>
        <v/>
      </c>
      <c r="P819" s="15">
        <f>($G819-$E819)*100</f>
        <v/>
      </c>
      <c r="Q819" s="15">
        <f>($G819-$C819)*100</f>
        <v/>
      </c>
      <c r="R819" s="15">
        <f>IF($H819="","",($H819-$F819)*100)</f>
        <v/>
      </c>
      <c r="S819" s="15">
        <f>IF($H819="","",($H819-$G819)*100)</f>
        <v/>
      </c>
    </row>
    <row r="820">
      <c r="A820" s="11" t="n">
        <v>42223</v>
      </c>
      <c r="B820" s="22" t="n">
        <v>0.003</v>
      </c>
      <c r="C820" s="22" t="n">
        <v>0.005</v>
      </c>
      <c r="D820" s="22" t="n">
        <v>0.097</v>
      </c>
      <c r="E820" s="22" t="n">
        <v>0.425</v>
      </c>
      <c r="F820" s="22" t="n">
        <v>1.2</v>
      </c>
      <c r="G820" s="22" t="n">
        <v>1.458</v>
      </c>
      <c r="H820" s="22" t="n">
        <v>1.573</v>
      </c>
      <c r="I820" s="22" t="n">
        <v>2.83</v>
      </c>
      <c r="J820" s="22" t="n">
        <v>0.38</v>
      </c>
      <c r="K820" s="22" t="n">
        <v>2.18</v>
      </c>
      <c r="L820" s="17">
        <f>$J820-$B820</f>
        <v/>
      </c>
      <c r="M820" s="17">
        <f>$I820-$L820</f>
        <v/>
      </c>
      <c r="N820" s="23">
        <f>($G820-$M820)*100</f>
        <v/>
      </c>
      <c r="O820" s="15">
        <f>($E820-$C820)*100</f>
        <v/>
      </c>
      <c r="P820" s="15">
        <f>($G820-$E820)*100</f>
        <v/>
      </c>
      <c r="Q820" s="15">
        <f>($G820-$C820)*100</f>
        <v/>
      </c>
      <c r="R820" s="15">
        <f>IF($H820="","",($H820-$F820)*100)</f>
        <v/>
      </c>
      <c r="S820" s="15">
        <f>IF($H820="","",($H820-$G820)*100)</f>
        <v/>
      </c>
    </row>
    <row r="821">
      <c r="A821" s="11" t="n">
        <v>42230</v>
      </c>
      <c r="B821" s="22" t="n">
        <v>0.001</v>
      </c>
      <c r="C821" s="22" t="n">
        <v>0</v>
      </c>
      <c r="D821" s="22" t="n">
        <v>0.081</v>
      </c>
      <c r="E821" s="22" t="n">
        <v>0.388</v>
      </c>
      <c r="F821" s="22" t="n">
        <v>1.173</v>
      </c>
      <c r="G821" s="22" t="n">
        <v>1.433</v>
      </c>
      <c r="H821" s="22" t="n">
        <v>1.558</v>
      </c>
      <c r="I821" s="22" t="n">
        <v>2.84</v>
      </c>
      <c r="J821" s="22" t="n">
        <v>0.41</v>
      </c>
      <c r="K821" s="22" t="n">
        <v>2.2</v>
      </c>
      <c r="L821" s="17">
        <f>$J821-$B821</f>
        <v/>
      </c>
      <c r="M821" s="17">
        <f>$I821-$L821</f>
        <v/>
      </c>
      <c r="N821" s="23">
        <f>($G821-$M821)*100</f>
        <v/>
      </c>
      <c r="O821" s="15">
        <f>($E821-$C821)*100</f>
        <v/>
      </c>
      <c r="P821" s="15">
        <f>($G821-$E821)*100</f>
        <v/>
      </c>
      <c r="Q821" s="15">
        <f>($G821-$C821)*100</f>
        <v/>
      </c>
      <c r="R821" s="15">
        <f>IF($H821="","",($H821-$F821)*100)</f>
        <v/>
      </c>
      <c r="S821" s="15">
        <f>IF($H821="","",($H821-$G821)*100)</f>
        <v/>
      </c>
    </row>
    <row r="822">
      <c r="A822" s="11" t="n">
        <v>42237</v>
      </c>
      <c r="B822" s="22" t="n">
        <v>0.008</v>
      </c>
      <c r="C822" s="22" t="n">
        <v>0.004</v>
      </c>
      <c r="D822" s="22" t="n">
        <v>0.073</v>
      </c>
      <c r="E822" s="22" t="n">
        <v>0.364</v>
      </c>
      <c r="F822" s="22" t="n">
        <v>1.143</v>
      </c>
      <c r="G822" s="22" t="n">
        <v>1.399</v>
      </c>
      <c r="H822" s="22" t="n">
        <v>1.525</v>
      </c>
      <c r="I822" s="22" t="n">
        <v>2.74</v>
      </c>
      <c r="J822" s="22" t="n">
        <v>0.36</v>
      </c>
      <c r="K822" s="22" t="n">
        <v>2.05</v>
      </c>
      <c r="L822" s="17">
        <f>$J822-$B822</f>
        <v/>
      </c>
      <c r="M822" s="17">
        <f>$I822-$L822</f>
        <v/>
      </c>
      <c r="N822" s="23">
        <f>($G822-$M822)*100</f>
        <v/>
      </c>
      <c r="O822" s="15">
        <f>($E822-$C822)*100</f>
        <v/>
      </c>
      <c r="P822" s="15">
        <f>($G822-$E822)*100</f>
        <v/>
      </c>
      <c r="Q822" s="15">
        <f>($G822-$C822)*100</f>
        <v/>
      </c>
      <c r="R822" s="15">
        <f>IF($H822="","",($H822-$F822)*100)</f>
        <v/>
      </c>
      <c r="S822" s="15">
        <f>IF($H822="","",($H822-$G822)*100)</f>
        <v/>
      </c>
    </row>
    <row r="823">
      <c r="A823" s="11" t="n">
        <v>42244</v>
      </c>
      <c r="B823" s="22" t="n">
        <v>0.006</v>
      </c>
      <c r="C823" s="22" t="n">
        <v>0.008</v>
      </c>
      <c r="D823" s="22" t="n">
        <v>0.078</v>
      </c>
      <c r="E823" s="22" t="n">
        <v>0.396</v>
      </c>
      <c r="F823" s="22" t="n">
        <v>1.167</v>
      </c>
      <c r="G823" s="22" t="n">
        <v>1.421</v>
      </c>
      <c r="H823" s="22" t="n">
        <v>1.54</v>
      </c>
      <c r="I823" s="22" t="n">
        <v>2.92</v>
      </c>
      <c r="J823" s="22" t="n">
        <v>0.38</v>
      </c>
      <c r="K823" s="22" t="n">
        <v>2.19</v>
      </c>
      <c r="L823" s="17">
        <f>$J823-$B823</f>
        <v/>
      </c>
      <c r="M823" s="17">
        <f>$I823-$L823</f>
        <v/>
      </c>
      <c r="N823" s="23">
        <f>($G823-$M823)*100</f>
        <v/>
      </c>
      <c r="O823" s="15">
        <f>($E823-$C823)*100</f>
        <v/>
      </c>
      <c r="P823" s="15">
        <f>($G823-$E823)*100</f>
        <v/>
      </c>
      <c r="Q823" s="15">
        <f>($G823-$C823)*100</f>
        <v/>
      </c>
      <c r="R823" s="15">
        <f>IF($H823="","",($H823-$F823)*100)</f>
        <v/>
      </c>
      <c r="S823" s="15">
        <f>IF($H823="","",($H823-$G823)*100)</f>
        <v/>
      </c>
    </row>
    <row r="824">
      <c r="A824" s="11" t="n">
        <v>42251</v>
      </c>
      <c r="B824" s="22" t="n">
        <v>0.003</v>
      </c>
      <c r="C824" s="22" t="n">
        <v>0.012</v>
      </c>
      <c r="D824" s="22" t="n">
        <v>0.07199999999999999</v>
      </c>
      <c r="E824" s="22" t="n">
        <v>0.362</v>
      </c>
      <c r="F824" s="22" t="n">
        <v>1.147</v>
      </c>
      <c r="G824" s="22" t="n">
        <v>1.408</v>
      </c>
      <c r="H824" s="22" t="n">
        <v>1.528</v>
      </c>
      <c r="I824" s="22" t="n">
        <v>2.89</v>
      </c>
      <c r="J824" s="22" t="n">
        <v>0.36</v>
      </c>
      <c r="K824" s="22" t="n">
        <v>2.13</v>
      </c>
      <c r="L824" s="17">
        <f>$J824-$B824</f>
        <v/>
      </c>
      <c r="M824" s="17">
        <f>$I824-$L824</f>
        <v/>
      </c>
      <c r="N824" s="23">
        <f>($G824-$M824)*100</f>
        <v/>
      </c>
      <c r="O824" s="15">
        <f>($E824-$C824)*100</f>
        <v/>
      </c>
      <c r="P824" s="15">
        <f>($G824-$E824)*100</f>
        <v/>
      </c>
      <c r="Q824" s="15">
        <f>($G824-$C824)*100</f>
        <v/>
      </c>
      <c r="R824" s="15">
        <f>IF($H824="","",($H824-$F824)*100)</f>
        <v/>
      </c>
      <c r="S824" s="15">
        <f>IF($H824="","",($H824-$G824)*100)</f>
        <v/>
      </c>
    </row>
    <row r="825">
      <c r="A825" s="11" t="n">
        <v>42258</v>
      </c>
      <c r="B825" s="22" t="n">
        <v>0.001</v>
      </c>
      <c r="C825" s="22" t="n">
        <v>0.01</v>
      </c>
      <c r="D825" s="22" t="n">
        <v>0.056</v>
      </c>
      <c r="E825" s="22" t="n">
        <v>0.344</v>
      </c>
      <c r="F825" s="22" t="n">
        <v>1.148</v>
      </c>
      <c r="G825" s="22" t="n">
        <v>1.412</v>
      </c>
      <c r="H825" s="22" t="n">
        <v>1.54</v>
      </c>
      <c r="I825" s="22" t="n">
        <v>2.95</v>
      </c>
      <c r="J825" s="22" t="n">
        <v>0.4</v>
      </c>
      <c r="K825" s="22" t="n">
        <v>2.2</v>
      </c>
      <c r="L825" s="17">
        <f>$J825-$B825</f>
        <v/>
      </c>
      <c r="M825" s="17">
        <f>$I825-$L825</f>
        <v/>
      </c>
      <c r="N825" s="23">
        <f>($G825-$M825)*100</f>
        <v/>
      </c>
      <c r="O825" s="15">
        <f>($E825-$C825)*100</f>
        <v/>
      </c>
      <c r="P825" s="15">
        <f>($G825-$E825)*100</f>
        <v/>
      </c>
      <c r="Q825" s="15">
        <f>($G825-$C825)*100</f>
        <v/>
      </c>
      <c r="R825" s="15">
        <f>IF($H825="","",($H825-$F825)*100)</f>
        <v/>
      </c>
      <c r="S825" s="15">
        <f>IF($H825="","",($H825-$G825)*100)</f>
        <v/>
      </c>
    </row>
    <row r="826">
      <c r="A826" s="11" t="n">
        <v>42265</v>
      </c>
      <c r="B826" s="22" t="n">
        <v>0.01</v>
      </c>
      <c r="C826" s="22" t="n">
        <v>0.014</v>
      </c>
      <c r="D826" s="22" t="n">
        <v>0.056</v>
      </c>
      <c r="E826" s="22" t="n">
        <v>0.331</v>
      </c>
      <c r="F826" s="22" t="n">
        <v>1.117</v>
      </c>
      <c r="G826" s="22" t="n">
        <v>1.374</v>
      </c>
      <c r="H826" s="22" t="n">
        <v>1.505</v>
      </c>
      <c r="I826" s="22" t="n">
        <v>2.93</v>
      </c>
      <c r="J826" s="22" t="n">
        <v>0.35</v>
      </c>
      <c r="K826" s="22" t="n">
        <v>2.13</v>
      </c>
      <c r="L826" s="17">
        <f>$J826-$B826</f>
        <v/>
      </c>
      <c r="M826" s="17">
        <f>$I826-$L826</f>
        <v/>
      </c>
      <c r="N826" s="23">
        <f>($G826-$M826)*100</f>
        <v/>
      </c>
      <c r="O826" s="15">
        <f>($E826-$C826)*100</f>
        <v/>
      </c>
      <c r="P826" s="15">
        <f>($G826-$E826)*100</f>
        <v/>
      </c>
      <c r="Q826" s="15">
        <f>($G826-$C826)*100</f>
        <v/>
      </c>
      <c r="R826" s="15">
        <f>IF($H826="","",($H826-$F826)*100)</f>
        <v/>
      </c>
      <c r="S826" s="15">
        <f>IF($H826="","",($H826-$G826)*100)</f>
        <v/>
      </c>
    </row>
    <row r="827">
      <c r="A827" s="11" t="n">
        <v>42272</v>
      </c>
      <c r="B827" s="22" t="n">
        <v>0.007</v>
      </c>
      <c r="C827" s="22" t="n">
        <v>0.008999999999999999</v>
      </c>
      <c r="D827" s="22" t="n">
        <v>0.052</v>
      </c>
      <c r="E827" s="22" t="n">
        <v>0.323</v>
      </c>
      <c r="F827" s="22" t="n">
        <v>1.105</v>
      </c>
      <c r="G827" s="22" t="n">
        <v>1.362</v>
      </c>
      <c r="H827" s="22" t="n">
        <v>1.485</v>
      </c>
      <c r="I827" s="22" t="n">
        <v>2.96</v>
      </c>
      <c r="J827" s="22" t="n">
        <v>0.35</v>
      </c>
      <c r="K827" s="22" t="n">
        <v>2.17</v>
      </c>
      <c r="L827" s="17">
        <f>$J827-$B827</f>
        <v/>
      </c>
      <c r="M827" s="17">
        <f>$I827-$L827</f>
        <v/>
      </c>
      <c r="N827" s="23">
        <f>($G827-$M827)*100</f>
        <v/>
      </c>
      <c r="O827" s="15">
        <f>($E827-$C827)*100</f>
        <v/>
      </c>
      <c r="P827" s="15">
        <f>($G827-$E827)*100</f>
        <v/>
      </c>
      <c r="Q827" s="15">
        <f>($G827-$C827)*100</f>
        <v/>
      </c>
      <c r="R827" s="15">
        <f>IF($H827="","",($H827-$F827)*100)</f>
        <v/>
      </c>
      <c r="S827" s="15">
        <f>IF($H827="","",($H827-$G827)*100)</f>
        <v/>
      </c>
    </row>
    <row r="828">
      <c r="A828" s="11" t="n">
        <v>42279</v>
      </c>
      <c r="B828" s="22" t="n">
        <v>0.004</v>
      </c>
      <c r="C828" s="22" t="n">
        <v>0.002</v>
      </c>
      <c r="D828" s="22" t="n">
        <v>0.046</v>
      </c>
      <c r="E828" s="22" t="n">
        <v>0.319</v>
      </c>
      <c r="F828" s="22" t="n">
        <v>1.097</v>
      </c>
      <c r="G828" s="22" t="n">
        <v>1.365</v>
      </c>
      <c r="H828" s="22" t="n">
        <v>1.49</v>
      </c>
      <c r="I828" s="22" t="n">
        <v>2.82</v>
      </c>
      <c r="J828" s="22" t="n">
        <v>0.25</v>
      </c>
      <c r="K828" s="22" t="n">
        <v>1.99</v>
      </c>
      <c r="L828" s="17">
        <f>$J828-$B828</f>
        <v/>
      </c>
      <c r="M828" s="17">
        <f>$I828-$L828</f>
        <v/>
      </c>
      <c r="N828" s="23">
        <f>($G828-$M828)*100</f>
        <v/>
      </c>
      <c r="O828" s="15">
        <f>($E828-$C828)*100</f>
        <v/>
      </c>
      <c r="P828" s="15">
        <f>($G828-$E828)*100</f>
        <v/>
      </c>
      <c r="Q828" s="15">
        <f>($G828-$C828)*100</f>
        <v/>
      </c>
      <c r="R828" s="15">
        <f>IF($H828="","",($H828-$F828)*100)</f>
        <v/>
      </c>
      <c r="S828" s="15">
        <f>IF($H828="","",($H828-$G828)*100)</f>
        <v/>
      </c>
    </row>
    <row r="829">
      <c r="A829" s="11" t="n">
        <v>42286</v>
      </c>
      <c r="B829" s="22" t="n">
        <v>0.002</v>
      </c>
      <c r="C829" s="22" t="n">
        <v>0.005</v>
      </c>
      <c r="D829" s="22" t="n">
        <v>0.062</v>
      </c>
      <c r="E829" s="22" t="n">
        <v>0.326</v>
      </c>
      <c r="F829" s="22" t="n">
        <v>1.094</v>
      </c>
      <c r="G829" s="22" t="n">
        <v>1.349</v>
      </c>
      <c r="H829" s="22" t="n">
        <v>1.478</v>
      </c>
      <c r="I829" s="22" t="n">
        <v>2.94</v>
      </c>
      <c r="J829" s="22" t="n">
        <v>0.28</v>
      </c>
      <c r="K829" s="22" t="n">
        <v>2.12</v>
      </c>
      <c r="L829" s="17">
        <f>$J829-$B829</f>
        <v/>
      </c>
      <c r="M829" s="17">
        <f>$I829-$L829</f>
        <v/>
      </c>
      <c r="N829" s="23">
        <f>($G829-$M829)*100</f>
        <v/>
      </c>
      <c r="O829" s="15">
        <f>($E829-$C829)*100</f>
        <v/>
      </c>
      <c r="P829" s="15">
        <f>($G829-$E829)*100</f>
        <v/>
      </c>
      <c r="Q829" s="15">
        <f>($G829-$C829)*100</f>
        <v/>
      </c>
      <c r="R829" s="15">
        <f>IF($H829="","",($H829-$F829)*100)</f>
        <v/>
      </c>
      <c r="S829" s="15">
        <f>IF($H829="","",($H829-$G829)*100)</f>
        <v/>
      </c>
    </row>
    <row r="830">
      <c r="A830" s="11" t="n">
        <v>42293</v>
      </c>
      <c r="B830" s="22" t="n">
        <v>0</v>
      </c>
      <c r="C830" s="22" t="n">
        <v>0.01</v>
      </c>
      <c r="D830" s="22" t="n">
        <v>0.057</v>
      </c>
      <c r="E830" s="22" t="n">
        <v>0.323</v>
      </c>
      <c r="F830" s="22" t="n">
        <v>1.09</v>
      </c>
      <c r="G830" s="22" t="n">
        <v>1.35</v>
      </c>
      <c r="H830" s="22" t="n">
        <v>1.486</v>
      </c>
      <c r="I830" s="22" t="n">
        <v>2.87</v>
      </c>
      <c r="J830" s="22" t="n">
        <v>0.23</v>
      </c>
      <c r="K830" s="22" t="n">
        <v>2.04</v>
      </c>
      <c r="L830" s="17">
        <f>$J830-$B830</f>
        <v/>
      </c>
      <c r="M830" s="17">
        <f>$I830-$L830</f>
        <v/>
      </c>
      <c r="N830" s="23">
        <f>($G830-$M830)*100</f>
        <v/>
      </c>
      <c r="O830" s="15">
        <f>($E830-$C830)*100</f>
        <v/>
      </c>
      <c r="P830" s="15">
        <f>($G830-$E830)*100</f>
        <v/>
      </c>
      <c r="Q830" s="15">
        <f>($G830-$C830)*100</f>
        <v/>
      </c>
      <c r="R830" s="15">
        <f>IF($H830="","",($H830-$F830)*100)</f>
        <v/>
      </c>
      <c r="S830" s="15">
        <f>IF($H830="","",($H830-$G830)*100)</f>
        <v/>
      </c>
    </row>
    <row r="831">
      <c r="A831" s="11" t="n">
        <v>42300</v>
      </c>
      <c r="B831" s="22" t="n">
        <v>-0.001</v>
      </c>
      <c r="C831" s="22" t="n">
        <v>0.008999999999999999</v>
      </c>
      <c r="D831" s="22" t="n">
        <v>0.049</v>
      </c>
      <c r="E831" s="22" t="n">
        <v>0.309</v>
      </c>
      <c r="F831" s="22" t="n">
        <v>1.082</v>
      </c>
      <c r="G831" s="22" t="n">
        <v>1.346</v>
      </c>
      <c r="H831" s="22" t="n">
        <v>1.483</v>
      </c>
      <c r="I831" s="22" t="n">
        <v>2.9</v>
      </c>
      <c r="J831" s="22" t="n">
        <v>0.24</v>
      </c>
      <c r="K831" s="22" t="n">
        <v>2.09</v>
      </c>
      <c r="L831" s="17">
        <f>$J831-$B831</f>
        <v/>
      </c>
      <c r="M831" s="17">
        <f>$I831-$L831</f>
        <v/>
      </c>
      <c r="N831" s="23">
        <f>($G831-$M831)*100</f>
        <v/>
      </c>
      <c r="O831" s="15">
        <f>($E831-$C831)*100</f>
        <v/>
      </c>
      <c r="P831" s="15">
        <f>($G831-$E831)*100</f>
        <v/>
      </c>
      <c r="Q831" s="15">
        <f>($G831-$C831)*100</f>
        <v/>
      </c>
      <c r="R831" s="15">
        <f>IF($H831="","",($H831-$F831)*100)</f>
        <v/>
      </c>
      <c r="S831" s="15">
        <f>IF($H831="","",($H831-$G831)*100)</f>
        <v/>
      </c>
    </row>
    <row r="832">
      <c r="A832" s="11" t="n">
        <v>42307</v>
      </c>
      <c r="B832" s="22" t="n">
        <v>-0.001</v>
      </c>
      <c r="C832" s="22" t="n">
        <v>0.002</v>
      </c>
      <c r="D832" s="22" t="n">
        <v>0.039</v>
      </c>
      <c r="E832" s="22" t="n">
        <v>0.306</v>
      </c>
      <c r="F832" s="22" t="n">
        <v>1.08</v>
      </c>
      <c r="G832" s="22" t="n">
        <v>1.35</v>
      </c>
      <c r="H832" s="22" t="n">
        <v>1.479</v>
      </c>
      <c r="I832" s="22" t="n">
        <v>2.93</v>
      </c>
      <c r="J832" s="22" t="n">
        <v>0.34</v>
      </c>
      <c r="K832" s="22" t="n">
        <v>2.16</v>
      </c>
      <c r="L832" s="17">
        <f>$J832-$B832</f>
        <v/>
      </c>
      <c r="M832" s="17">
        <f>$I832-$L832</f>
        <v/>
      </c>
      <c r="N832" s="23">
        <f>($G832-$M832)*100</f>
        <v/>
      </c>
      <c r="O832" s="15">
        <f>($E832-$C832)*100</f>
        <v/>
      </c>
      <c r="P832" s="15">
        <f>($G832-$E832)*100</f>
        <v/>
      </c>
      <c r="Q832" s="15">
        <f>($G832-$C832)*100</f>
        <v/>
      </c>
      <c r="R832" s="15">
        <f>IF($H832="","",($H832-$F832)*100)</f>
        <v/>
      </c>
      <c r="S832" s="15">
        <f>IF($H832="","",($H832-$G832)*100)</f>
        <v/>
      </c>
    </row>
    <row r="833">
      <c r="A833" s="11" t="n">
        <v>42314</v>
      </c>
      <c r="B833" s="22" t="n">
        <v>0.003</v>
      </c>
      <c r="C833" s="22" t="n">
        <v>0</v>
      </c>
      <c r="D833" s="22" t="n">
        <v>0.043</v>
      </c>
      <c r="E833" s="22" t="n">
        <v>0.327</v>
      </c>
      <c r="F833" s="22" t="n">
        <v>1.1</v>
      </c>
      <c r="G833" s="22" t="n">
        <v>1.377</v>
      </c>
      <c r="H833" s="22" t="n">
        <v>1.503</v>
      </c>
      <c r="I833" s="22" t="n">
        <v>3.09</v>
      </c>
      <c r="J833" s="22" t="n">
        <v>0.47</v>
      </c>
      <c r="K833" s="22" t="n">
        <v>2.34</v>
      </c>
      <c r="L833" s="17">
        <f>$J833-$B833</f>
        <v/>
      </c>
      <c r="M833" s="17">
        <f>$I833-$L833</f>
        <v/>
      </c>
      <c r="N833" s="23">
        <f>($G833-$M833)*100</f>
        <v/>
      </c>
      <c r="O833" s="15">
        <f>($E833-$C833)*100</f>
        <v/>
      </c>
      <c r="P833" s="15">
        <f>($G833-$E833)*100</f>
        <v/>
      </c>
      <c r="Q833" s="15">
        <f>($G833-$C833)*100</f>
        <v/>
      </c>
      <c r="R833" s="15">
        <f>IF($H833="","",($H833-$F833)*100)</f>
        <v/>
      </c>
      <c r="S833" s="15">
        <f>IF($H833="","",($H833-$G833)*100)</f>
        <v/>
      </c>
    </row>
    <row r="834">
      <c r="A834" s="11" t="n">
        <v>42321</v>
      </c>
      <c r="B834" s="22" t="n">
        <v>0</v>
      </c>
      <c r="C834" s="22" t="n">
        <v>-0.005</v>
      </c>
      <c r="D834" s="22" t="n">
        <v>0.039</v>
      </c>
      <c r="E834" s="22" t="n">
        <v>0.314</v>
      </c>
      <c r="F834" s="22" t="n">
        <v>1.095</v>
      </c>
      <c r="G834" s="22" t="n">
        <v>1.394</v>
      </c>
      <c r="H834" s="22" t="n">
        <v>1.527</v>
      </c>
      <c r="I834" s="22" t="n">
        <v>3.06</v>
      </c>
      <c r="J834" s="22" t="n">
        <v>0.5</v>
      </c>
      <c r="K834" s="22" t="n">
        <v>2.28</v>
      </c>
      <c r="L834" s="17">
        <f>$J834-$B834</f>
        <v/>
      </c>
      <c r="M834" s="17">
        <f>$I834-$L834</f>
        <v/>
      </c>
      <c r="N834" s="23">
        <f>($G834-$M834)*100</f>
        <v/>
      </c>
      <c r="O834" s="15">
        <f>($E834-$C834)*100</f>
        <v/>
      </c>
      <c r="P834" s="15">
        <f>($G834-$E834)*100</f>
        <v/>
      </c>
      <c r="Q834" s="15">
        <f>($G834-$C834)*100</f>
        <v/>
      </c>
      <c r="R834" s="15">
        <f>IF($H834="","",($H834-$F834)*100)</f>
        <v/>
      </c>
      <c r="S834" s="15">
        <f>IF($H834="","",($H834-$G834)*100)</f>
        <v/>
      </c>
    </row>
    <row r="835">
      <c r="A835" s="11" t="n">
        <v>42328</v>
      </c>
      <c r="B835" s="22" t="n">
        <v>-0.022</v>
      </c>
      <c r="C835" s="22" t="n">
        <v>-0.026</v>
      </c>
      <c r="D835" s="22" t="n">
        <v>0.039</v>
      </c>
      <c r="E835" s="22" t="n">
        <v>0.325</v>
      </c>
      <c r="F835" s="22" t="n">
        <v>1.099</v>
      </c>
      <c r="G835" s="22" t="n">
        <v>1.399</v>
      </c>
      <c r="H835" s="22" t="n">
        <v>1.535</v>
      </c>
      <c r="I835" s="22" t="n">
        <v>3.02</v>
      </c>
      <c r="J835" s="22" t="n">
        <v>0.49</v>
      </c>
      <c r="K835" s="22" t="n">
        <v>2.26</v>
      </c>
      <c r="L835" s="17">
        <f>$J835-$B835</f>
        <v/>
      </c>
      <c r="M835" s="17">
        <f>$I835-$L835</f>
        <v/>
      </c>
      <c r="N835" s="23">
        <f>($G835-$M835)*100</f>
        <v/>
      </c>
      <c r="O835" s="15">
        <f>($E835-$C835)*100</f>
        <v/>
      </c>
      <c r="P835" s="15">
        <f>($G835-$E835)*100</f>
        <v/>
      </c>
      <c r="Q835" s="15">
        <f>($G835-$C835)*100</f>
        <v/>
      </c>
      <c r="R835" s="15">
        <f>IF($H835="","",($H835-$F835)*100)</f>
        <v/>
      </c>
      <c r="S835" s="15">
        <f>IF($H835="","",($H835-$G835)*100)</f>
        <v/>
      </c>
    </row>
    <row r="836">
      <c r="A836" s="11" t="n">
        <v>42335</v>
      </c>
      <c r="B836" s="22" t="n">
        <v>-0.014</v>
      </c>
      <c r="C836" s="22" t="n">
        <v>-0.008</v>
      </c>
      <c r="D836" s="22" t="n">
        <v>0.04</v>
      </c>
      <c r="E836" s="22" t="n">
        <v>0.316</v>
      </c>
      <c r="F836" s="22" t="n">
        <v>1.081</v>
      </c>
      <c r="G836" s="22" t="n">
        <v>1.381</v>
      </c>
      <c r="H836" s="22" t="n">
        <v>1.512</v>
      </c>
      <c r="I836" s="22" t="n">
        <v>3</v>
      </c>
      <c r="J836" s="22" t="n">
        <v>0.5</v>
      </c>
      <c r="K836" s="22" t="n">
        <v>2.22</v>
      </c>
      <c r="L836" s="17">
        <f>$J836-$B836</f>
        <v/>
      </c>
      <c r="M836" s="17">
        <f>$I836-$L836</f>
        <v/>
      </c>
      <c r="N836" s="23">
        <f>($G836-$M836)*100</f>
        <v/>
      </c>
      <c r="O836" s="15">
        <f>($E836-$C836)*100</f>
        <v/>
      </c>
      <c r="P836" s="15">
        <f>($G836-$E836)*100</f>
        <v/>
      </c>
      <c r="Q836" s="15">
        <f>($G836-$C836)*100</f>
        <v/>
      </c>
      <c r="R836" s="15">
        <f>IF($H836="","",($H836-$F836)*100)</f>
        <v/>
      </c>
      <c r="S836" s="15">
        <f>IF($H836="","",($H836-$G836)*100)</f>
        <v/>
      </c>
    </row>
    <row r="837">
      <c r="A837" s="11" t="n">
        <v>42342</v>
      </c>
      <c r="B837" s="22" t="n">
        <v>-0.026</v>
      </c>
      <c r="C837" s="22" t="n">
        <v>-0.025</v>
      </c>
      <c r="D837" s="22" t="n">
        <v>0.045</v>
      </c>
      <c r="E837" s="22" t="n">
        <v>0.323</v>
      </c>
      <c r="F837" s="22" t="n">
        <v>1.092</v>
      </c>
      <c r="G837" s="22" t="n">
        <v>1.404</v>
      </c>
      <c r="H837" s="22" t="n">
        <v>1.528</v>
      </c>
      <c r="I837" s="22" t="n">
        <v>3.01</v>
      </c>
      <c r="J837" s="22" t="n">
        <v>0.6</v>
      </c>
      <c r="K837" s="22" t="n">
        <v>2.28</v>
      </c>
      <c r="L837" s="17">
        <f>$J837-$B837</f>
        <v/>
      </c>
      <c r="M837" s="17">
        <f>$I837-$L837</f>
        <v/>
      </c>
      <c r="N837" s="23">
        <f>($G837-$M837)*100</f>
        <v/>
      </c>
      <c r="O837" s="15">
        <f>($E837-$C837)*100</f>
        <v/>
      </c>
      <c r="P837" s="15">
        <f>($G837-$E837)*100</f>
        <v/>
      </c>
      <c r="Q837" s="15">
        <f>($G837-$C837)*100</f>
        <v/>
      </c>
      <c r="R837" s="15">
        <f>IF($H837="","",($H837-$F837)*100)</f>
        <v/>
      </c>
      <c r="S837" s="15">
        <f>IF($H837="","",($H837-$G837)*100)</f>
        <v/>
      </c>
    </row>
    <row r="838">
      <c r="A838" s="11" t="n">
        <v>42349</v>
      </c>
      <c r="B838" s="22" t="n">
        <v>-0.029</v>
      </c>
      <c r="C838" s="22" t="n">
        <v>-0.03</v>
      </c>
      <c r="D838" s="22" t="n">
        <v>0.046</v>
      </c>
      <c r="E838" s="22" t="n">
        <v>0.308</v>
      </c>
      <c r="F838" s="22" t="n">
        <v>1.063</v>
      </c>
      <c r="G838" s="22" t="n">
        <v>1.365</v>
      </c>
      <c r="H838" s="22" t="n">
        <v>1.493</v>
      </c>
      <c r="I838" s="22" t="n">
        <v>2.87</v>
      </c>
      <c r="J838" s="22" t="n">
        <v>0.68</v>
      </c>
      <c r="K838" s="22" t="n">
        <v>2.13</v>
      </c>
      <c r="L838" s="17">
        <f>$J838-$B838</f>
        <v/>
      </c>
      <c r="M838" s="17">
        <f>$I838-$L838</f>
        <v/>
      </c>
      <c r="N838" s="23">
        <f>($G838-$M838)*100</f>
        <v/>
      </c>
      <c r="O838" s="15">
        <f>($E838-$C838)*100</f>
        <v/>
      </c>
      <c r="P838" s="15">
        <f>($G838-$E838)*100</f>
        <v/>
      </c>
      <c r="Q838" s="15">
        <f>($G838-$C838)*100</f>
        <v/>
      </c>
      <c r="R838" s="15">
        <f>IF($H838="","",($H838-$F838)*100)</f>
        <v/>
      </c>
      <c r="S838" s="15">
        <f>IF($H838="","",($H838-$G838)*100)</f>
        <v/>
      </c>
    </row>
    <row r="839">
      <c r="A839" s="11" t="n">
        <v>42356</v>
      </c>
      <c r="B839" s="22" t="n">
        <v>-0.041</v>
      </c>
      <c r="C839" s="22" t="n">
        <v>-0.05</v>
      </c>
      <c r="D839" s="22" t="n">
        <v>0.036</v>
      </c>
      <c r="E839" s="22" t="n">
        <v>0.265</v>
      </c>
      <c r="F839" s="22" t="n">
        <v>0.995</v>
      </c>
      <c r="G839" s="22" t="n">
        <v>1.291</v>
      </c>
      <c r="H839" s="22" t="n">
        <v>1.417</v>
      </c>
      <c r="I839" s="22" t="n">
        <v>2.9</v>
      </c>
      <c r="J839" s="22" t="n">
        <v>0.67</v>
      </c>
      <c r="K839" s="22" t="n">
        <v>2.19</v>
      </c>
      <c r="L839" s="17">
        <f>$J839-$B839</f>
        <v/>
      </c>
      <c r="M839" s="17">
        <f>$I839-$L839</f>
        <v/>
      </c>
      <c r="N839" s="23">
        <f>($G839-$M839)*100</f>
        <v/>
      </c>
      <c r="O839" s="15">
        <f>($E839-$C839)*100</f>
        <v/>
      </c>
      <c r="P839" s="15">
        <f>($G839-$E839)*100</f>
        <v/>
      </c>
      <c r="Q839" s="15">
        <f>($G839-$C839)*100</f>
        <v/>
      </c>
      <c r="R839" s="15">
        <f>IF($H839="","",($H839-$F839)*100)</f>
        <v/>
      </c>
      <c r="S839" s="15">
        <f>IF($H839="","",($H839-$G839)*100)</f>
        <v/>
      </c>
    </row>
    <row r="840">
      <c r="A840" s="11" t="n">
        <v>42363</v>
      </c>
      <c r="B840" s="22" t="n">
        <v>-0.045</v>
      </c>
      <c r="C840" s="22" t="n">
        <v>-0.039</v>
      </c>
      <c r="D840" s="22" t="n">
        <v>0.042</v>
      </c>
      <c r="E840" s="22" t="n">
        <v>0.277</v>
      </c>
      <c r="F840" s="22" t="n">
        <v>1.01</v>
      </c>
      <c r="G840" s="22" t="n">
        <v>1.282</v>
      </c>
      <c r="H840" s="22" t="n">
        <v>1.397</v>
      </c>
      <c r="I840" s="22" t="n">
        <v>2.96</v>
      </c>
      <c r="J840" s="22" t="n">
        <v>0.64</v>
      </c>
      <c r="K840" s="22" t="n">
        <v>2.25</v>
      </c>
      <c r="L840" s="17">
        <f>$J840-$B840</f>
        <v/>
      </c>
      <c r="M840" s="17">
        <f>$I840-$L840</f>
        <v/>
      </c>
      <c r="N840" s="23">
        <f>($G840-$M840)*100</f>
        <v/>
      </c>
      <c r="O840" s="15">
        <f>($E840-$C840)*100</f>
        <v/>
      </c>
      <c r="P840" s="15">
        <f>($G840-$E840)*100</f>
        <v/>
      </c>
      <c r="Q840" s="15">
        <f>($G840-$C840)*100</f>
        <v/>
      </c>
      <c r="R840" s="15">
        <f>IF($H840="","",($H840-$F840)*100)</f>
        <v/>
      </c>
      <c r="S840" s="15">
        <f>IF($H840="","",($H840-$G840)*100)</f>
        <v/>
      </c>
    </row>
    <row r="841">
      <c r="A841" s="11" t="n">
        <v>42370</v>
      </c>
      <c r="B841" s="22" t="n">
        <v>-0.043</v>
      </c>
      <c r="C841" s="22" t="n">
        <v>-0.033</v>
      </c>
      <c r="D841" s="22" t="n">
        <v>0.032</v>
      </c>
      <c r="E841" s="22" t="n">
        <v>0.267</v>
      </c>
      <c r="F841" s="22" t="n">
        <v>0.997</v>
      </c>
      <c r="G841" s="22" t="n">
        <v>1.282</v>
      </c>
      <c r="H841" s="22" t="n">
        <v>1.406</v>
      </c>
      <c r="I841" s="22" t="n">
        <v>3.01</v>
      </c>
      <c r="J841" s="22" t="n">
        <v>0.65</v>
      </c>
      <c r="K841" s="22" t="n">
        <v>2.27</v>
      </c>
      <c r="L841" s="17">
        <f>$J841-$B841</f>
        <v/>
      </c>
      <c r="M841" s="17">
        <f>$I841-$L841</f>
        <v/>
      </c>
      <c r="N841" s="23">
        <f>($G841-$M841)*100</f>
        <v/>
      </c>
      <c r="O841" s="15">
        <f>($E841-$C841)*100</f>
        <v/>
      </c>
      <c r="P841" s="15">
        <f>($G841-$E841)*100</f>
        <v/>
      </c>
      <c r="Q841" s="15">
        <f>($G841-$C841)*100</f>
        <v/>
      </c>
      <c r="R841" s="15">
        <f>IF($H841="","",($H841-$F841)*100)</f>
        <v/>
      </c>
      <c r="S841" s="15">
        <f>IF($H841="","",($H841-$G841)*100)</f>
        <v/>
      </c>
    </row>
    <row r="842">
      <c r="A842" s="11" t="n">
        <v>42377</v>
      </c>
      <c r="B842" s="22" t="n">
        <v>-0.045</v>
      </c>
      <c r="C842" s="22" t="n">
        <v>-0.031</v>
      </c>
      <c r="D842" s="22" t="n">
        <v>0.016</v>
      </c>
      <c r="E842" s="22" t="n">
        <v>0.23</v>
      </c>
      <c r="F842" s="22" t="n">
        <v>0.9389999999999999</v>
      </c>
      <c r="G842" s="22" t="n">
        <v>1.22</v>
      </c>
      <c r="H842" s="22" t="n">
        <v>1.346</v>
      </c>
      <c r="I842" s="22" t="n">
        <v>2.91</v>
      </c>
      <c r="J842" s="22" t="n">
        <v>0.64</v>
      </c>
      <c r="K842" s="22" t="n">
        <v>2.13</v>
      </c>
      <c r="L842" s="17">
        <f>$J842-$B842</f>
        <v/>
      </c>
      <c r="M842" s="17">
        <f>$I842-$L842</f>
        <v/>
      </c>
      <c r="N842" s="23">
        <f>($G842-$M842)*100</f>
        <v/>
      </c>
      <c r="O842" s="15">
        <f>($E842-$C842)*100</f>
        <v/>
      </c>
      <c r="P842" s="15">
        <f>($G842-$E842)*100</f>
        <v/>
      </c>
      <c r="Q842" s="15">
        <f>($G842-$C842)*100</f>
        <v/>
      </c>
      <c r="R842" s="15">
        <f>IF($H842="","",($H842-$F842)*100)</f>
        <v/>
      </c>
      <c r="S842" s="15">
        <f>IF($H842="","",($H842-$G842)*100)</f>
        <v/>
      </c>
    </row>
    <row r="843">
      <c r="A843" s="11" t="n">
        <v>42384</v>
      </c>
      <c r="B843" s="22" t="n">
        <v>-0.05</v>
      </c>
      <c r="C843" s="22" t="n">
        <v>-0.03</v>
      </c>
      <c r="D843" s="22" t="n">
        <v>0.017</v>
      </c>
      <c r="E843" s="22" t="n">
        <v>0.221</v>
      </c>
      <c r="F843" s="22" t="n">
        <v>0.956</v>
      </c>
      <c r="G843" s="22" t="n">
        <v>1.252</v>
      </c>
      <c r="H843" s="22" t="n">
        <v>1.382</v>
      </c>
      <c r="I843" s="22" t="n">
        <v>2.81</v>
      </c>
      <c r="J843" s="22" t="n">
        <v>0.49</v>
      </c>
      <c r="K843" s="22" t="n">
        <v>2.03</v>
      </c>
      <c r="L843" s="17">
        <f>$J843-$B843</f>
        <v/>
      </c>
      <c r="M843" s="17">
        <f>$I843-$L843</f>
        <v/>
      </c>
      <c r="N843" s="23">
        <f>($G843-$M843)*100</f>
        <v/>
      </c>
      <c r="O843" s="15">
        <f>($E843-$C843)*100</f>
        <v/>
      </c>
      <c r="P843" s="15">
        <f>($G843-$E843)*100</f>
        <v/>
      </c>
      <c r="Q843" s="15">
        <f>($G843-$C843)*100</f>
        <v/>
      </c>
      <c r="R843" s="15">
        <f>IF($H843="","",($H843-$F843)*100)</f>
        <v/>
      </c>
      <c r="S843" s="15">
        <f>IF($H843="","",($H843-$G843)*100)</f>
        <v/>
      </c>
    </row>
    <row r="844">
      <c r="A844" s="11" t="n">
        <v>42391</v>
      </c>
      <c r="B844" s="22" t="n">
        <v>-0.022</v>
      </c>
      <c r="C844" s="22" t="n">
        <v>-0.021</v>
      </c>
      <c r="D844" s="22" t="n">
        <v>0.017</v>
      </c>
      <c r="E844" s="22" t="n">
        <v>0.237</v>
      </c>
      <c r="F844" s="22" t="n">
        <v>0.9320000000000001</v>
      </c>
      <c r="G844" s="22" t="n">
        <v>1.208</v>
      </c>
      <c r="H844" s="22" t="n">
        <v>1.342</v>
      </c>
      <c r="I844" s="22" t="n">
        <v>2.83</v>
      </c>
      <c r="J844" s="22" t="n">
        <v>0.47</v>
      </c>
      <c r="K844" s="22" t="n">
        <v>2.07</v>
      </c>
      <c r="L844" s="17">
        <f>$J844-$B844</f>
        <v/>
      </c>
      <c r="M844" s="17">
        <f>$I844-$L844</f>
        <v/>
      </c>
      <c r="N844" s="23">
        <f>($G844-$M844)*100</f>
        <v/>
      </c>
      <c r="O844" s="15">
        <f>($E844-$C844)*100</f>
        <v/>
      </c>
      <c r="P844" s="15">
        <f>($G844-$E844)*100</f>
        <v/>
      </c>
      <c r="Q844" s="15">
        <f>($G844-$C844)*100</f>
        <v/>
      </c>
      <c r="R844" s="15">
        <f>IF($H844="","",($H844-$F844)*100)</f>
        <v/>
      </c>
      <c r="S844" s="15">
        <f>IF($H844="","",($H844-$G844)*100)</f>
        <v/>
      </c>
    </row>
    <row r="845">
      <c r="A845" s="11" t="n">
        <v>42398</v>
      </c>
      <c r="B845" s="22" t="n">
        <v>-0.068</v>
      </c>
      <c r="C845" s="22" t="n">
        <v>-0.083</v>
      </c>
      <c r="D845" s="22" t="n">
        <v>-0.07099999999999999</v>
      </c>
      <c r="E845" s="22" t="n">
        <v>0.104</v>
      </c>
      <c r="F845" s="22" t="n">
        <v>0.833</v>
      </c>
      <c r="G845" s="22" t="n">
        <v>1.103</v>
      </c>
      <c r="H845" s="22" t="n">
        <v>1.235</v>
      </c>
      <c r="I845" s="22" t="n">
        <v>2.75</v>
      </c>
      <c r="J845" s="22" t="n">
        <v>0.47</v>
      </c>
      <c r="K845" s="22" t="n">
        <v>1.94</v>
      </c>
      <c r="L845" s="17">
        <f>$J845-$B845</f>
        <v/>
      </c>
      <c r="M845" s="17">
        <f>$I845-$L845</f>
        <v/>
      </c>
      <c r="N845" s="23">
        <f>($G845-$M845)*100</f>
        <v/>
      </c>
      <c r="O845" s="15">
        <f>($E845-$C845)*100</f>
        <v/>
      </c>
      <c r="P845" s="15">
        <f>($G845-$E845)*100</f>
        <v/>
      </c>
      <c r="Q845" s="15">
        <f>($G845-$C845)*100</f>
        <v/>
      </c>
      <c r="R845" s="15">
        <f>IF($H845="","",($H845-$F845)*100)</f>
        <v/>
      </c>
      <c r="S845" s="15">
        <f>IF($H845="","",($H845-$G845)*100)</f>
        <v/>
      </c>
    </row>
    <row r="846">
      <c r="A846" s="11" t="n">
        <v>42405</v>
      </c>
      <c r="B846" s="22" t="n">
        <v>-0.183</v>
      </c>
      <c r="C846" s="22" t="n">
        <v>-0.193</v>
      </c>
      <c r="D846" s="22" t="n">
        <v>-0.186</v>
      </c>
      <c r="E846" s="22" t="n">
        <v>0.036</v>
      </c>
      <c r="F846" s="22" t="n">
        <v>0.785</v>
      </c>
      <c r="G846" s="22" t="n">
        <v>1.11</v>
      </c>
      <c r="H846" s="22" t="n">
        <v>1.243</v>
      </c>
      <c r="I846" s="22" t="n">
        <v>2.68</v>
      </c>
      <c r="J846" s="22" t="n">
        <v>0.55</v>
      </c>
      <c r="K846" s="22" t="n">
        <v>1.86</v>
      </c>
      <c r="L846" s="17">
        <f>$J846-$B846</f>
        <v/>
      </c>
      <c r="M846" s="17">
        <f>$I846-$L846</f>
        <v/>
      </c>
      <c r="N846" s="23">
        <f>($G846-$M846)*100</f>
        <v/>
      </c>
      <c r="O846" s="15">
        <f>($E846-$C846)*100</f>
        <v/>
      </c>
      <c r="P846" s="15">
        <f>($G846-$E846)*100</f>
        <v/>
      </c>
      <c r="Q846" s="15">
        <f>($G846-$C846)*100</f>
        <v/>
      </c>
      <c r="R846" s="15">
        <f>IF($H846="","",($H846-$F846)*100)</f>
        <v/>
      </c>
      <c r="S846" s="15">
        <f>IF($H846="","",($H846-$G846)*100)</f>
        <v/>
      </c>
    </row>
    <row r="847">
      <c r="A847" s="11" t="n">
        <v>42412</v>
      </c>
      <c r="B847" s="22" t="n">
        <v>-0.177</v>
      </c>
      <c r="C847" s="22" t="n">
        <v>-0.164</v>
      </c>
      <c r="D847" s="22" t="n">
        <v>-0.147</v>
      </c>
      <c r="E847" s="22" t="n">
        <v>0.08599999999999999</v>
      </c>
      <c r="F847" s="22" t="n">
        <v>0.824</v>
      </c>
      <c r="G847" s="22" t="n">
        <v>1.177</v>
      </c>
      <c r="H847" s="22" t="n">
        <v>1.31</v>
      </c>
      <c r="I847" s="22" t="n">
        <v>2.6</v>
      </c>
      <c r="J847" s="22" t="n">
        <v>0.51</v>
      </c>
      <c r="K847" s="22" t="n">
        <v>1.74</v>
      </c>
      <c r="L847" s="17">
        <f>$J847-$B847</f>
        <v/>
      </c>
      <c r="M847" s="17">
        <f>$I847-$L847</f>
        <v/>
      </c>
      <c r="N847" s="23">
        <f>($G847-$M847)*100</f>
        <v/>
      </c>
      <c r="O847" s="15">
        <f>($E847-$C847)*100</f>
        <v/>
      </c>
      <c r="P847" s="15">
        <f>($G847-$E847)*100</f>
        <v/>
      </c>
      <c r="Q847" s="15">
        <f>($G847-$C847)*100</f>
        <v/>
      </c>
      <c r="R847" s="15">
        <f>IF($H847="","",($H847-$F847)*100)</f>
        <v/>
      </c>
      <c r="S847" s="15">
        <f>IF($H847="","",($H847-$G847)*100)</f>
        <v/>
      </c>
    </row>
    <row r="848">
      <c r="A848" s="11" t="n">
        <v>42419</v>
      </c>
      <c r="B848" s="22" t="n">
        <v>-0.201</v>
      </c>
      <c r="C848" s="22" t="n">
        <v>-0.212</v>
      </c>
      <c r="D848" s="22" t="n">
        <v>-0.169</v>
      </c>
      <c r="E848" s="22" t="n">
        <v>0.016</v>
      </c>
      <c r="F848" s="22" t="n">
        <v>0.738</v>
      </c>
      <c r="G848" s="22" t="n">
        <v>1.062</v>
      </c>
      <c r="H848" s="22" t="n">
        <v>1.21</v>
      </c>
      <c r="I848" s="22" t="n">
        <v>2.61</v>
      </c>
      <c r="J848" s="22" t="n">
        <v>0.53</v>
      </c>
      <c r="K848" s="22" t="n">
        <v>1.76</v>
      </c>
      <c r="L848" s="17">
        <f>$J848-$B848</f>
        <v/>
      </c>
      <c r="M848" s="17">
        <f>$I848-$L848</f>
        <v/>
      </c>
      <c r="N848" s="23">
        <f>($G848-$M848)*100</f>
        <v/>
      </c>
      <c r="O848" s="15">
        <f>($E848-$C848)*100</f>
        <v/>
      </c>
      <c r="P848" s="15">
        <f>($G848-$E848)*100</f>
        <v/>
      </c>
      <c r="Q848" s="15">
        <f>($G848-$C848)*100</f>
        <v/>
      </c>
      <c r="R848" s="15">
        <f>IF($H848="","",($H848-$F848)*100)</f>
        <v/>
      </c>
      <c r="S848" s="15">
        <f>IF($H848="","",($H848-$G848)*100)</f>
        <v/>
      </c>
    </row>
    <row r="849">
      <c r="A849" s="11" t="n">
        <v>42426</v>
      </c>
      <c r="B849" s="22" t="n">
        <v>-0.217</v>
      </c>
      <c r="C849" s="22" t="n">
        <v>-0.236</v>
      </c>
      <c r="D849" s="22" t="n">
        <v>-0.218</v>
      </c>
      <c r="E849" s="22" t="n">
        <v>-0.055</v>
      </c>
      <c r="F849" s="22" t="n">
        <v>0.58</v>
      </c>
      <c r="G849" s="22" t="n">
        <v>0.907</v>
      </c>
      <c r="H849" s="22" t="n">
        <v>1.043</v>
      </c>
      <c r="I849" s="22" t="n">
        <v>2.63</v>
      </c>
      <c r="J849" s="22" t="n">
        <v>0.6</v>
      </c>
      <c r="K849" s="22" t="n">
        <v>1.76</v>
      </c>
      <c r="L849" s="17">
        <f>$J849-$B849</f>
        <v/>
      </c>
      <c r="M849" s="17">
        <f>$I849-$L849</f>
        <v/>
      </c>
      <c r="N849" s="23">
        <f>($G849-$M849)*100</f>
        <v/>
      </c>
      <c r="O849" s="15">
        <f>($E849-$C849)*100</f>
        <v/>
      </c>
      <c r="P849" s="15">
        <f>($G849-$E849)*100</f>
        <v/>
      </c>
      <c r="Q849" s="15">
        <f>($G849-$C849)*100</f>
        <v/>
      </c>
      <c r="R849" s="15">
        <f>IF($H849="","",($H849-$F849)*100)</f>
        <v/>
      </c>
      <c r="S849" s="15">
        <f>IF($H849="","",($H849-$G849)*100)</f>
        <v/>
      </c>
    </row>
    <row r="850">
      <c r="A850" s="11" t="n">
        <v>42433</v>
      </c>
      <c r="B850" s="22" t="n">
        <v>-0.183</v>
      </c>
      <c r="C850" s="22" t="n">
        <v>-0.203</v>
      </c>
      <c r="D850" s="22" t="n">
        <v>-0.184</v>
      </c>
      <c r="E850" s="22" t="n">
        <v>-0.042</v>
      </c>
      <c r="F850" s="22" t="n">
        <v>0.467</v>
      </c>
      <c r="G850" s="22" t="n">
        <v>0.777</v>
      </c>
      <c r="H850" s="22" t="n">
        <v>0.902</v>
      </c>
      <c r="I850" s="22" t="n">
        <v>2.7</v>
      </c>
      <c r="J850" s="22" t="n">
        <v>0.67</v>
      </c>
      <c r="K850" s="22" t="n">
        <v>1.88</v>
      </c>
      <c r="L850" s="17">
        <f>$J850-$B850</f>
        <v/>
      </c>
      <c r="M850" s="17">
        <f>$I850-$L850</f>
        <v/>
      </c>
      <c r="N850" s="23">
        <f>($G850-$M850)*100</f>
        <v/>
      </c>
      <c r="O850" s="15">
        <f>($E850-$C850)*100</f>
        <v/>
      </c>
      <c r="P850" s="15">
        <f>($G850-$E850)*100</f>
        <v/>
      </c>
      <c r="Q850" s="15">
        <f>($G850-$C850)*100</f>
        <v/>
      </c>
      <c r="R850" s="15">
        <f>IF($H850="","",($H850-$F850)*100)</f>
        <v/>
      </c>
      <c r="S850" s="15">
        <f>IF($H850="","",($H850-$G850)*100)</f>
        <v/>
      </c>
    </row>
    <row r="851">
      <c r="A851" s="11" t="n">
        <v>42440</v>
      </c>
      <c r="B851" s="22" t="n">
        <v>-0.134</v>
      </c>
      <c r="C851" s="22" t="n">
        <v>-0.163</v>
      </c>
      <c r="D851" s="22" t="n">
        <v>-0.149</v>
      </c>
      <c r="E851" s="22" t="n">
        <v>-0.016</v>
      </c>
      <c r="F851" s="22" t="n">
        <v>0.5570000000000001</v>
      </c>
      <c r="G851" s="22" t="n">
        <v>0.791</v>
      </c>
      <c r="H851" s="22" t="n">
        <v>0.893</v>
      </c>
      <c r="I851" s="22" t="n">
        <v>2.75</v>
      </c>
      <c r="J851" s="22" t="n">
        <v>0.7</v>
      </c>
      <c r="K851" s="22" t="n">
        <v>1.98</v>
      </c>
      <c r="L851" s="17">
        <f>$J851-$B851</f>
        <v/>
      </c>
      <c r="M851" s="17">
        <f>$I851-$L851</f>
        <v/>
      </c>
      <c r="N851" s="23">
        <f>($G851-$M851)*100</f>
        <v/>
      </c>
      <c r="O851" s="15">
        <f>($E851-$C851)*100</f>
        <v/>
      </c>
      <c r="P851" s="15">
        <f>($G851-$E851)*100</f>
        <v/>
      </c>
      <c r="Q851" s="15">
        <f>($G851-$C851)*100</f>
        <v/>
      </c>
      <c r="R851" s="15">
        <f>IF($H851="","",($H851-$F851)*100)</f>
        <v/>
      </c>
      <c r="S851" s="15">
        <f>IF($H851="","",($H851-$G851)*100)</f>
        <v/>
      </c>
    </row>
    <row r="852">
      <c r="A852" s="11" t="n">
        <v>42447</v>
      </c>
      <c r="B852" s="22" t="n">
        <v>-0.146</v>
      </c>
      <c r="C852" s="22" t="n">
        <v>-0.22</v>
      </c>
      <c r="D852" s="22" t="n">
        <v>-0.22</v>
      </c>
      <c r="E852" s="22" t="n">
        <v>-0.101</v>
      </c>
      <c r="F852" s="22" t="n">
        <v>0.347</v>
      </c>
      <c r="G852" s="22" t="n">
        <v>0.475</v>
      </c>
      <c r="H852" s="22" t="n">
        <v>0.578</v>
      </c>
      <c r="I852" s="22" t="n">
        <v>2.68</v>
      </c>
      <c r="J852" s="22" t="n">
        <v>0.62</v>
      </c>
      <c r="K852" s="22" t="n">
        <v>1.88</v>
      </c>
      <c r="L852" s="17">
        <f>$J852-$B852</f>
        <v/>
      </c>
      <c r="M852" s="17">
        <f>$I852-$L852</f>
        <v/>
      </c>
      <c r="N852" s="23">
        <f>($G852-$M852)*100</f>
        <v/>
      </c>
      <c r="O852" s="15">
        <f>($E852-$C852)*100</f>
        <v/>
      </c>
      <c r="P852" s="15">
        <f>($G852-$E852)*100</f>
        <v/>
      </c>
      <c r="Q852" s="15">
        <f>($G852-$C852)*100</f>
        <v/>
      </c>
      <c r="R852" s="15">
        <f>IF($H852="","",($H852-$F852)*100)</f>
        <v/>
      </c>
      <c r="S852" s="15">
        <f>IF($H852="","",($H852-$G852)*100)</f>
        <v/>
      </c>
    </row>
    <row r="853">
      <c r="A853" s="11" t="n">
        <v>42454</v>
      </c>
      <c r="B853" s="22" t="n">
        <v>-0.156</v>
      </c>
      <c r="C853" s="22" t="n">
        <v>-0.224</v>
      </c>
      <c r="D853" s="22" t="n">
        <v>-0.237</v>
      </c>
      <c r="E853" s="22" t="n">
        <v>-0.1</v>
      </c>
      <c r="F853" s="22" t="n">
        <v>0.391</v>
      </c>
      <c r="G853" s="22" t="n">
        <v>0.523</v>
      </c>
      <c r="H853" s="22" t="n">
        <v>0.606</v>
      </c>
      <c r="I853" s="22" t="n">
        <v>2.67</v>
      </c>
      <c r="J853" s="22" t="n">
        <v>0.63</v>
      </c>
      <c r="K853" s="22" t="n">
        <v>1.91</v>
      </c>
      <c r="L853" s="17">
        <f>$J853-$B853</f>
        <v/>
      </c>
      <c r="M853" s="17">
        <f>$I853-$L853</f>
        <v/>
      </c>
      <c r="N853" s="23">
        <f>($G853-$M853)*100</f>
        <v/>
      </c>
      <c r="O853" s="15">
        <f>($E853-$C853)*100</f>
        <v/>
      </c>
      <c r="P853" s="15">
        <f>($G853-$E853)*100</f>
        <v/>
      </c>
      <c r="Q853" s="15">
        <f>($G853-$C853)*100</f>
        <v/>
      </c>
      <c r="R853" s="15">
        <f>IF($H853="","",($H853-$F853)*100)</f>
        <v/>
      </c>
      <c r="S853" s="15">
        <f>IF($H853="","",($H853-$G853)*100)</f>
        <v/>
      </c>
    </row>
    <row r="854">
      <c r="A854" s="11" t="n">
        <v>42461</v>
      </c>
      <c r="B854" s="22" t="n">
        <v>-0.157</v>
      </c>
      <c r="C854" s="22" t="n">
        <v>-0.214</v>
      </c>
      <c r="D854" s="22" t="n">
        <v>-0.214</v>
      </c>
      <c r="E854" s="22" t="n">
        <v>-0.065</v>
      </c>
      <c r="F854" s="22" t="n">
        <v>0.373</v>
      </c>
      <c r="G854" s="22" t="n">
        <v>0.43</v>
      </c>
      <c r="H854" s="22" t="n">
        <v>0.484</v>
      </c>
      <c r="I854" s="22" t="n">
        <v>2.62</v>
      </c>
      <c r="J854" s="22" t="n">
        <v>0.62</v>
      </c>
      <c r="K854" s="22" t="n">
        <v>1.79</v>
      </c>
      <c r="L854" s="17">
        <f>$J854-$B854</f>
        <v/>
      </c>
      <c r="M854" s="17">
        <f>$I854-$L854</f>
        <v/>
      </c>
      <c r="N854" s="23">
        <f>($G854-$M854)*100</f>
        <v/>
      </c>
      <c r="O854" s="15">
        <f>($E854-$C854)*100</f>
        <v/>
      </c>
      <c r="P854" s="15">
        <f>($G854-$E854)*100</f>
        <v/>
      </c>
      <c r="Q854" s="15">
        <f>($G854-$C854)*100</f>
        <v/>
      </c>
      <c r="R854" s="15">
        <f>IF($H854="","",($H854-$F854)*100)</f>
        <v/>
      </c>
      <c r="S854" s="15">
        <f>IF($H854="","",($H854-$G854)*100)</f>
        <v/>
      </c>
    </row>
    <row r="855">
      <c r="A855" s="11" t="n">
        <v>42468</v>
      </c>
      <c r="B855" s="22" t="n">
        <v>-0.208</v>
      </c>
      <c r="C855" s="22" t="n">
        <v>-0.241</v>
      </c>
      <c r="D855" s="22" t="n">
        <v>-0.232</v>
      </c>
      <c r="E855" s="22" t="n">
        <v>-0.083</v>
      </c>
      <c r="F855" s="22" t="n">
        <v>0.329</v>
      </c>
      <c r="G855" s="22" t="n">
        <v>0.44</v>
      </c>
      <c r="H855" s="22" t="n">
        <v>0.503</v>
      </c>
      <c r="I855" s="22" t="n">
        <v>2.55</v>
      </c>
      <c r="J855" s="22" t="n">
        <v>0.54</v>
      </c>
      <c r="K855" s="22" t="n">
        <v>1.72</v>
      </c>
      <c r="L855" s="17">
        <f>$J855-$B855</f>
        <v/>
      </c>
      <c r="M855" s="17">
        <f>$I855-$L855</f>
        <v/>
      </c>
      <c r="N855" s="23">
        <f>($G855-$M855)*100</f>
        <v/>
      </c>
      <c r="O855" s="15">
        <f>($E855-$C855)*100</f>
        <v/>
      </c>
      <c r="P855" s="15">
        <f>($G855-$E855)*100</f>
        <v/>
      </c>
      <c r="Q855" s="15">
        <f>($G855-$C855)*100</f>
        <v/>
      </c>
      <c r="R855" s="15">
        <f>IF($H855="","",($H855-$F855)*100)</f>
        <v/>
      </c>
      <c r="S855" s="15">
        <f>IF($H855="","",($H855-$G855)*100)</f>
        <v/>
      </c>
    </row>
    <row r="856">
      <c r="A856" s="11" t="n">
        <v>42475</v>
      </c>
      <c r="B856" s="22" t="n">
        <v>-0.2</v>
      </c>
      <c r="C856" s="22" t="n">
        <v>-0.254</v>
      </c>
      <c r="D856" s="22" t="n">
        <v>-0.231</v>
      </c>
      <c r="E856" s="22" t="n">
        <v>-0.113</v>
      </c>
      <c r="F856" s="22" t="n">
        <v>0.311</v>
      </c>
      <c r="G856" s="22" t="n">
        <v>0.41</v>
      </c>
      <c r="H856" s="22" t="n">
        <v>0.481</v>
      </c>
      <c r="I856" s="22" t="n">
        <v>2.56</v>
      </c>
      <c r="J856" s="22" t="n">
        <v>0.53</v>
      </c>
      <c r="K856" s="22" t="n">
        <v>1.76</v>
      </c>
      <c r="L856" s="17">
        <f>$J856-$B856</f>
        <v/>
      </c>
      <c r="M856" s="17">
        <f>$I856-$L856</f>
        <v/>
      </c>
      <c r="N856" s="23">
        <f>($G856-$M856)*100</f>
        <v/>
      </c>
      <c r="O856" s="15">
        <f>($E856-$C856)*100</f>
        <v/>
      </c>
      <c r="P856" s="15">
        <f>($G856-$E856)*100</f>
        <v/>
      </c>
      <c r="Q856" s="15">
        <f>($G856-$C856)*100</f>
        <v/>
      </c>
      <c r="R856" s="15">
        <f>IF($H856="","",($H856-$F856)*100)</f>
        <v/>
      </c>
      <c r="S856" s="15">
        <f>IF($H856="","",($H856-$G856)*100)</f>
        <v/>
      </c>
    </row>
    <row r="857">
      <c r="A857" s="11" t="n">
        <v>42482</v>
      </c>
      <c r="B857" s="22" t="n">
        <v>-0.237</v>
      </c>
      <c r="C857" s="22" t="n">
        <v>-0.28</v>
      </c>
      <c r="D857" s="22" t="n">
        <v>-0.272</v>
      </c>
      <c r="E857" s="22" t="n">
        <v>-0.123</v>
      </c>
      <c r="F857" s="22" t="n">
        <v>0.297</v>
      </c>
      <c r="G857" s="22" t="n">
        <v>0.354</v>
      </c>
      <c r="H857" s="22" t="n">
        <v>0.398</v>
      </c>
      <c r="I857" s="22" t="n">
        <v>2.7</v>
      </c>
      <c r="J857" s="22" t="n">
        <v>0.5600000000000001</v>
      </c>
      <c r="K857" s="22" t="n">
        <v>1.89</v>
      </c>
      <c r="L857" s="17">
        <f>$J857-$B857</f>
        <v/>
      </c>
      <c r="M857" s="17">
        <f>$I857-$L857</f>
        <v/>
      </c>
      <c r="N857" s="23">
        <f>($G857-$M857)*100</f>
        <v/>
      </c>
      <c r="O857" s="15">
        <f>($E857-$C857)*100</f>
        <v/>
      </c>
      <c r="P857" s="15">
        <f>($G857-$E857)*100</f>
        <v/>
      </c>
      <c r="Q857" s="15">
        <f>($G857-$C857)*100</f>
        <v/>
      </c>
      <c r="R857" s="15">
        <f>IF($H857="","",($H857-$F857)*100)</f>
        <v/>
      </c>
      <c r="S857" s="15">
        <f>IF($H857="","",($H857-$G857)*100)</f>
        <v/>
      </c>
    </row>
    <row r="858">
      <c r="A858" s="11" t="n">
        <v>42489</v>
      </c>
      <c r="B858" s="22" t="n">
        <v>-0.238</v>
      </c>
      <c r="C858" s="22" t="n">
        <v>-0.244</v>
      </c>
      <c r="D858" s="22" t="n">
        <v>-0.206</v>
      </c>
      <c r="E858" s="22" t="n">
        <v>-0.082</v>
      </c>
      <c r="F858" s="22" t="n">
        <v>0.297</v>
      </c>
      <c r="G858" s="22" t="n">
        <v>0.349</v>
      </c>
      <c r="H858" s="22" t="n">
        <v>0.407</v>
      </c>
      <c r="I858" s="22" t="n">
        <v>2.66</v>
      </c>
      <c r="J858" s="22" t="n">
        <v>0.5600000000000001</v>
      </c>
      <c r="K858" s="22" t="n">
        <v>1.83</v>
      </c>
      <c r="L858" s="17">
        <f>$J858-$B858</f>
        <v/>
      </c>
      <c r="M858" s="17">
        <f>$I858-$L858</f>
        <v/>
      </c>
      <c r="N858" s="23">
        <f>($G858-$M858)*100</f>
        <v/>
      </c>
      <c r="O858" s="15">
        <f>($E858-$C858)*100</f>
        <v/>
      </c>
      <c r="P858" s="15">
        <f>($G858-$E858)*100</f>
        <v/>
      </c>
      <c r="Q858" s="15">
        <f>($G858-$C858)*100</f>
        <v/>
      </c>
      <c r="R858" s="15">
        <f>IF($H858="","",($H858-$F858)*100)</f>
        <v/>
      </c>
      <c r="S858" s="15">
        <f>IF($H858="","",($H858-$G858)*100)</f>
        <v/>
      </c>
    </row>
    <row r="859">
      <c r="A859" s="11" t="n">
        <v>42496</v>
      </c>
      <c r="B859" s="22" t="n">
        <v>-0.258</v>
      </c>
      <c r="C859" s="22" t="n">
        <v>-0.247</v>
      </c>
      <c r="D859" s="22" t="n">
        <v>-0.238</v>
      </c>
      <c r="E859" s="22" t="n">
        <v>-0.117</v>
      </c>
      <c r="F859" s="22" t="n">
        <v>0.234</v>
      </c>
      <c r="G859" s="22" t="n">
        <v>0.288</v>
      </c>
      <c r="H859" s="22" t="n">
        <v>0.345</v>
      </c>
      <c r="I859" s="22" t="n">
        <v>2.62</v>
      </c>
      <c r="J859" s="22" t="n">
        <v>0.51</v>
      </c>
      <c r="K859" s="22" t="n">
        <v>1.79</v>
      </c>
      <c r="L859" s="17">
        <f>$J859-$B859</f>
        <v/>
      </c>
      <c r="M859" s="17">
        <f>$I859-$L859</f>
        <v/>
      </c>
      <c r="N859" s="23">
        <f>($G859-$M859)*100</f>
        <v/>
      </c>
      <c r="O859" s="15">
        <f>($E859-$C859)*100</f>
        <v/>
      </c>
      <c r="P859" s="15">
        <f>($G859-$E859)*100</f>
        <v/>
      </c>
      <c r="Q859" s="15">
        <f>($G859-$C859)*100</f>
        <v/>
      </c>
      <c r="R859" s="15">
        <f>IF($H859="","",($H859-$F859)*100)</f>
        <v/>
      </c>
      <c r="S859" s="15">
        <f>IF($H859="","",($H859-$G859)*100)</f>
        <v/>
      </c>
    </row>
    <row r="860">
      <c r="A860" s="11" t="n">
        <v>42503</v>
      </c>
      <c r="B860" s="22" t="n">
        <v>-0.274</v>
      </c>
      <c r="C860" s="22" t="n">
        <v>-0.253</v>
      </c>
      <c r="D860" s="22" t="n">
        <v>-0.235</v>
      </c>
      <c r="E860" s="22" t="n">
        <v>-0.11</v>
      </c>
      <c r="F860" s="22" t="n">
        <v>0.276</v>
      </c>
      <c r="G860" s="22" t="n">
        <v>0.365</v>
      </c>
      <c r="H860" s="22" t="n">
        <v>0.419</v>
      </c>
      <c r="I860" s="22" t="n">
        <v>2.55</v>
      </c>
      <c r="J860" s="22" t="n">
        <v>0.55</v>
      </c>
      <c r="K860" s="22" t="n">
        <v>1.71</v>
      </c>
      <c r="L860" s="17">
        <f>$J860-$B860</f>
        <v/>
      </c>
      <c r="M860" s="17">
        <f>$I860-$L860</f>
        <v/>
      </c>
      <c r="N860" s="23">
        <f>($G860-$M860)*100</f>
        <v/>
      </c>
      <c r="O860" s="15">
        <f>($E860-$C860)*100</f>
        <v/>
      </c>
      <c r="P860" s="15">
        <f>($G860-$E860)*100</f>
        <v/>
      </c>
      <c r="Q860" s="15">
        <f>($G860-$C860)*100</f>
        <v/>
      </c>
      <c r="R860" s="15">
        <f>IF($H860="","",($H860-$F860)*100)</f>
        <v/>
      </c>
      <c r="S860" s="15">
        <f>IF($H860="","",($H860-$G860)*100)</f>
        <v/>
      </c>
    </row>
    <row r="861">
      <c r="A861" s="11" t="n">
        <v>42510</v>
      </c>
      <c r="B861" s="22" t="n">
        <v>-0.265</v>
      </c>
      <c r="C861" s="22" t="n">
        <v>-0.236</v>
      </c>
      <c r="D861" s="22" t="n">
        <v>-0.225</v>
      </c>
      <c r="E861" s="22" t="n">
        <v>-0.102</v>
      </c>
      <c r="F861" s="22" t="n">
        <v>0.269</v>
      </c>
      <c r="G861" s="22" t="n">
        <v>0.344</v>
      </c>
      <c r="H861" s="22" t="n">
        <v>0.403</v>
      </c>
      <c r="I861" s="22" t="n">
        <v>2.63</v>
      </c>
      <c r="J861" s="22" t="n">
        <v>0.67</v>
      </c>
      <c r="K861" s="22" t="n">
        <v>1.85</v>
      </c>
      <c r="L861" s="17">
        <f>$J861-$B861</f>
        <v/>
      </c>
      <c r="M861" s="17">
        <f>$I861-$L861</f>
        <v/>
      </c>
      <c r="N861" s="23">
        <f>($G861-$M861)*100</f>
        <v/>
      </c>
      <c r="O861" s="15">
        <f>($E861-$C861)*100</f>
        <v/>
      </c>
      <c r="P861" s="15">
        <f>($G861-$E861)*100</f>
        <v/>
      </c>
      <c r="Q861" s="15">
        <f>($G861-$C861)*100</f>
        <v/>
      </c>
      <c r="R861" s="15">
        <f>IF($H861="","",($H861-$F861)*100)</f>
        <v/>
      </c>
      <c r="S861" s="15">
        <f>IF($H861="","",($H861-$G861)*100)</f>
        <v/>
      </c>
    </row>
    <row r="862">
      <c r="A862" s="11" t="n">
        <v>42517</v>
      </c>
      <c r="B862" s="22" t="n">
        <v>-0.272</v>
      </c>
      <c r="C862" s="22" t="n">
        <v>-0.24</v>
      </c>
      <c r="D862" s="22" t="n">
        <v>-0.236</v>
      </c>
      <c r="E862" s="22" t="n">
        <v>-0.113</v>
      </c>
      <c r="F862" s="22" t="n">
        <v>0.249</v>
      </c>
      <c r="G862" s="22" t="n">
        <v>0.326</v>
      </c>
      <c r="H862" s="22" t="n">
        <v>0.372</v>
      </c>
      <c r="I862" s="22" t="n">
        <v>2.65</v>
      </c>
      <c r="J862" s="22" t="n">
        <v>0.68</v>
      </c>
      <c r="K862" s="22" t="n">
        <v>1.85</v>
      </c>
      <c r="L862" s="17">
        <f>$J862-$B862</f>
        <v/>
      </c>
      <c r="M862" s="17">
        <f>$I862-$L862</f>
        <v/>
      </c>
      <c r="N862" s="23">
        <f>($G862-$M862)*100</f>
        <v/>
      </c>
      <c r="O862" s="15">
        <f>($E862-$C862)*100</f>
        <v/>
      </c>
      <c r="P862" s="15">
        <f>($G862-$E862)*100</f>
        <v/>
      </c>
      <c r="Q862" s="15">
        <f>($G862-$C862)*100</f>
        <v/>
      </c>
      <c r="R862" s="15">
        <f>IF($H862="","",($H862-$F862)*100)</f>
        <v/>
      </c>
      <c r="S862" s="15">
        <f>IF($H862="","",($H862-$G862)*100)</f>
        <v/>
      </c>
    </row>
    <row r="863">
      <c r="A863" s="11" t="n">
        <v>42524</v>
      </c>
      <c r="B863" s="22" t="n">
        <v>-0.262</v>
      </c>
      <c r="C863" s="22" t="n">
        <v>-0.24</v>
      </c>
      <c r="D863" s="22" t="n">
        <v>-0.231</v>
      </c>
      <c r="E863" s="22" t="n">
        <v>-0.108</v>
      </c>
      <c r="F863" s="22" t="n">
        <v>0.254</v>
      </c>
      <c r="G863" s="22" t="n">
        <v>0.33</v>
      </c>
      <c r="H863" s="22" t="n">
        <v>0.386</v>
      </c>
      <c r="I863" s="22" t="n">
        <v>2.52</v>
      </c>
      <c r="J863" s="22" t="n">
        <v>0.6</v>
      </c>
      <c r="K863" s="22" t="n">
        <v>1.71</v>
      </c>
      <c r="L863" s="17">
        <f>$J863-$B863</f>
        <v/>
      </c>
      <c r="M863" s="17">
        <f>$I863-$L863</f>
        <v/>
      </c>
      <c r="N863" s="23">
        <f>($G863-$M863)*100</f>
        <v/>
      </c>
      <c r="O863" s="15">
        <f>($E863-$C863)*100</f>
        <v/>
      </c>
      <c r="P863" s="15">
        <f>($G863-$E863)*100</f>
        <v/>
      </c>
      <c r="Q863" s="15">
        <f>($G863-$C863)*100</f>
        <v/>
      </c>
      <c r="R863" s="15">
        <f>IF($H863="","",($H863-$F863)*100)</f>
        <v/>
      </c>
      <c r="S863" s="15">
        <f>IF($H863="","",($H863-$G863)*100)</f>
        <v/>
      </c>
    </row>
    <row r="864">
      <c r="A864" s="11" t="n">
        <v>42531</v>
      </c>
      <c r="B864" s="22" t="n">
        <v>-0.273</v>
      </c>
      <c r="C864" s="22" t="n">
        <v>-0.271</v>
      </c>
      <c r="D864" s="22" t="n">
        <v>-0.269</v>
      </c>
      <c r="E864" s="22" t="n">
        <v>-0.158</v>
      </c>
      <c r="F864" s="22" t="n">
        <v>0.195</v>
      </c>
      <c r="G864" s="22" t="n">
        <v>0.271</v>
      </c>
      <c r="H864" s="22" t="n">
        <v>0.319</v>
      </c>
      <c r="I864" s="22" t="n">
        <v>2.44</v>
      </c>
      <c r="J864" s="22" t="n">
        <v>0.57</v>
      </c>
      <c r="K864" s="22" t="n">
        <v>1.64</v>
      </c>
      <c r="L864" s="17">
        <f>$J864-$B864</f>
        <v/>
      </c>
      <c r="M864" s="17">
        <f>$I864-$L864</f>
        <v/>
      </c>
      <c r="N864" s="23">
        <f>($G864-$M864)*100</f>
        <v/>
      </c>
      <c r="O864" s="15">
        <f>($E864-$C864)*100</f>
        <v/>
      </c>
      <c r="P864" s="15">
        <f>($G864-$E864)*100</f>
        <v/>
      </c>
      <c r="Q864" s="15">
        <f>($G864-$C864)*100</f>
        <v/>
      </c>
      <c r="R864" s="15">
        <f>IF($H864="","",($H864-$F864)*100)</f>
        <v/>
      </c>
      <c r="S864" s="15">
        <f>IF($H864="","",($H864-$G864)*100)</f>
        <v/>
      </c>
    </row>
    <row r="865">
      <c r="A865" s="11" t="n">
        <v>42538</v>
      </c>
      <c r="B865" s="22" t="n">
        <v>-0.271</v>
      </c>
      <c r="C865" s="22" t="n">
        <v>-0.255</v>
      </c>
      <c r="D865" s="22" t="n">
        <v>-0.249</v>
      </c>
      <c r="E865" s="22" t="n">
        <v>-0.157</v>
      </c>
      <c r="F865" s="22" t="n">
        <v>0.174</v>
      </c>
      <c r="G865" s="22" t="n">
        <v>0.232</v>
      </c>
      <c r="H865" s="22" t="n">
        <v>0.272</v>
      </c>
      <c r="I865" s="22" t="n">
        <v>2.43</v>
      </c>
      <c r="J865" s="22" t="n">
        <v>0.51</v>
      </c>
      <c r="K865" s="22" t="n">
        <v>1.62</v>
      </c>
      <c r="L865" s="17">
        <f>$J865-$B865</f>
        <v/>
      </c>
      <c r="M865" s="17">
        <f>$I865-$L865</f>
        <v/>
      </c>
      <c r="N865" s="23">
        <f>($G865-$M865)*100</f>
        <v/>
      </c>
      <c r="O865" s="15">
        <f>($E865-$C865)*100</f>
        <v/>
      </c>
      <c r="P865" s="15">
        <f>($G865-$E865)*100</f>
        <v/>
      </c>
      <c r="Q865" s="15">
        <f>($G865-$C865)*100</f>
        <v/>
      </c>
      <c r="R865" s="15">
        <f>IF($H865="","",($H865-$F865)*100)</f>
        <v/>
      </c>
      <c r="S865" s="15">
        <f>IF($H865="","",($H865-$G865)*100)</f>
        <v/>
      </c>
    </row>
    <row r="866">
      <c r="A866" s="11" t="n">
        <v>42545</v>
      </c>
      <c r="B866" s="22" t="n">
        <v>-0.319</v>
      </c>
      <c r="C866" s="22" t="n">
        <v>-0.289</v>
      </c>
      <c r="D866" s="22" t="n">
        <v>-0.29</v>
      </c>
      <c r="E866" s="22" t="n">
        <v>-0.201</v>
      </c>
      <c r="F866" s="22" t="n">
        <v>0.112</v>
      </c>
      <c r="G866" s="22" t="n">
        <v>0.133</v>
      </c>
      <c r="H866" s="22" t="n">
        <v>0.164</v>
      </c>
      <c r="I866" s="22" t="n">
        <v>2.42</v>
      </c>
      <c r="J866" s="22" t="n">
        <v>0.48</v>
      </c>
      <c r="K866" s="22" t="n">
        <v>1.57</v>
      </c>
      <c r="L866" s="17">
        <f>$J866-$B866</f>
        <v/>
      </c>
      <c r="M866" s="17">
        <f>$I866-$L866</f>
        <v/>
      </c>
      <c r="N866" s="23">
        <f>($G866-$M866)*100</f>
        <v/>
      </c>
      <c r="O866" s="15">
        <f>($E866-$C866)*100</f>
        <v/>
      </c>
      <c r="P866" s="15">
        <f>($G866-$E866)*100</f>
        <v/>
      </c>
      <c r="Q866" s="15">
        <f>($G866-$C866)*100</f>
        <v/>
      </c>
      <c r="R866" s="15">
        <f>IF($H866="","",($H866-$F866)*100)</f>
        <v/>
      </c>
      <c r="S866" s="15">
        <f>IF($H866="","",($H866-$G866)*100)</f>
        <v/>
      </c>
    </row>
    <row r="867">
      <c r="A867" s="11" t="n">
        <v>42552</v>
      </c>
      <c r="B867" s="22" t="n">
        <v>-0.351</v>
      </c>
      <c r="C867" s="22" t="n">
        <v>-0.329</v>
      </c>
      <c r="D867" s="22" t="n">
        <v>-0.361</v>
      </c>
      <c r="E867" s="22" t="n">
        <v>-0.262</v>
      </c>
      <c r="F867" s="22" t="n">
        <v>0.043</v>
      </c>
      <c r="G867" s="22" t="n">
        <v>0.103</v>
      </c>
      <c r="H867" s="22" t="n">
        <v>0.133</v>
      </c>
      <c r="I867" s="22" t="n">
        <v>2.24</v>
      </c>
      <c r="J867" s="22" t="n">
        <v>0.45</v>
      </c>
      <c r="K867" s="22" t="n">
        <v>1.46</v>
      </c>
      <c r="L867" s="17">
        <f>$J867-$B867</f>
        <v/>
      </c>
      <c r="M867" s="17">
        <f>$I867-$L867</f>
        <v/>
      </c>
      <c r="N867" s="23">
        <f>($G867-$M867)*100</f>
        <v/>
      </c>
      <c r="O867" s="15">
        <f>($E867-$C867)*100</f>
        <v/>
      </c>
      <c r="P867" s="15">
        <f>($G867-$E867)*100</f>
        <v/>
      </c>
      <c r="Q867" s="15">
        <f>($G867-$C867)*100</f>
        <v/>
      </c>
      <c r="R867" s="15">
        <f>IF($H867="","",($H867-$F867)*100)</f>
        <v/>
      </c>
      <c r="S867" s="15">
        <f>IF($H867="","",($H867-$G867)*100)</f>
        <v/>
      </c>
    </row>
    <row r="868">
      <c r="A868" s="11" t="n">
        <v>42559</v>
      </c>
      <c r="B868" s="22" t="n">
        <v>-0.357</v>
      </c>
      <c r="C868" s="22" t="n">
        <v>-0.354</v>
      </c>
      <c r="D868" s="22" t="n">
        <v>-0.374</v>
      </c>
      <c r="E868" s="22" t="n">
        <v>-0.293</v>
      </c>
      <c r="F868" s="22" t="n">
        <v>0.043</v>
      </c>
      <c r="G868" s="22" t="n">
        <v>0.08799999999999999</v>
      </c>
      <c r="H868" s="22" t="n">
        <v>0.111</v>
      </c>
      <c r="I868" s="22" t="n">
        <v>2.11</v>
      </c>
      <c r="J868" s="22" t="n">
        <v>0.48</v>
      </c>
      <c r="K868" s="22" t="n">
        <v>1.37</v>
      </c>
      <c r="L868" s="17">
        <f>$J868-$B868</f>
        <v/>
      </c>
      <c r="M868" s="17">
        <f>$I868-$L868</f>
        <v/>
      </c>
      <c r="N868" s="23">
        <f>($G868-$M868)*100</f>
        <v/>
      </c>
      <c r="O868" s="15">
        <f>($E868-$C868)*100</f>
        <v/>
      </c>
      <c r="P868" s="15">
        <f>($G868-$E868)*100</f>
        <v/>
      </c>
      <c r="Q868" s="15">
        <f>($G868-$C868)*100</f>
        <v/>
      </c>
      <c r="R868" s="15">
        <f>IF($H868="","",($H868-$F868)*100)</f>
        <v/>
      </c>
      <c r="S868" s="15">
        <f>IF($H868="","",($H868-$G868)*100)</f>
        <v/>
      </c>
    </row>
    <row r="869">
      <c r="A869" s="11" t="n">
        <v>42566</v>
      </c>
      <c r="B869" s="22" t="n">
        <v>-0.339</v>
      </c>
      <c r="C869" s="22" t="n">
        <v>-0.333</v>
      </c>
      <c r="D869" s="22" t="n">
        <v>-0.317</v>
      </c>
      <c r="E869" s="22" t="n">
        <v>-0.234</v>
      </c>
      <c r="F869" s="22" t="n">
        <v>0.134</v>
      </c>
      <c r="G869" s="22" t="n">
        <v>0.188</v>
      </c>
      <c r="H869" s="22" t="n">
        <v>0.226</v>
      </c>
      <c r="I869" s="22" t="n">
        <v>2.3</v>
      </c>
      <c r="J869" s="22" t="n">
        <v>0.52</v>
      </c>
      <c r="K869" s="22" t="n">
        <v>1.6</v>
      </c>
      <c r="L869" s="17">
        <f>$J869-$B869</f>
        <v/>
      </c>
      <c r="M869" s="17">
        <f>$I869-$L869</f>
        <v/>
      </c>
      <c r="N869" s="23">
        <f>($G869-$M869)*100</f>
        <v/>
      </c>
      <c r="O869" s="15">
        <f>($E869-$C869)*100</f>
        <v/>
      </c>
      <c r="P869" s="15">
        <f>($G869-$E869)*100</f>
        <v/>
      </c>
      <c r="Q869" s="15">
        <f>($G869-$C869)*100</f>
        <v/>
      </c>
      <c r="R869" s="15">
        <f>IF($H869="","",($H869-$F869)*100)</f>
        <v/>
      </c>
      <c r="S869" s="15">
        <f>IF($H869="","",($H869-$G869)*100)</f>
        <v/>
      </c>
    </row>
    <row r="870">
      <c r="A870" s="11" t="n">
        <v>42573</v>
      </c>
      <c r="B870" s="22" t="n">
        <v>-0.336</v>
      </c>
      <c r="C870" s="22" t="n">
        <v>-0.333</v>
      </c>
      <c r="D870" s="22" t="n">
        <v>-0.338</v>
      </c>
      <c r="E870" s="22" t="n">
        <v>-0.229</v>
      </c>
      <c r="F870" s="22" t="n">
        <v>0.179</v>
      </c>
      <c r="G870" s="22" t="n">
        <v>0.257</v>
      </c>
      <c r="H870" s="22" t="n">
        <v>0.315</v>
      </c>
      <c r="I870" s="22" t="n">
        <v>2.29</v>
      </c>
      <c r="J870" s="22" t="n">
        <v>0.55</v>
      </c>
      <c r="K870" s="22" t="n">
        <v>1.57</v>
      </c>
      <c r="L870" s="17">
        <f>$J870-$B870</f>
        <v/>
      </c>
      <c r="M870" s="17">
        <f>$I870-$L870</f>
        <v/>
      </c>
      <c r="N870" s="23">
        <f>($G870-$M870)*100</f>
        <v/>
      </c>
      <c r="O870" s="15">
        <f>($E870-$C870)*100</f>
        <v/>
      </c>
      <c r="P870" s="15">
        <f>($G870-$E870)*100</f>
        <v/>
      </c>
      <c r="Q870" s="15">
        <f>($G870-$C870)*100</f>
        <v/>
      </c>
      <c r="R870" s="15">
        <f>IF($H870="","",($H870-$F870)*100)</f>
        <v/>
      </c>
      <c r="S870" s="15">
        <f>IF($H870="","",($H870-$G870)*100)</f>
        <v/>
      </c>
    </row>
    <row r="871">
      <c r="A871" s="11" t="n">
        <v>42580</v>
      </c>
      <c r="B871" s="22" t="n">
        <v>-0.275</v>
      </c>
      <c r="C871" s="22" t="n">
        <v>-0.251</v>
      </c>
      <c r="D871" s="22" t="n">
        <v>-0.261</v>
      </c>
      <c r="E871" s="22" t="n">
        <v>-0.178</v>
      </c>
      <c r="F871" s="22" t="n">
        <v>0.184</v>
      </c>
      <c r="G871" s="22" t="n">
        <v>0.263</v>
      </c>
      <c r="H871" s="22" t="n">
        <v>0.328</v>
      </c>
      <c r="I871" s="22" t="n">
        <v>2.18</v>
      </c>
      <c r="J871" s="22" t="n">
        <v>0.5</v>
      </c>
      <c r="K871" s="22" t="n">
        <v>1.46</v>
      </c>
      <c r="L871" s="17">
        <f>$J871-$B871</f>
        <v/>
      </c>
      <c r="M871" s="17">
        <f>$I871-$L871</f>
        <v/>
      </c>
      <c r="N871" s="23">
        <f>($G871-$M871)*100</f>
        <v/>
      </c>
      <c r="O871" s="15">
        <f>($E871-$C871)*100</f>
        <v/>
      </c>
      <c r="P871" s="15">
        <f>($G871-$E871)*100</f>
        <v/>
      </c>
      <c r="Q871" s="15">
        <f>($G871-$C871)*100</f>
        <v/>
      </c>
      <c r="R871" s="15">
        <f>IF($H871="","",($H871-$F871)*100)</f>
        <v/>
      </c>
      <c r="S871" s="15">
        <f>IF($H871="","",($H871-$G871)*100)</f>
        <v/>
      </c>
    </row>
    <row r="872">
      <c r="A872" s="11" t="n">
        <v>42587</v>
      </c>
      <c r="B872" s="22" t="n">
        <v>-0.226</v>
      </c>
      <c r="C872" s="22" t="n">
        <v>-0.193</v>
      </c>
      <c r="D872" s="22" t="n">
        <v>-0.19</v>
      </c>
      <c r="E872" s="22" t="n">
        <v>-0.096</v>
      </c>
      <c r="F872" s="22" t="n">
        <v>0.285</v>
      </c>
      <c r="G872" s="22" t="n">
        <v>0.383</v>
      </c>
      <c r="H872" s="22" t="n">
        <v>0.46</v>
      </c>
      <c r="I872" s="22" t="n">
        <v>2.32</v>
      </c>
      <c r="J872" s="22" t="n">
        <v>0.5600000000000001</v>
      </c>
      <c r="K872" s="22" t="n">
        <v>1.59</v>
      </c>
      <c r="L872" s="17">
        <f>$J872-$B872</f>
        <v/>
      </c>
      <c r="M872" s="17">
        <f>$I872-$L872</f>
        <v/>
      </c>
      <c r="N872" s="23">
        <f>($G872-$M872)*100</f>
        <v/>
      </c>
      <c r="O872" s="15">
        <f>($E872-$C872)*100</f>
        <v/>
      </c>
      <c r="P872" s="15">
        <f>($G872-$E872)*100</f>
        <v/>
      </c>
      <c r="Q872" s="15">
        <f>($G872-$C872)*100</f>
        <v/>
      </c>
      <c r="R872" s="15">
        <f>IF($H872="","",($H872-$F872)*100)</f>
        <v/>
      </c>
      <c r="S872" s="15">
        <f>IF($H872="","",($H872-$G872)*100)</f>
        <v/>
      </c>
    </row>
    <row r="873">
      <c r="A873" s="11" t="n">
        <v>42594</v>
      </c>
      <c r="B873" s="22" t="n">
        <v>-0.219</v>
      </c>
      <c r="C873" s="22" t="n">
        <v>-0.197</v>
      </c>
      <c r="D873" s="22" t="n">
        <v>-0.185</v>
      </c>
      <c r="E873" s="22" t="n">
        <v>-0.106</v>
      </c>
      <c r="F873" s="22" t="n">
        <v>0.25</v>
      </c>
      <c r="G873" s="22" t="n">
        <v>0.35</v>
      </c>
      <c r="H873" s="22" t="n">
        <v>0.434</v>
      </c>
      <c r="I873" s="22" t="n">
        <v>2.23</v>
      </c>
      <c r="J873" s="22" t="n">
        <v>0.5600000000000001</v>
      </c>
      <c r="K873" s="22" t="n">
        <v>1.51</v>
      </c>
      <c r="L873" s="17">
        <f>$J873-$B873</f>
        <v/>
      </c>
      <c r="M873" s="17">
        <f>$I873-$L873</f>
        <v/>
      </c>
      <c r="N873" s="23">
        <f>($G873-$M873)*100</f>
        <v/>
      </c>
      <c r="O873" s="15">
        <f>($E873-$C873)*100</f>
        <v/>
      </c>
      <c r="P873" s="15">
        <f>($G873-$E873)*100</f>
        <v/>
      </c>
      <c r="Q873" s="15">
        <f>($G873-$C873)*100</f>
        <v/>
      </c>
      <c r="R873" s="15">
        <f>IF($H873="","",($H873-$F873)*100)</f>
        <v/>
      </c>
      <c r="S873" s="15">
        <f>IF($H873="","",($H873-$G873)*100)</f>
        <v/>
      </c>
    </row>
    <row r="874">
      <c r="A874" s="11" t="n">
        <v>42601</v>
      </c>
      <c r="B874" s="22" t="n">
        <v>-0.222</v>
      </c>
      <c r="C874" s="22" t="n">
        <v>-0.206</v>
      </c>
      <c r="D874" s="22" t="n">
        <v>-0.184</v>
      </c>
      <c r="E874" s="22" t="n">
        <v>-0.08400000000000001</v>
      </c>
      <c r="F874" s="22" t="n">
        <v>0.269</v>
      </c>
      <c r="G874" s="22" t="n">
        <v>0.323</v>
      </c>
      <c r="H874" s="22" t="n">
        <v>0.394</v>
      </c>
      <c r="I874" s="22" t="n">
        <v>2.29</v>
      </c>
      <c r="J874" s="22" t="n">
        <v>0.59</v>
      </c>
      <c r="K874" s="22" t="n">
        <v>1.58</v>
      </c>
      <c r="L874" s="17">
        <f>$J874-$B874</f>
        <v/>
      </c>
      <c r="M874" s="17">
        <f>$I874-$L874</f>
        <v/>
      </c>
      <c r="N874" s="23">
        <f>($G874-$M874)*100</f>
        <v/>
      </c>
      <c r="O874" s="15">
        <f>($E874-$C874)*100</f>
        <v/>
      </c>
      <c r="P874" s="15">
        <f>($G874-$E874)*100</f>
        <v/>
      </c>
      <c r="Q874" s="15">
        <f>($G874-$C874)*100</f>
        <v/>
      </c>
      <c r="R874" s="15">
        <f>IF($H874="","",($H874-$F874)*100)</f>
        <v/>
      </c>
      <c r="S874" s="15">
        <f>IF($H874="","",($H874-$G874)*100)</f>
        <v/>
      </c>
    </row>
    <row r="875">
      <c r="A875" s="11" t="n">
        <v>42608</v>
      </c>
      <c r="B875" s="22" t="n">
        <v>-0.207</v>
      </c>
      <c r="C875" s="22" t="n">
        <v>-0.178</v>
      </c>
      <c r="D875" s="22" t="n">
        <v>-0.174</v>
      </c>
      <c r="E875" s="22" t="n">
        <v>-0.068</v>
      </c>
      <c r="F875" s="22" t="n">
        <v>0.274</v>
      </c>
      <c r="G875" s="22" t="n">
        <v>0.343</v>
      </c>
      <c r="H875" s="22" t="n">
        <v>0.409</v>
      </c>
      <c r="I875" s="22" t="n">
        <v>2.29</v>
      </c>
      <c r="J875" s="22" t="n">
        <v>0.62</v>
      </c>
      <c r="K875" s="22" t="n">
        <v>1.62</v>
      </c>
      <c r="L875" s="17">
        <f>$J875-$B875</f>
        <v/>
      </c>
      <c r="M875" s="17">
        <f>$I875-$L875</f>
        <v/>
      </c>
      <c r="N875" s="23">
        <f>($G875-$M875)*100</f>
        <v/>
      </c>
      <c r="O875" s="15">
        <f>($E875-$C875)*100</f>
        <v/>
      </c>
      <c r="P875" s="15">
        <f>($G875-$E875)*100</f>
        <v/>
      </c>
      <c r="Q875" s="15">
        <f>($G875-$C875)*100</f>
        <v/>
      </c>
      <c r="R875" s="15">
        <f>IF($H875="","",($H875-$F875)*100)</f>
        <v/>
      </c>
      <c r="S875" s="15">
        <f>IF($H875="","",($H875-$G875)*100)</f>
        <v/>
      </c>
    </row>
    <row r="876">
      <c r="A876" s="11" t="n">
        <v>42615</v>
      </c>
      <c r="B876" s="22" t="n">
        <v>-0.227</v>
      </c>
      <c r="C876" s="22" t="n">
        <v>-0.187</v>
      </c>
      <c r="D876" s="22" t="n">
        <v>-0.156</v>
      </c>
      <c r="E876" s="22" t="n">
        <v>-0.027</v>
      </c>
      <c r="F876" s="22" t="n">
        <v>0.396</v>
      </c>
      <c r="G876" s="22" t="n">
        <v>0.494</v>
      </c>
      <c r="H876" s="22" t="n">
        <v>0.5620000000000001</v>
      </c>
      <c r="I876" s="22" t="n">
        <v>2.28</v>
      </c>
      <c r="J876" s="22" t="n">
        <v>0.59</v>
      </c>
      <c r="K876" s="22" t="n">
        <v>1.6</v>
      </c>
      <c r="L876" s="17">
        <f>$J876-$B876</f>
        <v/>
      </c>
      <c r="M876" s="17">
        <f>$I876-$L876</f>
        <v/>
      </c>
      <c r="N876" s="23">
        <f>($G876-$M876)*100</f>
        <v/>
      </c>
      <c r="O876" s="15">
        <f>($E876-$C876)*100</f>
        <v/>
      </c>
      <c r="P876" s="15">
        <f>($G876-$E876)*100</f>
        <v/>
      </c>
      <c r="Q876" s="15">
        <f>($G876-$C876)*100</f>
        <v/>
      </c>
      <c r="R876" s="15">
        <f>IF($H876="","",($H876-$F876)*100)</f>
        <v/>
      </c>
      <c r="S876" s="15">
        <f>IF($H876="","",($H876-$G876)*100)</f>
        <v/>
      </c>
    </row>
    <row r="877">
      <c r="A877" s="11" t="n">
        <v>42622</v>
      </c>
      <c r="B877" s="22" t="n">
        <v>-0.244</v>
      </c>
      <c r="C877" s="22" t="n">
        <v>-0.204</v>
      </c>
      <c r="D877" s="22" t="n">
        <v>-0.16</v>
      </c>
      <c r="E877" s="22" t="n">
        <v>-0.02</v>
      </c>
      <c r="F877" s="22" t="n">
        <v>0.431</v>
      </c>
      <c r="G877" s="22" t="n">
        <v>0.509</v>
      </c>
      <c r="H877" s="22" t="n">
        <v>0.5679999999999999</v>
      </c>
      <c r="I877" s="22" t="n">
        <v>2.39</v>
      </c>
      <c r="J877" s="22" t="n">
        <v>0.58</v>
      </c>
      <c r="K877" s="22" t="n">
        <v>1.67</v>
      </c>
      <c r="L877" s="17">
        <f>$J877-$B877</f>
        <v/>
      </c>
      <c r="M877" s="17">
        <f>$I877-$L877</f>
        <v/>
      </c>
      <c r="N877" s="23">
        <f>($G877-$M877)*100</f>
        <v/>
      </c>
      <c r="O877" s="15">
        <f>($E877-$C877)*100</f>
        <v/>
      </c>
      <c r="P877" s="15">
        <f>($G877-$E877)*100</f>
        <v/>
      </c>
      <c r="Q877" s="15">
        <f>($G877-$C877)*100</f>
        <v/>
      </c>
      <c r="R877" s="15">
        <f>IF($H877="","",($H877-$F877)*100)</f>
        <v/>
      </c>
      <c r="S877" s="15">
        <f>IF($H877="","",($H877-$G877)*100)</f>
        <v/>
      </c>
    </row>
    <row r="878">
      <c r="A878" s="11" t="n">
        <v>42629</v>
      </c>
      <c r="B878" s="22" t="n">
        <v>-0.29</v>
      </c>
      <c r="C878" s="22" t="n">
        <v>-0.269</v>
      </c>
      <c r="D878" s="22" t="n">
        <v>-0.206</v>
      </c>
      <c r="E878" s="22" t="n">
        <v>-0.04</v>
      </c>
      <c r="F878" s="22" t="n">
        <v>0.452</v>
      </c>
      <c r="G878" s="22" t="n">
        <v>0.551</v>
      </c>
      <c r="H878" s="22" t="n">
        <v>0.618</v>
      </c>
      <c r="I878" s="22" t="n">
        <v>2.44</v>
      </c>
      <c r="J878" s="22" t="n">
        <v>0.61</v>
      </c>
      <c r="K878" s="22" t="n">
        <v>1.7</v>
      </c>
      <c r="L878" s="17">
        <f>$J878-$B878</f>
        <v/>
      </c>
      <c r="M878" s="17">
        <f>$I878-$L878</f>
        <v/>
      </c>
      <c r="N878" s="23">
        <f>($G878-$M878)*100</f>
        <v/>
      </c>
      <c r="O878" s="15">
        <f>($E878-$C878)*100</f>
        <v/>
      </c>
      <c r="P878" s="15">
        <f>($G878-$E878)*100</f>
        <v/>
      </c>
      <c r="Q878" s="15">
        <f>($G878-$C878)*100</f>
        <v/>
      </c>
      <c r="R878" s="15">
        <f>IF($H878="","",($H878-$F878)*100)</f>
        <v/>
      </c>
      <c r="S878" s="15">
        <f>IF($H878="","",($H878-$G878)*100)</f>
        <v/>
      </c>
    </row>
    <row r="879">
      <c r="A879" s="11" t="n">
        <v>42636</v>
      </c>
      <c r="B879" s="22" t="n">
        <v>-0.247</v>
      </c>
      <c r="C879" s="22" t="n">
        <v>-0.222</v>
      </c>
      <c r="D879" s="22" t="n">
        <v>-0.189</v>
      </c>
      <c r="E879" s="22" t="n">
        <v>-0.054</v>
      </c>
      <c r="F879" s="22" t="n">
        <v>0.375</v>
      </c>
      <c r="G879" s="22" t="n">
        <v>0.467</v>
      </c>
      <c r="H879" s="22" t="n">
        <v>0.542</v>
      </c>
      <c r="I879" s="22" t="n">
        <v>2.34</v>
      </c>
      <c r="J879" s="22" t="n">
        <v>0.6</v>
      </c>
      <c r="K879" s="22" t="n">
        <v>1.62</v>
      </c>
      <c r="L879" s="17">
        <f>$J879-$B879</f>
        <v/>
      </c>
      <c r="M879" s="17">
        <f>$I879-$L879</f>
        <v/>
      </c>
      <c r="N879" s="23">
        <f>($G879-$M879)*100</f>
        <v/>
      </c>
      <c r="O879" s="15">
        <f>($E879-$C879)*100</f>
        <v/>
      </c>
      <c r="P879" s="15">
        <f>($G879-$E879)*100</f>
        <v/>
      </c>
      <c r="Q879" s="15">
        <f>($G879-$C879)*100</f>
        <v/>
      </c>
      <c r="R879" s="15">
        <f>IF($H879="","",($H879-$F879)*100)</f>
        <v/>
      </c>
      <c r="S879" s="15">
        <f>IF($H879="","",($H879-$G879)*100)</f>
        <v/>
      </c>
    </row>
    <row r="880">
      <c r="A880" s="11" t="n">
        <v>42643</v>
      </c>
      <c r="B880" s="22" t="n">
        <v>-0.318</v>
      </c>
      <c r="C880" s="22" t="n">
        <v>-0.289</v>
      </c>
      <c r="D880" s="22" t="n">
        <v>-0.249</v>
      </c>
      <c r="E880" s="22" t="n">
        <v>-0.08400000000000001</v>
      </c>
      <c r="F880" s="22" t="n">
        <v>0.361</v>
      </c>
      <c r="G880" s="22" t="n">
        <v>0.457</v>
      </c>
      <c r="H880" s="22" t="n">
        <v>0.522</v>
      </c>
      <c r="I880" s="22" t="n">
        <v>2.32</v>
      </c>
      <c r="J880" s="22" t="n">
        <v>0.59</v>
      </c>
      <c r="K880" s="22" t="n">
        <v>1.6</v>
      </c>
      <c r="L880" s="17">
        <f>$J880-$B880</f>
        <v/>
      </c>
      <c r="M880" s="17">
        <f>$I880-$L880</f>
        <v/>
      </c>
      <c r="N880" s="23">
        <f>($G880-$M880)*100</f>
        <v/>
      </c>
      <c r="O880" s="15">
        <f>($E880-$C880)*100</f>
        <v/>
      </c>
      <c r="P880" s="15">
        <f>($G880-$E880)*100</f>
        <v/>
      </c>
      <c r="Q880" s="15">
        <f>($G880-$C880)*100</f>
        <v/>
      </c>
      <c r="R880" s="15">
        <f>IF($H880="","",($H880-$F880)*100)</f>
        <v/>
      </c>
      <c r="S880" s="15">
        <f>IF($H880="","",($H880-$G880)*100)</f>
        <v/>
      </c>
    </row>
    <row r="881">
      <c r="A881" s="11" t="n">
        <v>42650</v>
      </c>
      <c r="B881" s="22" t="n">
        <v>-0.318</v>
      </c>
      <c r="C881" s="22" t="n">
        <v>-0.28</v>
      </c>
      <c r="D881" s="22" t="n">
        <v>-0.221</v>
      </c>
      <c r="E881" s="22" t="n">
        <v>-0.068</v>
      </c>
      <c r="F881" s="22" t="n">
        <v>0.391</v>
      </c>
      <c r="G881" s="22" t="n">
        <v>0.505</v>
      </c>
      <c r="H881" s="22" t="n">
        <v>0.572</v>
      </c>
      <c r="I881" s="22" t="n">
        <v>2.46</v>
      </c>
      <c r="J881" s="22" t="n">
        <v>0.66</v>
      </c>
      <c r="K881" s="22" t="n">
        <v>1.73</v>
      </c>
      <c r="L881" s="17">
        <f>$J881-$B881</f>
        <v/>
      </c>
      <c r="M881" s="17">
        <f>$I881-$L881</f>
        <v/>
      </c>
      <c r="N881" s="23">
        <f>($G881-$M881)*100</f>
        <v/>
      </c>
      <c r="O881" s="15">
        <f>($E881-$C881)*100</f>
        <v/>
      </c>
      <c r="P881" s="15">
        <f>($G881-$E881)*100</f>
        <v/>
      </c>
      <c r="Q881" s="15">
        <f>($G881-$C881)*100</f>
        <v/>
      </c>
      <c r="R881" s="15">
        <f>IF($H881="","",($H881-$F881)*100)</f>
        <v/>
      </c>
      <c r="S881" s="15">
        <f>IF($H881="","",($H881-$G881)*100)</f>
        <v/>
      </c>
    </row>
    <row r="882">
      <c r="A882" s="11" t="n">
        <v>42657</v>
      </c>
      <c r="B882" s="22" t="n">
        <v>-0.328</v>
      </c>
      <c r="C882" s="22" t="n">
        <v>-0.273</v>
      </c>
      <c r="D882" s="22" t="n">
        <v>-0.21</v>
      </c>
      <c r="E882" s="22" t="n">
        <v>-0.056</v>
      </c>
      <c r="F882" s="22" t="n">
        <v>0.387</v>
      </c>
      <c r="G882" s="22" t="n">
        <v>0.496</v>
      </c>
      <c r="H882" s="22" t="n">
        <v>0.5659999999999999</v>
      </c>
      <c r="I882" s="22" t="n">
        <v>2.55</v>
      </c>
      <c r="J882" s="22" t="n">
        <v>0.66</v>
      </c>
      <c r="K882" s="22" t="n">
        <v>1.8</v>
      </c>
      <c r="L882" s="17">
        <f>$J882-$B882</f>
        <v/>
      </c>
      <c r="M882" s="17">
        <f>$I882-$L882</f>
        <v/>
      </c>
      <c r="N882" s="23">
        <f>($G882-$M882)*100</f>
        <v/>
      </c>
      <c r="O882" s="15">
        <f>($E882-$C882)*100</f>
        <v/>
      </c>
      <c r="P882" s="15">
        <f>($G882-$E882)*100</f>
        <v/>
      </c>
      <c r="Q882" s="15">
        <f>($G882-$C882)*100</f>
        <v/>
      </c>
      <c r="R882" s="15">
        <f>IF($H882="","",($H882-$F882)*100)</f>
        <v/>
      </c>
      <c r="S882" s="15">
        <f>IF($H882="","",($H882-$G882)*100)</f>
        <v/>
      </c>
    </row>
    <row r="883">
      <c r="A883" s="11" t="n">
        <v>42664</v>
      </c>
      <c r="B883" s="22" t="n">
        <v>-0.305</v>
      </c>
      <c r="C883" s="22" t="n">
        <v>-0.256</v>
      </c>
      <c r="D883" s="22" t="n">
        <v>-0.205</v>
      </c>
      <c r="E883" s="22" t="n">
        <v>-0.056</v>
      </c>
      <c r="F883" s="22" t="n">
        <v>0.387</v>
      </c>
      <c r="G883" s="22" t="n">
        <v>0.496</v>
      </c>
      <c r="H883" s="22" t="n">
        <v>0.5620000000000001</v>
      </c>
      <c r="I883" s="22" t="n">
        <v>2.48</v>
      </c>
      <c r="J883" s="22" t="n">
        <v>0.66</v>
      </c>
      <c r="K883" s="22" t="n">
        <v>1.74</v>
      </c>
      <c r="L883" s="17">
        <f>$J883-$B883</f>
        <v/>
      </c>
      <c r="M883" s="17">
        <f>$I883-$L883</f>
        <v/>
      </c>
      <c r="N883" s="23">
        <f>($G883-$M883)*100</f>
        <v/>
      </c>
      <c r="O883" s="15">
        <f>($E883-$C883)*100</f>
        <v/>
      </c>
      <c r="P883" s="15">
        <f>($G883-$E883)*100</f>
        <v/>
      </c>
      <c r="Q883" s="15">
        <f>($G883-$C883)*100</f>
        <v/>
      </c>
      <c r="R883" s="15">
        <f>IF($H883="","",($H883-$F883)*100)</f>
        <v/>
      </c>
      <c r="S883" s="15">
        <f>IF($H883="","",($H883-$G883)*100)</f>
        <v/>
      </c>
    </row>
    <row r="884">
      <c r="A884" s="11" t="n">
        <v>42671</v>
      </c>
      <c r="B884" s="22" t="n">
        <v>-0.308</v>
      </c>
      <c r="C884" s="22" t="n">
        <v>-0.248</v>
      </c>
      <c r="D884" s="22" t="n">
        <v>-0.189</v>
      </c>
      <c r="E884" s="22" t="n">
        <v>-0.045</v>
      </c>
      <c r="F884" s="22" t="n">
        <v>0.394</v>
      </c>
      <c r="G884" s="22" t="n">
        <v>0.516</v>
      </c>
      <c r="H884" s="22" t="n">
        <v>0.577</v>
      </c>
      <c r="I884" s="22" t="n">
        <v>2.62</v>
      </c>
      <c r="J884" s="22" t="n">
        <v>0.66</v>
      </c>
      <c r="K884" s="22" t="n">
        <v>1.86</v>
      </c>
      <c r="L884" s="17">
        <f>$J884-$B884</f>
        <v/>
      </c>
      <c r="M884" s="17">
        <f>$I884-$L884</f>
        <v/>
      </c>
      <c r="N884" s="23">
        <f>($G884-$M884)*100</f>
        <v/>
      </c>
      <c r="O884" s="15">
        <f>($E884-$C884)*100</f>
        <v/>
      </c>
      <c r="P884" s="15">
        <f>($G884-$E884)*100</f>
        <v/>
      </c>
      <c r="Q884" s="15">
        <f>($G884-$C884)*100</f>
        <v/>
      </c>
      <c r="R884" s="15">
        <f>IF($H884="","",($H884-$F884)*100)</f>
        <v/>
      </c>
      <c r="S884" s="15">
        <f>IF($H884="","",($H884-$G884)*100)</f>
        <v/>
      </c>
    </row>
    <row r="885">
      <c r="A885" s="11" t="n">
        <v>42678</v>
      </c>
      <c r="B885" s="22" t="n">
        <v>-0.319</v>
      </c>
      <c r="C885" s="22" t="n">
        <v>-0.264</v>
      </c>
      <c r="D885" s="22" t="n">
        <v>-0.209</v>
      </c>
      <c r="E885" s="22" t="n">
        <v>-0.059</v>
      </c>
      <c r="F885" s="22" t="n">
        <v>0.369</v>
      </c>
      <c r="G885" s="22" t="n">
        <v>0.487</v>
      </c>
      <c r="H885" s="22" t="n">
        <v>0.5659999999999999</v>
      </c>
      <c r="I885" s="22" t="n">
        <v>2.56</v>
      </c>
      <c r="J885" s="22" t="n">
        <v>0.62</v>
      </c>
      <c r="K885" s="22" t="n">
        <v>1.79</v>
      </c>
      <c r="L885" s="17">
        <f>$J885-$B885</f>
        <v/>
      </c>
      <c r="M885" s="17">
        <f>$I885-$L885</f>
        <v/>
      </c>
      <c r="N885" s="23">
        <f>($G885-$M885)*100</f>
        <v/>
      </c>
      <c r="O885" s="15">
        <f>($E885-$C885)*100</f>
        <v/>
      </c>
      <c r="P885" s="15">
        <f>($G885-$E885)*100</f>
        <v/>
      </c>
      <c r="Q885" s="15">
        <f>($G885-$C885)*100</f>
        <v/>
      </c>
      <c r="R885" s="15">
        <f>IF($H885="","",($H885-$F885)*100)</f>
        <v/>
      </c>
      <c r="S885" s="15">
        <f>IF($H885="","",($H885-$G885)*100)</f>
        <v/>
      </c>
    </row>
    <row r="886">
      <c r="A886" s="11" t="n">
        <v>42685</v>
      </c>
      <c r="B886" s="22" t="n">
        <v>-0.315</v>
      </c>
      <c r="C886" s="22" t="n">
        <v>-0.248</v>
      </c>
      <c r="D886" s="22" t="n">
        <v>-0.174</v>
      </c>
      <c r="E886" s="22" t="n">
        <v>-0.027</v>
      </c>
      <c r="F886" s="22" t="n">
        <v>0.405</v>
      </c>
      <c r="G886" s="22" t="n">
        <v>0.526</v>
      </c>
      <c r="H886" s="22" t="n">
        <v>0.608</v>
      </c>
      <c r="I886" s="22" t="n">
        <v>2.94</v>
      </c>
      <c r="J886" s="22" t="n">
        <v>0.72</v>
      </c>
      <c r="K886" s="22" t="n">
        <v>2.15</v>
      </c>
      <c r="L886" s="17">
        <f>$J886-$B886</f>
        <v/>
      </c>
      <c r="M886" s="17">
        <f>$I886-$L886</f>
        <v/>
      </c>
      <c r="N886" s="23">
        <f>($G886-$M886)*100</f>
        <v/>
      </c>
      <c r="O886" s="15">
        <f>($E886-$C886)*100</f>
        <v/>
      </c>
      <c r="P886" s="15">
        <f>($G886-$E886)*100</f>
        <v/>
      </c>
      <c r="Q886" s="15">
        <f>($G886-$C886)*100</f>
        <v/>
      </c>
      <c r="R886" s="15">
        <f>IF($H886="","",($H886-$F886)*100)</f>
        <v/>
      </c>
      <c r="S886" s="15">
        <f>IF($H886="","",($H886-$G886)*100)</f>
        <v/>
      </c>
    </row>
    <row r="887">
      <c r="A887" s="11" t="n">
        <v>42692</v>
      </c>
      <c r="B887" s="22" t="n">
        <v>-0.31</v>
      </c>
      <c r="C887" s="22" t="n">
        <v>-0.166</v>
      </c>
      <c r="D887" s="22" t="n">
        <v>-0.09</v>
      </c>
      <c r="E887" s="22" t="n">
        <v>0.044</v>
      </c>
      <c r="F887" s="22" t="n">
        <v>0.483</v>
      </c>
      <c r="G887" s="22" t="n">
        <v>0.594</v>
      </c>
      <c r="H887" s="22" t="n">
        <v>0.679</v>
      </c>
      <c r="I887" s="22" t="n">
        <v>3.01</v>
      </c>
      <c r="J887" s="22" t="n">
        <v>0.77</v>
      </c>
      <c r="K887" s="22" t="n">
        <v>2.34</v>
      </c>
      <c r="L887" s="17">
        <f>$J887-$B887</f>
        <v/>
      </c>
      <c r="M887" s="17">
        <f>$I887-$L887</f>
        <v/>
      </c>
      <c r="N887" s="23">
        <f>($G887-$M887)*100</f>
        <v/>
      </c>
      <c r="O887" s="15">
        <f>($E887-$C887)*100</f>
        <v/>
      </c>
      <c r="P887" s="15">
        <f>($G887-$E887)*100</f>
        <v/>
      </c>
      <c r="Q887" s="15">
        <f>($G887-$C887)*100</f>
        <v/>
      </c>
      <c r="R887" s="15">
        <f>IF($H887="","",($H887-$F887)*100)</f>
        <v/>
      </c>
      <c r="S887" s="15">
        <f>IF($H887="","",($H887-$G887)*100)</f>
        <v/>
      </c>
    </row>
    <row r="888">
      <c r="A888" s="11" t="n">
        <v>42699</v>
      </c>
      <c r="B888" s="22" t="n">
        <v>-0.263</v>
      </c>
      <c r="C888" s="22" t="n">
        <v>-0.142</v>
      </c>
      <c r="D888" s="22" t="n">
        <v>-0.081</v>
      </c>
      <c r="E888" s="22" t="n">
        <v>0.039</v>
      </c>
      <c r="F888" s="22" t="n">
        <v>0.483</v>
      </c>
      <c r="G888" s="22" t="n">
        <v>0.599</v>
      </c>
      <c r="H888" s="22" t="n">
        <v>0.6860000000000001</v>
      </c>
      <c r="I888" s="22" t="n">
        <v>3.01</v>
      </c>
      <c r="J888" s="22" t="n">
        <v>0.8100000000000001</v>
      </c>
      <c r="K888" s="22" t="n">
        <v>2.36</v>
      </c>
      <c r="L888" s="17">
        <f>$J888-$B888</f>
        <v/>
      </c>
      <c r="M888" s="17">
        <f>$I888-$L888</f>
        <v/>
      </c>
      <c r="N888" s="23">
        <f>($G888-$M888)*100</f>
        <v/>
      </c>
      <c r="O888" s="15">
        <f>($E888-$C888)*100</f>
        <v/>
      </c>
      <c r="P888" s="15">
        <f>($G888-$E888)*100</f>
        <v/>
      </c>
      <c r="Q888" s="15">
        <f>($G888-$C888)*100</f>
        <v/>
      </c>
      <c r="R888" s="15">
        <f>IF($H888="","",($H888-$F888)*100)</f>
        <v/>
      </c>
      <c r="S888" s="15">
        <f>IF($H888="","",($H888-$G888)*100)</f>
        <v/>
      </c>
    </row>
    <row r="889">
      <c r="A889" s="11" t="n">
        <v>42706</v>
      </c>
      <c r="B889" s="22" t="n">
        <v>-0.281</v>
      </c>
      <c r="C889" s="22" t="n">
        <v>-0.179</v>
      </c>
      <c r="D889" s="22" t="n">
        <v>-0.1</v>
      </c>
      <c r="E889" s="22" t="n">
        <v>0.034</v>
      </c>
      <c r="F889" s="22" t="n">
        <v>0.485</v>
      </c>
      <c r="G889" s="22" t="n">
        <v>0.589</v>
      </c>
      <c r="H889" s="22" t="n">
        <v>0.668</v>
      </c>
      <c r="I889" s="22" t="n">
        <v>3.08</v>
      </c>
      <c r="J889" s="22" t="n">
        <v>0.8</v>
      </c>
      <c r="K889" s="22" t="n">
        <v>2.4</v>
      </c>
      <c r="L889" s="17">
        <f>$J889-$B889</f>
        <v/>
      </c>
      <c r="M889" s="17">
        <f>$I889-$L889</f>
        <v/>
      </c>
      <c r="N889" s="23">
        <f>($G889-$M889)*100</f>
        <v/>
      </c>
      <c r="O889" s="15">
        <f>($E889-$C889)*100</f>
        <v/>
      </c>
      <c r="P889" s="15">
        <f>($G889-$E889)*100</f>
        <v/>
      </c>
      <c r="Q889" s="15">
        <f>($G889-$C889)*100</f>
        <v/>
      </c>
      <c r="R889" s="15">
        <f>IF($H889="","",($H889-$F889)*100)</f>
        <v/>
      </c>
      <c r="S889" s="15">
        <f>IF($H889="","",($H889-$G889)*100)</f>
        <v/>
      </c>
    </row>
    <row r="890">
      <c r="A890" s="11" t="n">
        <v>42713</v>
      </c>
      <c r="B890" s="22" t="n">
        <v>-0.293</v>
      </c>
      <c r="C890" s="22" t="n">
        <v>-0.189</v>
      </c>
      <c r="D890" s="22" t="n">
        <v>-0.08599999999999999</v>
      </c>
      <c r="E890" s="22" t="n">
        <v>0.05</v>
      </c>
      <c r="F890" s="22" t="n">
        <v>0.5669999999999999</v>
      </c>
      <c r="G890" s="22" t="n">
        <v>0.6909999999999999</v>
      </c>
      <c r="H890" s="22" t="n">
        <v>0.777</v>
      </c>
      <c r="I890" s="22" t="n">
        <v>3.16</v>
      </c>
      <c r="J890" s="22" t="n">
        <v>0.85</v>
      </c>
      <c r="K890" s="22" t="n">
        <v>2.47</v>
      </c>
      <c r="L890" s="17">
        <f>$J890-$B890</f>
        <v/>
      </c>
      <c r="M890" s="17">
        <f>$I890-$L890</f>
        <v/>
      </c>
      <c r="N890" s="23">
        <f>($G890-$M890)*100</f>
        <v/>
      </c>
      <c r="O890" s="15">
        <f>($E890-$C890)*100</f>
        <v/>
      </c>
      <c r="P890" s="15">
        <f>($G890-$E890)*100</f>
        <v/>
      </c>
      <c r="Q890" s="15">
        <f>($G890-$C890)*100</f>
        <v/>
      </c>
      <c r="R890" s="15">
        <f>IF($H890="","",($H890-$F890)*100)</f>
        <v/>
      </c>
      <c r="S890" s="15">
        <f>IF($H890="","",($H890-$G890)*100)</f>
        <v/>
      </c>
    </row>
    <row r="891">
      <c r="A891" s="11" t="n">
        <v>42720</v>
      </c>
      <c r="B891" s="22" t="n">
        <v>-0.3</v>
      </c>
      <c r="C891" s="22" t="n">
        <v>-0.18</v>
      </c>
      <c r="D891" s="22" t="n">
        <v>-0.063</v>
      </c>
      <c r="E891" s="22" t="n">
        <v>0.076</v>
      </c>
      <c r="F891" s="22" t="n">
        <v>0.571</v>
      </c>
      <c r="G891" s="22" t="n">
        <v>0.66</v>
      </c>
      <c r="H891" s="22" t="n">
        <v>0.745</v>
      </c>
      <c r="I891" s="22" t="n">
        <v>3.19</v>
      </c>
      <c r="J891" s="22" t="n">
        <v>0.91</v>
      </c>
      <c r="K891" s="22" t="n">
        <v>2.6</v>
      </c>
      <c r="L891" s="17">
        <f>$J891-$B891</f>
        <v/>
      </c>
      <c r="M891" s="17">
        <f>$I891-$L891</f>
        <v/>
      </c>
      <c r="N891" s="23">
        <f>($G891-$M891)*100</f>
        <v/>
      </c>
      <c r="O891" s="15">
        <f>($E891-$C891)*100</f>
        <v/>
      </c>
      <c r="P891" s="15">
        <f>($G891-$E891)*100</f>
        <v/>
      </c>
      <c r="Q891" s="15">
        <f>($G891-$C891)*100</f>
        <v/>
      </c>
      <c r="R891" s="15">
        <f>IF($H891="","",($H891-$F891)*100)</f>
        <v/>
      </c>
      <c r="S891" s="15">
        <f>IF($H891="","",($H891-$G891)*100)</f>
        <v/>
      </c>
    </row>
    <row r="892">
      <c r="A892" s="11" t="n">
        <v>42727</v>
      </c>
      <c r="B892" s="22" t="n">
        <v>-0.302</v>
      </c>
      <c r="C892" s="22" t="n">
        <v>-0.181</v>
      </c>
      <c r="D892" s="22" t="n">
        <v>-0.09</v>
      </c>
      <c r="E892" s="22" t="n">
        <v>0.051</v>
      </c>
      <c r="F892" s="22" t="n">
        <v>0.5669999999999999</v>
      </c>
      <c r="G892" s="22" t="n">
        <v>0.664</v>
      </c>
      <c r="H892" s="22" t="n">
        <v>0.748</v>
      </c>
      <c r="I892" s="22" t="n">
        <v>3.12</v>
      </c>
      <c r="J892" s="22" t="n">
        <v>0.87</v>
      </c>
      <c r="K892" s="22" t="n">
        <v>2.55</v>
      </c>
      <c r="L892" s="17">
        <f>$J892-$B892</f>
        <v/>
      </c>
      <c r="M892" s="17">
        <f>$I892-$L892</f>
        <v/>
      </c>
      <c r="N892" s="23">
        <f>($G892-$M892)*100</f>
        <v/>
      </c>
      <c r="O892" s="15">
        <f>($E892-$C892)*100</f>
        <v/>
      </c>
      <c r="P892" s="15">
        <f>($G892-$E892)*100</f>
        <v/>
      </c>
      <c r="Q892" s="15">
        <f>($G892-$C892)*100</f>
        <v/>
      </c>
      <c r="R892" s="15">
        <f>IF($H892="","",($H892-$F892)*100)</f>
        <v/>
      </c>
      <c r="S892" s="15">
        <f>IF($H892="","",($H892-$G892)*100)</f>
        <v/>
      </c>
    </row>
    <row r="893">
      <c r="A893" s="11" t="n">
        <v>42734</v>
      </c>
      <c r="B893" s="22" t="n">
        <v>-0.295</v>
      </c>
      <c r="C893" s="22" t="n">
        <v>-0.187</v>
      </c>
      <c r="D893" s="22" t="n">
        <v>-0.114</v>
      </c>
      <c r="E893" s="22" t="n">
        <v>0.043</v>
      </c>
      <c r="F893" s="22" t="n">
        <v>0.573</v>
      </c>
      <c r="G893" s="22" t="n">
        <v>0.701</v>
      </c>
      <c r="H893" s="22" t="n">
        <v>0.788</v>
      </c>
      <c r="I893" s="22" t="n">
        <v>3.06</v>
      </c>
      <c r="J893" s="22" t="n">
        <v>0.85</v>
      </c>
      <c r="K893" s="22" t="n">
        <v>2.45</v>
      </c>
      <c r="L893" s="17">
        <f>$J893-$B893</f>
        <v/>
      </c>
      <c r="M893" s="17">
        <f>$I893-$L893</f>
        <v/>
      </c>
      <c r="N893" s="23">
        <f>($G893-$M893)*100</f>
        <v/>
      </c>
      <c r="O893" s="15">
        <f>($E893-$C893)*100</f>
        <v/>
      </c>
      <c r="P893" s="15">
        <f>($G893-$E893)*100</f>
        <v/>
      </c>
      <c r="Q893" s="15">
        <f>($G893-$C893)*100</f>
        <v/>
      </c>
      <c r="R893" s="15">
        <f>IF($H893="","",($H893-$F893)*100)</f>
        <v/>
      </c>
      <c r="S893" s="15">
        <f>IF($H893="","",($H893-$G893)*100)</f>
        <v/>
      </c>
    </row>
    <row r="894">
      <c r="A894" s="11" t="n">
        <v>42741</v>
      </c>
      <c r="B894" s="22" t="n">
        <v>-0.314</v>
      </c>
      <c r="C894" s="22" t="n">
        <v>-0.213</v>
      </c>
      <c r="D894" s="22" t="n">
        <v>-0.125</v>
      </c>
      <c r="E894" s="22" t="n">
        <v>0.053</v>
      </c>
      <c r="F894" s="22" t="n">
        <v>0.592</v>
      </c>
      <c r="G894" s="22" t="n">
        <v>0.724</v>
      </c>
      <c r="H894" s="22" t="n">
        <v>0.8159999999999999</v>
      </c>
      <c r="I894" s="22" t="n">
        <v>3</v>
      </c>
      <c r="J894" s="22" t="n">
        <v>0.85</v>
      </c>
      <c r="K894" s="22" t="n">
        <v>2.42</v>
      </c>
      <c r="L894" s="17">
        <f>$J894-$B894</f>
        <v/>
      </c>
      <c r="M894" s="17">
        <f>$I894-$L894</f>
        <v/>
      </c>
      <c r="N894" s="23">
        <f>($G894-$M894)*100</f>
        <v/>
      </c>
      <c r="O894" s="15">
        <f>($E894-$C894)*100</f>
        <v/>
      </c>
      <c r="P894" s="15">
        <f>($G894-$E894)*100</f>
        <v/>
      </c>
      <c r="Q894" s="15">
        <f>($G894-$C894)*100</f>
        <v/>
      </c>
      <c r="R894" s="15">
        <f>IF($H894="","",($H894-$F894)*100)</f>
        <v/>
      </c>
      <c r="S894" s="15">
        <f>IF($H894="","",($H894-$G894)*100)</f>
        <v/>
      </c>
    </row>
    <row r="895">
      <c r="A895" s="11" t="n">
        <v>42748</v>
      </c>
      <c r="B895" s="22" t="n">
        <v>-0.308</v>
      </c>
      <c r="C895" s="22" t="n">
        <v>-0.224</v>
      </c>
      <c r="D895" s="22" t="n">
        <v>-0.132</v>
      </c>
      <c r="E895" s="22" t="n">
        <v>0.049</v>
      </c>
      <c r="F895" s="22" t="n">
        <v>0.593</v>
      </c>
      <c r="G895" s="22" t="n">
        <v>0.719</v>
      </c>
      <c r="H895" s="22" t="n">
        <v>0.821</v>
      </c>
      <c r="I895" s="22" t="n">
        <v>2.99</v>
      </c>
      <c r="J895" s="22" t="n">
        <v>0.82</v>
      </c>
      <c r="K895" s="22" t="n">
        <v>2.4</v>
      </c>
      <c r="L895" s="17">
        <f>$J895-$B895</f>
        <v/>
      </c>
      <c r="M895" s="17">
        <f>$I895-$L895</f>
        <v/>
      </c>
      <c r="N895" s="23">
        <f>($G895-$M895)*100</f>
        <v/>
      </c>
      <c r="O895" s="15">
        <f>($E895-$C895)*100</f>
        <v/>
      </c>
      <c r="P895" s="15">
        <f>($G895-$E895)*100</f>
        <v/>
      </c>
      <c r="Q895" s="15">
        <f>($G895-$C895)*100</f>
        <v/>
      </c>
      <c r="R895" s="15">
        <f>IF($H895="","",($H895-$F895)*100)</f>
        <v/>
      </c>
      <c r="S895" s="15">
        <f>IF($H895="","",($H895-$G895)*100)</f>
        <v/>
      </c>
    </row>
    <row r="896">
      <c r="A896" s="11" t="n">
        <v>42755</v>
      </c>
      <c r="B896" s="22" t="n">
        <v>-0.324</v>
      </c>
      <c r="C896" s="22" t="n">
        <v>-0.235</v>
      </c>
      <c r="D896" s="22" t="n">
        <v>-0.126</v>
      </c>
      <c r="E896" s="22" t="n">
        <v>0.065</v>
      </c>
      <c r="F896" s="22" t="n">
        <v>0.633</v>
      </c>
      <c r="G896" s="22" t="n">
        <v>0.778</v>
      </c>
      <c r="H896" s="22" t="n">
        <v>0.879</v>
      </c>
      <c r="I896" s="22" t="n">
        <v>3.05</v>
      </c>
      <c r="J896" s="22" t="n">
        <v>0.82</v>
      </c>
      <c r="K896" s="22" t="n">
        <v>2.48</v>
      </c>
      <c r="L896" s="17">
        <f>$J896-$B896</f>
        <v/>
      </c>
      <c r="M896" s="17">
        <f>$I896-$L896</f>
        <v/>
      </c>
      <c r="N896" s="23">
        <f>($G896-$M896)*100</f>
        <v/>
      </c>
      <c r="O896" s="15">
        <f>($E896-$C896)*100</f>
        <v/>
      </c>
      <c r="P896" s="15">
        <f>($G896-$E896)*100</f>
        <v/>
      </c>
      <c r="Q896" s="15">
        <f>($G896-$C896)*100</f>
        <v/>
      </c>
      <c r="R896" s="15">
        <f>IF($H896="","",($H896-$F896)*100)</f>
        <v/>
      </c>
      <c r="S896" s="15">
        <f>IF($H896="","",($H896-$G896)*100)</f>
        <v/>
      </c>
    </row>
    <row r="897">
      <c r="A897" s="11" t="n">
        <v>42762</v>
      </c>
      <c r="B897" s="22" t="n">
        <v>-0.285</v>
      </c>
      <c r="C897" s="22" t="n">
        <v>-0.2</v>
      </c>
      <c r="D897" s="22" t="n">
        <v>-0.101</v>
      </c>
      <c r="E897" s="22" t="n">
        <v>0.08</v>
      </c>
      <c r="F897" s="22" t="n">
        <v>0.653</v>
      </c>
      <c r="G897" s="22" t="n">
        <v>0.8139999999999999</v>
      </c>
      <c r="H897" s="22" t="n">
        <v>0.913</v>
      </c>
      <c r="I897" s="22" t="n">
        <v>3.06</v>
      </c>
      <c r="J897" s="22" t="n">
        <v>0.82</v>
      </c>
      <c r="K897" s="22" t="n">
        <v>2.49</v>
      </c>
      <c r="L897" s="17">
        <f>$J897-$B897</f>
        <v/>
      </c>
      <c r="M897" s="17">
        <f>$I897-$L897</f>
        <v/>
      </c>
      <c r="N897" s="23">
        <f>($G897-$M897)*100</f>
        <v/>
      </c>
      <c r="O897" s="15">
        <f>($E897-$C897)*100</f>
        <v/>
      </c>
      <c r="P897" s="15">
        <f>($G897-$E897)*100</f>
        <v/>
      </c>
      <c r="Q897" s="15">
        <f>($G897-$C897)*100</f>
        <v/>
      </c>
      <c r="R897" s="15">
        <f>IF($H897="","",($H897-$F897)*100)</f>
        <v/>
      </c>
      <c r="S897" s="15">
        <f>IF($H897="","",($H897-$G897)*100)</f>
        <v/>
      </c>
    </row>
    <row r="898">
      <c r="A898" s="11" t="n">
        <v>42769</v>
      </c>
      <c r="B898" s="22" t="n">
        <v>-0.298</v>
      </c>
      <c r="C898" s="22" t="n">
        <v>-0.231</v>
      </c>
      <c r="D898" s="22" t="n">
        <v>-0.096</v>
      </c>
      <c r="E898" s="22" t="n">
        <v>0.102</v>
      </c>
      <c r="F898" s="22" t="n">
        <v>0.6860000000000001</v>
      </c>
      <c r="G898" s="22" t="n">
        <v>0.84</v>
      </c>
      <c r="H898" s="22" t="n">
        <v>0.926</v>
      </c>
      <c r="I898" s="22" t="n">
        <v>3.11</v>
      </c>
      <c r="J898" s="22" t="n">
        <v>0.82</v>
      </c>
      <c r="K898" s="22" t="n">
        <v>2.49</v>
      </c>
      <c r="L898" s="17">
        <f>$J898-$B898</f>
        <v/>
      </c>
      <c r="M898" s="17">
        <f>$I898-$L898</f>
        <v/>
      </c>
      <c r="N898" s="23">
        <f>($G898-$M898)*100</f>
        <v/>
      </c>
      <c r="O898" s="15">
        <f>($E898-$C898)*100</f>
        <v/>
      </c>
      <c r="P898" s="15">
        <f>($G898-$E898)*100</f>
        <v/>
      </c>
      <c r="Q898" s="15">
        <f>($G898-$C898)*100</f>
        <v/>
      </c>
      <c r="R898" s="15">
        <f>IF($H898="","",($H898-$F898)*100)</f>
        <v/>
      </c>
      <c r="S898" s="15">
        <f>IF($H898="","",($H898-$G898)*100)</f>
        <v/>
      </c>
    </row>
    <row r="899">
      <c r="A899" s="11" t="n">
        <v>42776</v>
      </c>
      <c r="B899" s="22" t="n">
        <v>-0.275</v>
      </c>
      <c r="C899" s="22" t="n">
        <v>-0.214</v>
      </c>
      <c r="D899" s="22" t="n">
        <v>-0.08799999999999999</v>
      </c>
      <c r="E899" s="22" t="n">
        <v>0.08599999999999999</v>
      </c>
      <c r="F899" s="22" t="n">
        <v>0.667</v>
      </c>
      <c r="G899" s="22" t="n">
        <v>0.827</v>
      </c>
      <c r="H899" s="22" t="n">
        <v>0.928</v>
      </c>
      <c r="I899" s="22" t="n">
        <v>3.01</v>
      </c>
      <c r="J899" s="22" t="n">
        <v>0.8100000000000001</v>
      </c>
      <c r="K899" s="22" t="n">
        <v>2.41</v>
      </c>
      <c r="L899" s="17">
        <f>$J899-$B899</f>
        <v/>
      </c>
      <c r="M899" s="17">
        <f>$I899-$L899</f>
        <v/>
      </c>
      <c r="N899" s="23">
        <f>($G899-$M899)*100</f>
        <v/>
      </c>
      <c r="O899" s="15">
        <f>($E899-$C899)*100</f>
        <v/>
      </c>
      <c r="P899" s="15">
        <f>($G899-$E899)*100</f>
        <v/>
      </c>
      <c r="Q899" s="15">
        <f>($G899-$C899)*100</f>
        <v/>
      </c>
      <c r="R899" s="15">
        <f>IF($H899="","",($H899-$F899)*100)</f>
        <v/>
      </c>
      <c r="S899" s="15">
        <f>IF($H899="","",($H899-$G899)*100)</f>
        <v/>
      </c>
    </row>
    <row r="900">
      <c r="A900" s="11" t="n">
        <v>42783</v>
      </c>
      <c r="B900" s="22" t="n">
        <v>-0.262</v>
      </c>
      <c r="C900" s="22" t="n">
        <v>-0.244</v>
      </c>
      <c r="D900" s="22" t="n">
        <v>-0.097</v>
      </c>
      <c r="E900" s="22" t="n">
        <v>0.093</v>
      </c>
      <c r="F900" s="22" t="n">
        <v>0.705</v>
      </c>
      <c r="G900" s="22" t="n">
        <v>0.886</v>
      </c>
      <c r="H900" s="22" t="n">
        <v>0.98</v>
      </c>
      <c r="I900" s="22" t="n">
        <v>3.03</v>
      </c>
      <c r="J900" s="22" t="n">
        <v>0.82</v>
      </c>
      <c r="K900" s="22" t="n">
        <v>2.42</v>
      </c>
      <c r="L900" s="17">
        <f>$J900-$B900</f>
        <v/>
      </c>
      <c r="M900" s="17">
        <f>$I900-$L900</f>
        <v/>
      </c>
      <c r="N900" s="23">
        <f>($G900-$M900)*100</f>
        <v/>
      </c>
      <c r="O900" s="15">
        <f>($E900-$C900)*100</f>
        <v/>
      </c>
      <c r="P900" s="15">
        <f>($G900-$E900)*100</f>
        <v/>
      </c>
      <c r="Q900" s="15">
        <f>($G900-$C900)*100</f>
        <v/>
      </c>
      <c r="R900" s="15">
        <f>IF($H900="","",($H900-$F900)*100)</f>
        <v/>
      </c>
      <c r="S900" s="15">
        <f>IF($H900="","",($H900-$G900)*100)</f>
        <v/>
      </c>
    </row>
    <row r="901">
      <c r="A901" s="11" t="n">
        <v>42790</v>
      </c>
      <c r="B901" s="22" t="n">
        <v>-0.264</v>
      </c>
      <c r="C901" s="22" t="n">
        <v>-0.265</v>
      </c>
      <c r="D901" s="22" t="n">
        <v>-0.131</v>
      </c>
      <c r="E901" s="22" t="n">
        <v>0.067</v>
      </c>
      <c r="F901" s="22" t="n">
        <v>0.65</v>
      </c>
      <c r="G901" s="22" t="n">
        <v>0.823</v>
      </c>
      <c r="H901" s="22" t="n">
        <v>0.925</v>
      </c>
      <c r="I901" s="22" t="n">
        <v>2.95</v>
      </c>
      <c r="J901" s="22" t="n">
        <v>0.8</v>
      </c>
      <c r="K901" s="22" t="n">
        <v>2.31</v>
      </c>
      <c r="L901" s="17">
        <f>$J901-$B901</f>
        <v/>
      </c>
      <c r="M901" s="17">
        <f>$I901-$L901</f>
        <v/>
      </c>
      <c r="N901" s="23">
        <f>($G901-$M901)*100</f>
        <v/>
      </c>
      <c r="O901" s="15">
        <f>($E901-$C901)*100</f>
        <v/>
      </c>
      <c r="P901" s="15">
        <f>($G901-$E901)*100</f>
        <v/>
      </c>
      <c r="Q901" s="15">
        <f>($G901-$C901)*100</f>
        <v/>
      </c>
      <c r="R901" s="15">
        <f>IF($H901="","",($H901-$F901)*100)</f>
        <v/>
      </c>
      <c r="S901" s="15">
        <f>IF($H901="","",($H901-$G901)*100)</f>
        <v/>
      </c>
    </row>
    <row r="902">
      <c r="A902" s="11" t="n">
        <v>42797</v>
      </c>
      <c r="B902" s="22" t="n">
        <v>-0.302</v>
      </c>
      <c r="C902" s="22" t="n">
        <v>-0.291</v>
      </c>
      <c r="D902" s="22" t="n">
        <v>-0.149</v>
      </c>
      <c r="E902" s="22" t="n">
        <v>0.068</v>
      </c>
      <c r="F902" s="22" t="n">
        <v>0.661</v>
      </c>
      <c r="G902" s="22" t="n">
        <v>0.828</v>
      </c>
      <c r="H902" s="22" t="n">
        <v>0.9360000000000001</v>
      </c>
      <c r="I902" s="22" t="n">
        <v>3.08</v>
      </c>
      <c r="J902" s="22" t="n">
        <v>0.98</v>
      </c>
      <c r="K902" s="22" t="n">
        <v>2.49</v>
      </c>
      <c r="L902" s="17">
        <f>$J902-$B902</f>
        <v/>
      </c>
      <c r="M902" s="17">
        <f>$I902-$L902</f>
        <v/>
      </c>
      <c r="N902" s="23">
        <f>($G902-$M902)*100</f>
        <v/>
      </c>
      <c r="O902" s="15">
        <f>($E902-$C902)*100</f>
        <v/>
      </c>
      <c r="P902" s="15">
        <f>($G902-$E902)*100</f>
        <v/>
      </c>
      <c r="Q902" s="15">
        <f>($G902-$C902)*100</f>
        <v/>
      </c>
      <c r="R902" s="15">
        <f>IF($H902="","",($H902-$F902)*100)</f>
        <v/>
      </c>
      <c r="S902" s="15">
        <f>IF($H902="","",($H902-$G902)*100)</f>
        <v/>
      </c>
    </row>
    <row r="903">
      <c r="A903" s="11" t="n">
        <v>42804</v>
      </c>
      <c r="B903" s="22" t="n">
        <v>-0.328</v>
      </c>
      <c r="C903" s="22" t="n">
        <v>-0.264</v>
      </c>
      <c r="D903" s="22" t="n">
        <v>-0.119</v>
      </c>
      <c r="E903" s="22" t="n">
        <v>0.08500000000000001</v>
      </c>
      <c r="F903" s="22" t="n">
        <v>0.681</v>
      </c>
      <c r="G903" s="22" t="n">
        <v>0.858</v>
      </c>
      <c r="H903" s="22" t="n">
        <v>0.962</v>
      </c>
      <c r="I903" s="22" t="n">
        <v>3.16</v>
      </c>
      <c r="J903" s="22" t="n">
        <v>1.03</v>
      </c>
      <c r="K903" s="22" t="n">
        <v>2.58</v>
      </c>
      <c r="L903" s="17">
        <f>$J903-$B903</f>
        <v/>
      </c>
      <c r="M903" s="17">
        <f>$I903-$L903</f>
        <v/>
      </c>
      <c r="N903" s="23">
        <f>($G903-$M903)*100</f>
        <v/>
      </c>
      <c r="O903" s="15">
        <f>($E903-$C903)*100</f>
        <v/>
      </c>
      <c r="P903" s="15">
        <f>($G903-$E903)*100</f>
        <v/>
      </c>
      <c r="Q903" s="15">
        <f>($G903-$C903)*100</f>
        <v/>
      </c>
      <c r="R903" s="15">
        <f>IF($H903="","",($H903-$F903)*100)</f>
        <v/>
      </c>
      <c r="S903" s="15">
        <f>IF($H903="","",($H903-$G903)*100)</f>
        <v/>
      </c>
    </row>
    <row r="904">
      <c r="A904" s="11" t="n">
        <v>42811</v>
      </c>
      <c r="B904" s="22" t="n">
        <v>-0.329</v>
      </c>
      <c r="C904" s="22" t="n">
        <v>-0.265</v>
      </c>
      <c r="D904" s="22" t="n">
        <v>-0.135</v>
      </c>
      <c r="E904" s="22" t="n">
        <v>0.07099999999999999</v>
      </c>
      <c r="F904" s="22" t="n">
        <v>0.653</v>
      </c>
      <c r="G904" s="22" t="n">
        <v>0.832</v>
      </c>
      <c r="H904" s="22" t="n">
        <v>0.949</v>
      </c>
      <c r="I904" s="22" t="n">
        <v>3.11</v>
      </c>
      <c r="J904" s="22" t="n">
        <v>1</v>
      </c>
      <c r="K904" s="22" t="n">
        <v>2.5</v>
      </c>
      <c r="L904" s="17">
        <f>$J904-$B904</f>
        <v/>
      </c>
      <c r="M904" s="17">
        <f>$I904-$L904</f>
        <v/>
      </c>
      <c r="N904" s="23">
        <f>($G904-$M904)*100</f>
        <v/>
      </c>
      <c r="O904" s="15">
        <f>($E904-$C904)*100</f>
        <v/>
      </c>
      <c r="P904" s="15">
        <f>($G904-$E904)*100</f>
        <v/>
      </c>
      <c r="Q904" s="15">
        <f>($G904-$C904)*100</f>
        <v/>
      </c>
      <c r="R904" s="15">
        <f>IF($H904="","",($H904-$F904)*100)</f>
        <v/>
      </c>
      <c r="S904" s="15">
        <f>IF($H904="","",($H904-$G904)*100)</f>
        <v/>
      </c>
    </row>
    <row r="905">
      <c r="A905" s="11" t="n">
        <v>42818</v>
      </c>
      <c r="B905" s="22" t="n">
        <v>-0.313</v>
      </c>
      <c r="C905" s="22" t="n">
        <v>-0.264</v>
      </c>
      <c r="D905" s="22" t="n">
        <v>-0.155</v>
      </c>
      <c r="E905" s="22" t="n">
        <v>0.061</v>
      </c>
      <c r="F905" s="22" t="n">
        <v>0.644</v>
      </c>
      <c r="G905" s="22" t="n">
        <v>0.832</v>
      </c>
      <c r="H905" s="22" t="n">
        <v>0.946</v>
      </c>
      <c r="I905" s="22" t="n">
        <v>3</v>
      </c>
      <c r="J905" s="22" t="n">
        <v>1</v>
      </c>
      <c r="K905" s="22" t="n">
        <v>2.4</v>
      </c>
      <c r="L905" s="17">
        <f>$J905-$B905</f>
        <v/>
      </c>
      <c r="M905" s="17">
        <f>$I905-$L905</f>
        <v/>
      </c>
      <c r="N905" s="23">
        <f>($G905-$M905)*100</f>
        <v/>
      </c>
      <c r="O905" s="15">
        <f>($E905-$C905)*100</f>
        <v/>
      </c>
      <c r="P905" s="15">
        <f>($G905-$E905)*100</f>
        <v/>
      </c>
      <c r="Q905" s="15">
        <f>($G905-$C905)*100</f>
        <v/>
      </c>
      <c r="R905" s="15">
        <f>IF($H905="","",($H905-$F905)*100)</f>
        <v/>
      </c>
      <c r="S905" s="15">
        <f>IF($H905="","",($H905-$G905)*100)</f>
        <v/>
      </c>
    </row>
    <row r="906">
      <c r="A906" s="11" t="n">
        <v>42825</v>
      </c>
      <c r="B906" s="22" t="n">
        <v>-0.254</v>
      </c>
      <c r="C906" s="22" t="n">
        <v>-0.204</v>
      </c>
      <c r="D906" s="22" t="n">
        <v>-0.124</v>
      </c>
      <c r="E906" s="22" t="n">
        <v>0.067</v>
      </c>
      <c r="F906" s="22" t="n">
        <v>0.635</v>
      </c>
      <c r="G906" s="22" t="n">
        <v>0.841</v>
      </c>
      <c r="H906" s="22" t="n">
        <v>0.96</v>
      </c>
      <c r="I906" s="22" t="n">
        <v>3.02</v>
      </c>
      <c r="J906" s="22" t="n">
        <v>1.03</v>
      </c>
      <c r="K906" s="22" t="n">
        <v>2.4</v>
      </c>
      <c r="L906" s="17">
        <f>$J906-$B906</f>
        <v/>
      </c>
      <c r="M906" s="17">
        <f>$I906-$L906</f>
        <v/>
      </c>
      <c r="N906" s="23">
        <f>($G906-$M906)*100</f>
        <v/>
      </c>
      <c r="O906" s="15">
        <f>($E906-$C906)*100</f>
        <v/>
      </c>
      <c r="P906" s="15">
        <f>($G906-$E906)*100</f>
        <v/>
      </c>
      <c r="Q906" s="15">
        <f>($G906-$C906)*100</f>
        <v/>
      </c>
      <c r="R906" s="15">
        <f>IF($H906="","",($H906-$F906)*100)</f>
        <v/>
      </c>
      <c r="S906" s="15">
        <f>IF($H906="","",($H906-$G906)*100)</f>
        <v/>
      </c>
    </row>
    <row r="907">
      <c r="A907" s="11" t="n">
        <v>42832</v>
      </c>
      <c r="B907" s="22" t="n">
        <v>-0.219</v>
      </c>
      <c r="C907" s="22" t="n">
        <v>-0.219</v>
      </c>
      <c r="D907" s="22" t="n">
        <v>-0.152</v>
      </c>
      <c r="E907" s="22" t="n">
        <v>0.048</v>
      </c>
      <c r="F907" s="22" t="n">
        <v>0.621</v>
      </c>
      <c r="G907" s="22" t="n">
        <v>0.828</v>
      </c>
      <c r="H907" s="22" t="n">
        <v>0.961</v>
      </c>
      <c r="I907" s="22" t="n">
        <v>3</v>
      </c>
      <c r="J907" s="22" t="n">
        <v>1.08</v>
      </c>
      <c r="K907" s="22" t="n">
        <v>2.38</v>
      </c>
      <c r="L907" s="17">
        <f>$J907-$B907</f>
        <v/>
      </c>
      <c r="M907" s="17">
        <f>$I907-$L907</f>
        <v/>
      </c>
      <c r="N907" s="23">
        <f>($G907-$M907)*100</f>
        <v/>
      </c>
      <c r="O907" s="15">
        <f>($E907-$C907)*100</f>
        <v/>
      </c>
      <c r="P907" s="15">
        <f>($G907-$E907)*100</f>
        <v/>
      </c>
      <c r="Q907" s="15">
        <f>($G907-$C907)*100</f>
        <v/>
      </c>
      <c r="R907" s="15">
        <f>IF($H907="","",($H907-$F907)*100)</f>
        <v/>
      </c>
      <c r="S907" s="15">
        <f>IF($H907="","",($H907-$G907)*100)</f>
        <v/>
      </c>
    </row>
    <row r="908">
      <c r="A908" s="11" t="n">
        <v>42839</v>
      </c>
      <c r="B908" s="22" t="n">
        <v>-0.218</v>
      </c>
      <c r="C908" s="22" t="n">
        <v>-0.224</v>
      </c>
      <c r="D908" s="22" t="n">
        <v>-0.165</v>
      </c>
      <c r="E908" s="22" t="n">
        <v>0.013</v>
      </c>
      <c r="F908" s="22" t="n">
        <v>0.569</v>
      </c>
      <c r="G908" s="22" t="n">
        <v>0.765</v>
      </c>
      <c r="H908" s="22" t="n">
        <v>0.897</v>
      </c>
      <c r="I908" s="22" t="n">
        <v>2.89</v>
      </c>
      <c r="J908" s="22" t="n">
        <v>1.03</v>
      </c>
      <c r="K908" s="22" t="n">
        <v>2.24</v>
      </c>
      <c r="L908" s="17">
        <f>$J908-$B908</f>
        <v/>
      </c>
      <c r="M908" s="17">
        <f>$I908-$L908</f>
        <v/>
      </c>
      <c r="N908" s="23">
        <f>($G908-$M908)*100</f>
        <v/>
      </c>
      <c r="O908" s="15">
        <f>($E908-$C908)*100</f>
        <v/>
      </c>
      <c r="P908" s="15">
        <f>($G908-$E908)*100</f>
        <v/>
      </c>
      <c r="Q908" s="15">
        <f>($G908-$C908)*100</f>
        <v/>
      </c>
      <c r="R908" s="15">
        <f>IF($H908="","",($H908-$F908)*100)</f>
        <v/>
      </c>
      <c r="S908" s="15">
        <f>IF($H908="","",($H908-$G908)*100)</f>
        <v/>
      </c>
    </row>
    <row r="909">
      <c r="A909" s="11" t="n">
        <v>42846</v>
      </c>
      <c r="B909" s="22" t="n">
        <v>-0.216</v>
      </c>
      <c r="C909" s="22" t="n">
        <v>-0.222</v>
      </c>
      <c r="D909" s="22" t="n">
        <v>-0.173</v>
      </c>
      <c r="E909" s="22" t="n">
        <v>0.014</v>
      </c>
      <c r="F909" s="22" t="n">
        <v>0.555</v>
      </c>
      <c r="G909" s="22" t="n">
        <v>0.761</v>
      </c>
      <c r="H909" s="22" t="n">
        <v>0.898</v>
      </c>
      <c r="I909" s="22" t="n">
        <v>2.89</v>
      </c>
      <c r="J909" s="22" t="n">
        <v>0.99</v>
      </c>
      <c r="K909" s="22" t="n">
        <v>2.24</v>
      </c>
      <c r="L909" s="17">
        <f>$J909-$B909</f>
        <v/>
      </c>
      <c r="M909" s="17">
        <f>$I909-$L909</f>
        <v/>
      </c>
      <c r="N909" s="23">
        <f>($G909-$M909)*100</f>
        <v/>
      </c>
      <c r="O909" s="15">
        <f>($E909-$C909)*100</f>
        <v/>
      </c>
      <c r="P909" s="15">
        <f>($G909-$E909)*100</f>
        <v/>
      </c>
      <c r="Q909" s="15">
        <f>($G909-$C909)*100</f>
        <v/>
      </c>
      <c r="R909" s="15">
        <f>IF($H909="","",($H909-$F909)*100)</f>
        <v/>
      </c>
      <c r="S909" s="15">
        <f>IF($H909="","",($H909-$G909)*100)</f>
        <v/>
      </c>
    </row>
    <row r="910">
      <c r="A910" s="11" t="n">
        <v>42853</v>
      </c>
      <c r="B910" s="22" t="n">
        <v>-0.203</v>
      </c>
      <c r="C910" s="22" t="n">
        <v>-0.207</v>
      </c>
      <c r="D910" s="22" t="n">
        <v>-0.162</v>
      </c>
      <c r="E910" s="22" t="n">
        <v>0.016</v>
      </c>
      <c r="F910" s="22" t="n">
        <v>0.5620000000000001</v>
      </c>
      <c r="G910" s="22" t="n">
        <v>0.78</v>
      </c>
      <c r="H910" s="22" t="n">
        <v>0.921</v>
      </c>
      <c r="I910" s="22" t="n">
        <v>2.96</v>
      </c>
      <c r="J910" s="22" t="n">
        <v>1.07</v>
      </c>
      <c r="K910" s="22" t="n">
        <v>2.29</v>
      </c>
      <c r="L910" s="17">
        <f>$J910-$B910</f>
        <v/>
      </c>
      <c r="M910" s="17">
        <f>$I910-$L910</f>
        <v/>
      </c>
      <c r="N910" s="23">
        <f>($G910-$M910)*100</f>
        <v/>
      </c>
      <c r="O910" s="15">
        <f>($E910-$C910)*100</f>
        <v/>
      </c>
      <c r="P910" s="15">
        <f>($G910-$E910)*100</f>
        <v/>
      </c>
      <c r="Q910" s="15">
        <f>($G910-$C910)*100</f>
        <v/>
      </c>
      <c r="R910" s="15">
        <f>IF($H910="","",($H910-$F910)*100)</f>
        <v/>
      </c>
      <c r="S910" s="15">
        <f>IF($H910="","",($H910-$G910)*100)</f>
        <v/>
      </c>
    </row>
    <row r="911">
      <c r="A911" s="11" t="n">
        <v>42860</v>
      </c>
      <c r="B911" s="22" t="n">
        <v>-0.207</v>
      </c>
      <c r="C911" s="22" t="n">
        <v>-0.202</v>
      </c>
      <c r="D911" s="22" t="n">
        <v>-0.156</v>
      </c>
      <c r="E911" s="22" t="n">
        <v>0.022</v>
      </c>
      <c r="F911" s="22" t="n">
        <v>0.572</v>
      </c>
      <c r="G911" s="22" t="n">
        <v>0.794</v>
      </c>
      <c r="H911" s="22" t="n">
        <v>0.927</v>
      </c>
      <c r="I911" s="22" t="n">
        <v>2.99</v>
      </c>
      <c r="J911" s="22" t="n">
        <v>1.1</v>
      </c>
      <c r="K911" s="22" t="n">
        <v>2.36</v>
      </c>
      <c r="L911" s="17">
        <f>$J911-$B911</f>
        <v/>
      </c>
      <c r="M911" s="17">
        <f>$I911-$L911</f>
        <v/>
      </c>
      <c r="N911" s="23">
        <f>($G911-$M911)*100</f>
        <v/>
      </c>
      <c r="O911" s="15">
        <f>($E911-$C911)*100</f>
        <v/>
      </c>
      <c r="P911" s="15">
        <f>($G911-$E911)*100</f>
        <v/>
      </c>
      <c r="Q911" s="15">
        <f>($G911-$C911)*100</f>
        <v/>
      </c>
      <c r="R911" s="15">
        <f>IF($H911="","",($H911-$F911)*100)</f>
        <v/>
      </c>
      <c r="S911" s="15">
        <f>IF($H911="","",($H911-$G911)*100)</f>
        <v/>
      </c>
    </row>
    <row r="912">
      <c r="A912" s="11" t="n">
        <v>42867</v>
      </c>
      <c r="B912" s="22" t="n">
        <v>-0.176</v>
      </c>
      <c r="C912" s="22" t="n">
        <v>-0.178</v>
      </c>
      <c r="D912" s="22" t="n">
        <v>-0.12</v>
      </c>
      <c r="E912" s="22" t="n">
        <v>0.046</v>
      </c>
      <c r="F912" s="22" t="n">
        <v>0.612</v>
      </c>
      <c r="G912" s="22" t="n">
        <v>0.836</v>
      </c>
      <c r="H912" s="22" t="n">
        <v>0.977</v>
      </c>
      <c r="I912" s="22" t="n">
        <v>2.98</v>
      </c>
      <c r="J912" s="22" t="n">
        <v>1.11</v>
      </c>
      <c r="K912" s="22" t="n">
        <v>2.33</v>
      </c>
      <c r="L912" s="17">
        <f>$J912-$B912</f>
        <v/>
      </c>
      <c r="M912" s="17">
        <f>$I912-$L912</f>
        <v/>
      </c>
      <c r="N912" s="23">
        <f>($G912-$M912)*100</f>
        <v/>
      </c>
      <c r="O912" s="15">
        <f>($E912-$C912)*100</f>
        <v/>
      </c>
      <c r="P912" s="15">
        <f>($G912-$E912)*100</f>
        <v/>
      </c>
      <c r="Q912" s="15">
        <f>($G912-$C912)*100</f>
        <v/>
      </c>
      <c r="R912" s="15">
        <f>IF($H912="","",($H912-$F912)*100)</f>
        <v/>
      </c>
      <c r="S912" s="15">
        <f>IF($H912="","",($H912-$G912)*100)</f>
        <v/>
      </c>
    </row>
    <row r="913">
      <c r="A913" s="11" t="n">
        <v>42874</v>
      </c>
      <c r="B913" s="22" t="n">
        <v>-0.172</v>
      </c>
      <c r="C913" s="22" t="n">
        <v>-0.161</v>
      </c>
      <c r="D913" s="22" t="n">
        <v>-0.121</v>
      </c>
      <c r="E913" s="22" t="n">
        <v>0.043</v>
      </c>
      <c r="F913" s="22" t="n">
        <v>0.569</v>
      </c>
      <c r="G913" s="22" t="n">
        <v>0.794</v>
      </c>
      <c r="H913" s="22" t="n">
        <v>0.9429999999999999</v>
      </c>
      <c r="I913" s="22" t="n">
        <v>2.9</v>
      </c>
      <c r="J913" s="22" t="n">
        <v>1.1</v>
      </c>
      <c r="K913" s="22" t="n">
        <v>2.23</v>
      </c>
      <c r="L913" s="17">
        <f>$J913-$B913</f>
        <v/>
      </c>
      <c r="M913" s="17">
        <f>$I913-$L913</f>
        <v/>
      </c>
      <c r="N913" s="23">
        <f>($G913-$M913)*100</f>
        <v/>
      </c>
      <c r="O913" s="15">
        <f>($E913-$C913)*100</f>
        <v/>
      </c>
      <c r="P913" s="15">
        <f>($G913-$E913)*100</f>
        <v/>
      </c>
      <c r="Q913" s="15">
        <f>($G913-$C913)*100</f>
        <v/>
      </c>
      <c r="R913" s="15">
        <f>IF($H913="","",($H913-$F913)*100)</f>
        <v/>
      </c>
      <c r="S913" s="15">
        <f>IF($H913="","",($H913-$G913)*100)</f>
        <v/>
      </c>
    </row>
    <row r="914">
      <c r="A914" s="11" t="n">
        <v>42881</v>
      </c>
      <c r="B914" s="22" t="n">
        <v>-0.167</v>
      </c>
      <c r="C914" s="22" t="n">
        <v>-0.168</v>
      </c>
      <c r="D914" s="22" t="n">
        <v>-0.123</v>
      </c>
      <c r="E914" s="22" t="n">
        <v>0.044</v>
      </c>
      <c r="F914" s="22" t="n">
        <v>0.5659999999999999</v>
      </c>
      <c r="G914" s="22" t="n">
        <v>0.795</v>
      </c>
      <c r="H914" s="22" t="n">
        <v>0.9419999999999999</v>
      </c>
      <c r="I914" s="22" t="n">
        <v>2.92</v>
      </c>
      <c r="J914" s="22" t="n">
        <v>1.17</v>
      </c>
      <c r="K914" s="22" t="n">
        <v>2.25</v>
      </c>
      <c r="L914" s="17">
        <f>$J914-$B914</f>
        <v/>
      </c>
      <c r="M914" s="17">
        <f>$I914-$L914</f>
        <v/>
      </c>
      <c r="N914" s="23">
        <f>($G914-$M914)*100</f>
        <v/>
      </c>
      <c r="O914" s="15">
        <f>($E914-$C914)*100</f>
        <v/>
      </c>
      <c r="P914" s="15">
        <f>($G914-$E914)*100</f>
        <v/>
      </c>
      <c r="Q914" s="15">
        <f>($G914-$C914)*100</f>
        <v/>
      </c>
      <c r="R914" s="15">
        <f>IF($H914="","",($H914-$F914)*100)</f>
        <v/>
      </c>
      <c r="S914" s="15">
        <f>IF($H914="","",($H914-$G914)*100)</f>
        <v/>
      </c>
    </row>
    <row r="915">
      <c r="A915" s="11" t="n">
        <v>42888</v>
      </c>
      <c r="B915" s="22" t="n">
        <v>-0.156</v>
      </c>
      <c r="C915" s="22" t="n">
        <v>-0.155</v>
      </c>
      <c r="D915" s="22" t="n">
        <v>-0.108</v>
      </c>
      <c r="E915" s="22" t="n">
        <v>0.047</v>
      </c>
      <c r="F915" s="22" t="n">
        <v>0.581</v>
      </c>
      <c r="G915" s="22" t="n">
        <v>0.8090000000000001</v>
      </c>
      <c r="H915" s="22" t="n">
        <v>0.963</v>
      </c>
      <c r="I915" s="22" t="n">
        <v>2.8</v>
      </c>
      <c r="J915" s="22" t="n">
        <v>1.16</v>
      </c>
      <c r="K915" s="22" t="n">
        <v>2.15</v>
      </c>
      <c r="L915" s="17">
        <f>$J915-$B915</f>
        <v/>
      </c>
      <c r="M915" s="17">
        <f>$I915-$L915</f>
        <v/>
      </c>
      <c r="N915" s="23">
        <f>($G915-$M915)*100</f>
        <v/>
      </c>
      <c r="O915" s="15">
        <f>($E915-$C915)*100</f>
        <v/>
      </c>
      <c r="P915" s="15">
        <f>($G915-$E915)*100</f>
        <v/>
      </c>
      <c r="Q915" s="15">
        <f>($G915-$C915)*100</f>
        <v/>
      </c>
      <c r="R915" s="15">
        <f>IF($H915="","",($H915-$F915)*100)</f>
        <v/>
      </c>
      <c r="S915" s="15">
        <f>IF($H915="","",($H915-$G915)*100)</f>
        <v/>
      </c>
    </row>
    <row r="916">
      <c r="A916" s="11" t="n">
        <v>42895</v>
      </c>
      <c r="B916" s="22" t="n">
        <v>-0.13</v>
      </c>
      <c r="C916" s="22" t="n">
        <v>-0.108</v>
      </c>
      <c r="D916" s="22" t="n">
        <v>-0.08</v>
      </c>
      <c r="E916" s="22" t="n">
        <v>0.05</v>
      </c>
      <c r="F916" s="22" t="n">
        <v>0.576</v>
      </c>
      <c r="G916" s="22" t="n">
        <v>0.8179999999999999</v>
      </c>
      <c r="H916" s="22" t="n">
        <v>0.986</v>
      </c>
      <c r="I916" s="22" t="n">
        <v>2.86</v>
      </c>
      <c r="J916" s="22" t="n">
        <v>1.2</v>
      </c>
      <c r="K916" s="22" t="n">
        <v>2.21</v>
      </c>
      <c r="L916" s="17">
        <f>$J916-$B916</f>
        <v/>
      </c>
      <c r="M916" s="17">
        <f>$I916-$L916</f>
        <v/>
      </c>
      <c r="N916" s="23">
        <f>($G916-$M916)*100</f>
        <v/>
      </c>
      <c r="O916" s="15">
        <f>($E916-$C916)*100</f>
        <v/>
      </c>
      <c r="P916" s="15">
        <f>($G916-$E916)*100</f>
        <v/>
      </c>
      <c r="Q916" s="15">
        <f>($G916-$C916)*100</f>
        <v/>
      </c>
      <c r="R916" s="15">
        <f>IF($H916="","",($H916-$F916)*100)</f>
        <v/>
      </c>
      <c r="S916" s="15">
        <f>IF($H916="","",($H916-$G916)*100)</f>
        <v/>
      </c>
    </row>
    <row r="917">
      <c r="A917" s="11" t="n">
        <v>42902</v>
      </c>
      <c r="B917" s="22" t="n">
        <v>-0.13</v>
      </c>
      <c r="C917" s="22" t="n">
        <v>-0.12</v>
      </c>
      <c r="D917" s="22" t="n">
        <v>-0.08</v>
      </c>
      <c r="E917" s="22" t="n">
        <v>0.05</v>
      </c>
      <c r="F917" s="22" t="n">
        <v>0.5620000000000001</v>
      </c>
      <c r="G917" s="22" t="n">
        <v>0.805</v>
      </c>
      <c r="H917" s="22" t="n">
        <v>0.973</v>
      </c>
      <c r="I917" s="22" t="n">
        <v>2.78</v>
      </c>
      <c r="J917" s="22" t="n">
        <v>1.21</v>
      </c>
      <c r="K917" s="22" t="n">
        <v>2.16</v>
      </c>
      <c r="L917" s="17">
        <f>$J917-$B917</f>
        <v/>
      </c>
      <c r="M917" s="17">
        <f>$I917-$L917</f>
        <v/>
      </c>
      <c r="N917" s="23">
        <f>($G917-$M917)*100</f>
        <v/>
      </c>
      <c r="O917" s="15">
        <f>($E917-$C917)*100</f>
        <v/>
      </c>
      <c r="P917" s="15">
        <f>($G917-$E917)*100</f>
        <v/>
      </c>
      <c r="Q917" s="15">
        <f>($G917-$C917)*100</f>
        <v/>
      </c>
      <c r="R917" s="15">
        <f>IF($H917="","",($H917-$F917)*100)</f>
        <v/>
      </c>
      <c r="S917" s="15">
        <f>IF($H917="","",($H917-$G917)*100)</f>
        <v/>
      </c>
    </row>
    <row r="918">
      <c r="A918" s="11" t="n">
        <v>42909</v>
      </c>
      <c r="B918" s="22" t="n">
        <v>-0.12</v>
      </c>
      <c r="C918" s="22" t="n">
        <v>-0.103</v>
      </c>
      <c r="D918" s="22" t="n">
        <v>-0.08</v>
      </c>
      <c r="E918" s="22" t="n">
        <v>0.051</v>
      </c>
      <c r="F918" s="22" t="n">
        <v>0.5629999999999999</v>
      </c>
      <c r="G918" s="22" t="n">
        <v>0.796</v>
      </c>
      <c r="H918" s="22" t="n">
        <v>0.966</v>
      </c>
      <c r="I918" s="22" t="n">
        <v>2.71</v>
      </c>
      <c r="J918" s="22" t="n">
        <v>1.21</v>
      </c>
      <c r="K918" s="22" t="n">
        <v>2.15</v>
      </c>
      <c r="L918" s="17">
        <f>$J918-$B918</f>
        <v/>
      </c>
      <c r="M918" s="17">
        <f>$I918-$L918</f>
        <v/>
      </c>
      <c r="N918" s="23">
        <f>($G918-$M918)*100</f>
        <v/>
      </c>
      <c r="O918" s="15">
        <f>($E918-$C918)*100</f>
        <v/>
      </c>
      <c r="P918" s="15">
        <f>($G918-$E918)*100</f>
        <v/>
      </c>
      <c r="Q918" s="15">
        <f>($G918-$C918)*100</f>
        <v/>
      </c>
      <c r="R918" s="15">
        <f>IF($H918="","",($H918-$F918)*100)</f>
        <v/>
      </c>
      <c r="S918" s="15">
        <f>IF($H918="","",($H918-$G918)*100)</f>
        <v/>
      </c>
    </row>
    <row r="919">
      <c r="A919" s="11" t="n">
        <v>42916</v>
      </c>
      <c r="B919" s="22" t="n">
        <v>-0.115</v>
      </c>
      <c r="C919" s="22" t="n">
        <v>-0.115</v>
      </c>
      <c r="D919" s="22" t="n">
        <v>-0.068</v>
      </c>
      <c r="E919" s="22" t="n">
        <v>0.08599999999999999</v>
      </c>
      <c r="F919" s="22" t="n">
        <v>0.592</v>
      </c>
      <c r="G919" s="22" t="n">
        <v>0.842</v>
      </c>
      <c r="H919" s="22" t="n">
        <v>1.017</v>
      </c>
      <c r="I919" s="22" t="n">
        <v>2.84</v>
      </c>
      <c r="J919" s="22" t="n">
        <v>1.24</v>
      </c>
      <c r="K919" s="22" t="n">
        <v>2.31</v>
      </c>
      <c r="L919" s="17">
        <f>$J919-$B919</f>
        <v/>
      </c>
      <c r="M919" s="17">
        <f>$I919-$L919</f>
        <v/>
      </c>
      <c r="N919" s="23">
        <f>($G919-$M919)*100</f>
        <v/>
      </c>
      <c r="O919" s="15">
        <f>($E919-$C919)*100</f>
        <v/>
      </c>
      <c r="P919" s="15">
        <f>($G919-$E919)*100</f>
        <v/>
      </c>
      <c r="Q919" s="15">
        <f>($G919-$C919)*100</f>
        <v/>
      </c>
      <c r="R919" s="15">
        <f>IF($H919="","",($H919-$F919)*100)</f>
        <v/>
      </c>
      <c r="S919" s="15">
        <f>IF($H919="","",($H919-$G919)*100)</f>
        <v/>
      </c>
    </row>
    <row r="920">
      <c r="A920" s="11" t="n">
        <v>42923</v>
      </c>
      <c r="B920" s="22" t="n">
        <v>-0.097</v>
      </c>
      <c r="C920" s="22" t="n">
        <v>-0.102</v>
      </c>
      <c r="D920" s="22" t="n">
        <v>-0.042</v>
      </c>
      <c r="E920" s="22" t="n">
        <v>0.08799999999999999</v>
      </c>
      <c r="F920" s="22" t="n">
        <v>0.616</v>
      </c>
      <c r="G920" s="22" t="n">
        <v>0.878</v>
      </c>
      <c r="H920" s="22" t="n">
        <v>1.055</v>
      </c>
      <c r="I920" s="22" t="n">
        <v>2.93</v>
      </c>
      <c r="J920" s="22" t="n">
        <v>1.22</v>
      </c>
      <c r="K920" s="22" t="n">
        <v>2.39</v>
      </c>
      <c r="L920" s="17">
        <f>$J920-$B920</f>
        <v/>
      </c>
      <c r="M920" s="17">
        <f>$I920-$L920</f>
        <v/>
      </c>
      <c r="N920" s="23">
        <f>($G920-$M920)*100</f>
        <v/>
      </c>
      <c r="O920" s="15">
        <f>($E920-$C920)*100</f>
        <v/>
      </c>
      <c r="P920" s="15">
        <f>($G920-$E920)*100</f>
        <v/>
      </c>
      <c r="Q920" s="15">
        <f>($G920-$C920)*100</f>
        <v/>
      </c>
      <c r="R920" s="15">
        <f>IF($H920="","",($H920-$F920)*100)</f>
        <v/>
      </c>
      <c r="S920" s="15">
        <f>IF($H920="","",($H920-$G920)*100)</f>
        <v/>
      </c>
    </row>
    <row r="921">
      <c r="A921" s="11" t="n">
        <v>42930</v>
      </c>
      <c r="B921" s="22" t="n">
        <v>-0.109</v>
      </c>
      <c r="C921" s="22" t="n">
        <v>-0.109</v>
      </c>
      <c r="D921" s="22" t="n">
        <v>-0.049</v>
      </c>
      <c r="E921" s="22" t="n">
        <v>0.078</v>
      </c>
      <c r="F921" s="22" t="n">
        <v>0.599</v>
      </c>
      <c r="G921" s="22" t="n">
        <v>0.861</v>
      </c>
      <c r="H921" s="22" t="n">
        <v>1.042</v>
      </c>
      <c r="I921" s="22" t="n">
        <v>2.91</v>
      </c>
      <c r="J921" s="22" t="n">
        <v>1.22</v>
      </c>
      <c r="K921" s="22" t="n">
        <v>2.33</v>
      </c>
      <c r="L921" s="17">
        <f>$J921-$B921</f>
        <v/>
      </c>
      <c r="M921" s="17">
        <f>$I921-$L921</f>
        <v/>
      </c>
      <c r="N921" s="23">
        <f>($G921-$M921)*100</f>
        <v/>
      </c>
      <c r="O921" s="15">
        <f>($E921-$C921)*100</f>
        <v/>
      </c>
      <c r="P921" s="15">
        <f>($G921-$E921)*100</f>
        <v/>
      </c>
      <c r="Q921" s="15">
        <f>($G921-$C921)*100</f>
        <v/>
      </c>
      <c r="R921" s="15">
        <f>IF($H921="","",($H921-$F921)*100)</f>
        <v/>
      </c>
      <c r="S921" s="15">
        <f>IF($H921="","",($H921-$G921)*100)</f>
        <v/>
      </c>
    </row>
    <row r="922">
      <c r="A922" s="11" t="n">
        <v>42937</v>
      </c>
      <c r="B922" s="22" t="n">
        <v>-0.114</v>
      </c>
      <c r="C922" s="22" t="n">
        <v>-0.116</v>
      </c>
      <c r="D922" s="22" t="n">
        <v>-0.063</v>
      </c>
      <c r="E922" s="22" t="n">
        <v>0.068</v>
      </c>
      <c r="F922" s="22" t="n">
        <v>0.591</v>
      </c>
      <c r="G922" s="22" t="n">
        <v>0.857</v>
      </c>
      <c r="H922" s="22" t="n">
        <v>1.042</v>
      </c>
      <c r="I922" s="22" t="n">
        <v>2.81</v>
      </c>
      <c r="J922" s="22" t="n">
        <v>1.22</v>
      </c>
      <c r="K922" s="22" t="n">
        <v>2.24</v>
      </c>
      <c r="L922" s="17">
        <f>$J922-$B922</f>
        <v/>
      </c>
      <c r="M922" s="17">
        <f>$I922-$L922</f>
        <v/>
      </c>
      <c r="N922" s="23">
        <f>($G922-$M922)*100</f>
        <v/>
      </c>
      <c r="O922" s="15">
        <f>($E922-$C922)*100</f>
        <v/>
      </c>
      <c r="P922" s="15">
        <f>($G922-$E922)*100</f>
        <v/>
      </c>
      <c r="Q922" s="15">
        <f>($G922-$C922)*100</f>
        <v/>
      </c>
      <c r="R922" s="15">
        <f>IF($H922="","",($H922-$F922)*100)</f>
        <v/>
      </c>
      <c r="S922" s="15">
        <f>IF($H922="","",($H922-$G922)*100)</f>
        <v/>
      </c>
    </row>
    <row r="923">
      <c r="A923" s="11" t="n">
        <v>42944</v>
      </c>
      <c r="B923" s="22" t="n">
        <v>-0.118</v>
      </c>
      <c r="C923" s="22" t="n">
        <v>-0.117</v>
      </c>
      <c r="D923" s="22" t="n">
        <v>-0.064</v>
      </c>
      <c r="E923" s="22" t="n">
        <v>0.074</v>
      </c>
      <c r="F923" s="22" t="n">
        <v>0.588</v>
      </c>
      <c r="G923" s="22" t="n">
        <v>0.857</v>
      </c>
      <c r="H923" s="22" t="n">
        <v>1.057</v>
      </c>
      <c r="I923" s="22" t="n">
        <v>2.89</v>
      </c>
      <c r="J923" s="22" t="n">
        <v>1.22</v>
      </c>
      <c r="K923" s="22" t="n">
        <v>2.3</v>
      </c>
      <c r="L923" s="17">
        <f>$J923-$B923</f>
        <v/>
      </c>
      <c r="M923" s="17">
        <f>$I923-$L923</f>
        <v/>
      </c>
      <c r="N923" s="23">
        <f>($G923-$M923)*100</f>
        <v/>
      </c>
      <c r="O923" s="15">
        <f>($E923-$C923)*100</f>
        <v/>
      </c>
      <c r="P923" s="15">
        <f>($G923-$E923)*100</f>
        <v/>
      </c>
      <c r="Q923" s="15">
        <f>($G923-$C923)*100</f>
        <v/>
      </c>
      <c r="R923" s="15">
        <f>IF($H923="","",($H923-$F923)*100)</f>
        <v/>
      </c>
      <c r="S923" s="15">
        <f>IF($H923="","",($H923-$G923)*100)</f>
        <v/>
      </c>
    </row>
    <row r="924">
      <c r="A924" s="11" t="n">
        <v>42951</v>
      </c>
      <c r="B924" s="22" t="n">
        <v>-0.112</v>
      </c>
      <c r="C924" s="22" t="n">
        <v>-0.113</v>
      </c>
      <c r="D924" s="22" t="n">
        <v>-0.062</v>
      </c>
      <c r="E924" s="22" t="n">
        <v>0.065</v>
      </c>
      <c r="F924" s="22" t="n">
        <v>0.578</v>
      </c>
      <c r="G924" s="22" t="n">
        <v>0.862</v>
      </c>
      <c r="H924" s="22" t="n">
        <v>1.062</v>
      </c>
      <c r="I924" s="22" t="n">
        <v>2.84</v>
      </c>
      <c r="J924" s="22" t="n">
        <v>1.23</v>
      </c>
      <c r="K924" s="22" t="n">
        <v>2.27</v>
      </c>
      <c r="L924" s="17">
        <f>$J924-$B924</f>
        <v/>
      </c>
      <c r="M924" s="17">
        <f>$I924-$L924</f>
        <v/>
      </c>
      <c r="N924" s="23">
        <f>($G924-$M924)*100</f>
        <v/>
      </c>
      <c r="O924" s="15">
        <f>($E924-$C924)*100</f>
        <v/>
      </c>
      <c r="P924" s="15">
        <f>($G924-$E924)*100</f>
        <v/>
      </c>
      <c r="Q924" s="15">
        <f>($G924-$C924)*100</f>
        <v/>
      </c>
      <c r="R924" s="15">
        <f>IF($H924="","",($H924-$F924)*100)</f>
        <v/>
      </c>
      <c r="S924" s="15">
        <f>IF($H924="","",($H924-$G924)*100)</f>
        <v/>
      </c>
    </row>
    <row r="925">
      <c r="A925" s="11" t="n">
        <v>42958</v>
      </c>
      <c r="B925" s="22" t="n">
        <v>-0.116</v>
      </c>
      <c r="C925" s="22" t="n">
        <v>-0.114</v>
      </c>
      <c r="D925" s="22" t="n">
        <v>-0.066</v>
      </c>
      <c r="E925" s="22" t="n">
        <v>0.06</v>
      </c>
      <c r="F925" s="22" t="n">
        <v>0.569</v>
      </c>
      <c r="G925" s="22" t="n">
        <v>0.843</v>
      </c>
      <c r="H925" s="22" t="n">
        <v>1.045</v>
      </c>
      <c r="I925" s="22" t="n">
        <v>2.79</v>
      </c>
      <c r="J925" s="22" t="n">
        <v>1.21</v>
      </c>
      <c r="K925" s="22" t="n">
        <v>2.19</v>
      </c>
      <c r="L925" s="17">
        <f>$J925-$B925</f>
        <v/>
      </c>
      <c r="M925" s="17">
        <f>$I925-$L925</f>
        <v/>
      </c>
      <c r="N925" s="23">
        <f>($G925-$M925)*100</f>
        <v/>
      </c>
      <c r="O925" s="15">
        <f>($E925-$C925)*100</f>
        <v/>
      </c>
      <c r="P925" s="15">
        <f>($G925-$E925)*100</f>
        <v/>
      </c>
      <c r="Q925" s="15">
        <f>($G925-$C925)*100</f>
        <v/>
      </c>
      <c r="R925" s="15">
        <f>IF($H925="","",($H925-$F925)*100)</f>
        <v/>
      </c>
      <c r="S925" s="15">
        <f>IF($H925="","",($H925-$G925)*100)</f>
        <v/>
      </c>
    </row>
    <row r="926">
      <c r="A926" s="11" t="n">
        <v>42965</v>
      </c>
      <c r="B926" s="22" t="n">
        <v>-0.122</v>
      </c>
      <c r="C926" s="22" t="n">
        <v>-0.131</v>
      </c>
      <c r="D926" s="22" t="n">
        <v>-0.096</v>
      </c>
      <c r="E926" s="22" t="n">
        <v>0.043</v>
      </c>
      <c r="F926" s="22" t="n">
        <v>0.571</v>
      </c>
      <c r="G926" s="22" t="n">
        <v>0.848</v>
      </c>
      <c r="H926" s="22" t="n">
        <v>1.044</v>
      </c>
      <c r="I926" s="22" t="n">
        <v>2.78</v>
      </c>
      <c r="J926" s="22" t="n">
        <v>1.24</v>
      </c>
      <c r="K926" s="22" t="n">
        <v>2.19</v>
      </c>
      <c r="L926" s="17">
        <f>$J926-$B926</f>
        <v/>
      </c>
      <c r="M926" s="17">
        <f>$I926-$L926</f>
        <v/>
      </c>
      <c r="N926" s="23">
        <f>($G926-$M926)*100</f>
        <v/>
      </c>
      <c r="O926" s="15">
        <f>($E926-$C926)*100</f>
        <v/>
      </c>
      <c r="P926" s="15">
        <f>($G926-$E926)*100</f>
        <v/>
      </c>
      <c r="Q926" s="15">
        <f>($G926-$C926)*100</f>
        <v/>
      </c>
      <c r="R926" s="15">
        <f>IF($H926="","",($H926-$F926)*100)</f>
        <v/>
      </c>
      <c r="S926" s="15">
        <f>IF($H926="","",($H926-$G926)*100)</f>
        <v/>
      </c>
    </row>
    <row r="927">
      <c r="A927" s="11" t="n">
        <v>42972</v>
      </c>
      <c r="B927" s="22" t="n">
        <v>-0.139</v>
      </c>
      <c r="C927" s="22" t="n">
        <v>-0.157</v>
      </c>
      <c r="D927" s="22" t="n">
        <v>-0.131</v>
      </c>
      <c r="E927" s="22" t="n">
        <v>0.018</v>
      </c>
      <c r="F927" s="22" t="n">
        <v>0.552</v>
      </c>
      <c r="G927" s="22" t="n">
        <v>0.83</v>
      </c>
      <c r="H927" s="22" t="n">
        <v>1.028</v>
      </c>
      <c r="I927" s="22" t="n">
        <v>2.75</v>
      </c>
      <c r="J927" s="22" t="n">
        <v>1.23</v>
      </c>
      <c r="K927" s="22" t="n">
        <v>2.17</v>
      </c>
      <c r="L927" s="17">
        <f>$J927-$B927</f>
        <v/>
      </c>
      <c r="M927" s="17">
        <f>$I927-$L927</f>
        <v/>
      </c>
      <c r="N927" s="23">
        <f>($G927-$M927)*100</f>
        <v/>
      </c>
      <c r="O927" s="15">
        <f>($E927-$C927)*100</f>
        <v/>
      </c>
      <c r="P927" s="15">
        <f>($G927-$E927)*100</f>
        <v/>
      </c>
      <c r="Q927" s="15">
        <f>($G927-$C927)*100</f>
        <v/>
      </c>
      <c r="R927" s="15">
        <f>IF($H927="","",($H927-$F927)*100)</f>
        <v/>
      </c>
      <c r="S927" s="15">
        <f>IF($H927="","",($H927-$G927)*100)</f>
        <v/>
      </c>
    </row>
    <row r="928">
      <c r="A928" s="11" t="n">
        <v>42979</v>
      </c>
      <c r="B928" s="22" t="n">
        <v>-0.146</v>
      </c>
      <c r="C928" s="22" t="n">
        <v>-0.165</v>
      </c>
      <c r="D928" s="22" t="n">
        <v>-0.146</v>
      </c>
      <c r="E928" s="22" t="n">
        <v>0.005</v>
      </c>
      <c r="F928" s="22" t="n">
        <v>0.544</v>
      </c>
      <c r="G928" s="22" t="n">
        <v>0.822</v>
      </c>
      <c r="H928" s="22" t="n">
        <v>1.019</v>
      </c>
      <c r="I928" s="22" t="n">
        <v>2.77</v>
      </c>
      <c r="J928" s="22" t="n">
        <v>1.24</v>
      </c>
      <c r="K928" s="22" t="n">
        <v>2.16</v>
      </c>
      <c r="L928" s="17">
        <f>$J928-$B928</f>
        <v/>
      </c>
      <c r="M928" s="17">
        <f>$I928-$L928</f>
        <v/>
      </c>
      <c r="N928" s="23">
        <f>($G928-$M928)*100</f>
        <v/>
      </c>
      <c r="O928" s="15">
        <f>($E928-$C928)*100</f>
        <v/>
      </c>
      <c r="P928" s="15">
        <f>($G928-$E928)*100</f>
        <v/>
      </c>
      <c r="Q928" s="15">
        <f>($G928-$C928)*100</f>
        <v/>
      </c>
      <c r="R928" s="15">
        <f>IF($H928="","",($H928-$F928)*100)</f>
        <v/>
      </c>
      <c r="S928" s="15">
        <f>IF($H928="","",($H928-$G928)*100)</f>
        <v/>
      </c>
    </row>
    <row r="929">
      <c r="A929" s="11" t="n">
        <v>42986</v>
      </c>
      <c r="B929" s="22" t="n">
        <v>-0.156</v>
      </c>
      <c r="C929" s="22" t="n">
        <v>-0.162</v>
      </c>
      <c r="D929" s="22" t="n">
        <v>-0.155</v>
      </c>
      <c r="E929" s="22" t="n">
        <v>-0.012</v>
      </c>
      <c r="F929" s="22" t="n">
        <v>0.535</v>
      </c>
      <c r="G929" s="22" t="n">
        <v>0.804</v>
      </c>
      <c r="H929" s="22" t="n">
        <v>1.003</v>
      </c>
      <c r="I929" s="22" t="n">
        <v>2.67</v>
      </c>
      <c r="J929" s="22" t="n">
        <v>1.22</v>
      </c>
      <c r="K929" s="22" t="n">
        <v>2.06</v>
      </c>
      <c r="L929" s="17">
        <f>$J929-$B929</f>
        <v/>
      </c>
      <c r="M929" s="17">
        <f>$I929-$L929</f>
        <v/>
      </c>
      <c r="N929" s="23">
        <f>($G929-$M929)*100</f>
        <v/>
      </c>
      <c r="O929" s="15">
        <f>($E929-$C929)*100</f>
        <v/>
      </c>
      <c r="P929" s="15">
        <f>($G929-$E929)*100</f>
        <v/>
      </c>
      <c r="Q929" s="15">
        <f>($G929-$C929)*100</f>
        <v/>
      </c>
      <c r="R929" s="15">
        <f>IF($H929="","",($H929-$F929)*100)</f>
        <v/>
      </c>
      <c r="S929" s="15">
        <f>IF($H929="","",($H929-$G929)*100)</f>
        <v/>
      </c>
    </row>
    <row r="930">
      <c r="A930" s="11" t="n">
        <v>42993</v>
      </c>
      <c r="B930" s="22" t="n">
        <v>-0.15</v>
      </c>
      <c r="C930" s="22" t="n">
        <v>-0.15</v>
      </c>
      <c r="D930" s="22" t="n">
        <v>-0.125</v>
      </c>
      <c r="E930" s="22" t="n">
        <v>0.015</v>
      </c>
      <c r="F930" s="22" t="n">
        <v>0.547</v>
      </c>
      <c r="G930" s="22" t="n">
        <v>0.823</v>
      </c>
      <c r="H930" s="22" t="n">
        <v>1.022</v>
      </c>
      <c r="I930" s="22" t="n">
        <v>2.77</v>
      </c>
      <c r="J930" s="22" t="n">
        <v>1.3</v>
      </c>
      <c r="K930" s="22" t="n">
        <v>2.2</v>
      </c>
      <c r="L930" s="17">
        <f>$J930-$B930</f>
        <v/>
      </c>
      <c r="M930" s="17">
        <f>$I930-$L930</f>
        <v/>
      </c>
      <c r="N930" s="23">
        <f>($G930-$M930)*100</f>
        <v/>
      </c>
      <c r="O930" s="15">
        <f>($E930-$C930)*100</f>
        <v/>
      </c>
      <c r="P930" s="15">
        <f>($G930-$E930)*100</f>
        <v/>
      </c>
      <c r="Q930" s="15">
        <f>($G930-$C930)*100</f>
        <v/>
      </c>
      <c r="R930" s="15">
        <f>IF($H930="","",($H930-$F930)*100)</f>
        <v/>
      </c>
      <c r="S930" s="15">
        <f>IF($H930="","",($H930-$G930)*100)</f>
        <v/>
      </c>
    </row>
    <row r="931">
      <c r="A931" s="11" t="n">
        <v>43000</v>
      </c>
      <c r="B931" s="22" t="n">
        <v>-0.144</v>
      </c>
      <c r="C931" s="22" t="n">
        <v>-0.137</v>
      </c>
      <c r="D931" s="22" t="n">
        <v>-0.116</v>
      </c>
      <c r="E931" s="22" t="n">
        <v>0.021</v>
      </c>
      <c r="F931" s="22" t="n">
        <v>0.543</v>
      </c>
      <c r="G931" s="22" t="n">
        <v>0.8139999999999999</v>
      </c>
      <c r="H931" s="22" t="n">
        <v>1.021</v>
      </c>
      <c r="I931" s="22" t="n">
        <v>2.8</v>
      </c>
      <c r="J931" s="22" t="n">
        <v>1.3</v>
      </c>
      <c r="K931" s="22" t="n">
        <v>2.26</v>
      </c>
      <c r="L931" s="17">
        <f>$J931-$B931</f>
        <v/>
      </c>
      <c r="M931" s="17">
        <f>$I931-$L931</f>
        <v/>
      </c>
      <c r="N931" s="23">
        <f>($G931-$M931)*100</f>
        <v/>
      </c>
      <c r="O931" s="15">
        <f>($E931-$C931)*100</f>
        <v/>
      </c>
      <c r="P931" s="15">
        <f>($G931-$E931)*100</f>
        <v/>
      </c>
      <c r="Q931" s="15">
        <f>($G931-$C931)*100</f>
        <v/>
      </c>
      <c r="R931" s="15">
        <f>IF($H931="","",($H931-$F931)*100)</f>
        <v/>
      </c>
      <c r="S931" s="15">
        <f>IF($H931="","",($H931-$G931)*100)</f>
        <v/>
      </c>
    </row>
    <row r="932">
      <c r="A932" s="11" t="n">
        <v>43007</v>
      </c>
      <c r="B932" s="22" t="n">
        <v>-0.134</v>
      </c>
      <c r="C932" s="22" t="n">
        <v>-0.12</v>
      </c>
      <c r="D932" s="22" t="n">
        <v>-0.078</v>
      </c>
      <c r="E932" s="22" t="n">
        <v>0.062</v>
      </c>
      <c r="F932" s="22" t="n">
        <v>0.578</v>
      </c>
      <c r="G932" s="22" t="n">
        <v>0.855</v>
      </c>
      <c r="H932" s="22" t="n">
        <v>1.057</v>
      </c>
      <c r="I932" s="22" t="n">
        <v>2.86</v>
      </c>
      <c r="J932" s="22" t="n">
        <v>1.31</v>
      </c>
      <c r="K932" s="22" t="n">
        <v>2.33</v>
      </c>
      <c r="L932" s="17">
        <f>$J932-$B932</f>
        <v/>
      </c>
      <c r="M932" s="17">
        <f>$I932-$L932</f>
        <v/>
      </c>
      <c r="N932" s="23">
        <f>($G932-$M932)*100</f>
        <v/>
      </c>
      <c r="O932" s="15">
        <f>($E932-$C932)*100</f>
        <v/>
      </c>
      <c r="P932" s="15">
        <f>($G932-$E932)*100</f>
        <v/>
      </c>
      <c r="Q932" s="15">
        <f>($G932-$C932)*100</f>
        <v/>
      </c>
      <c r="R932" s="15">
        <f>IF($H932="","",($H932-$F932)*100)</f>
        <v/>
      </c>
      <c r="S932" s="15">
        <f>IF($H932="","",($H932-$G932)*100)</f>
        <v/>
      </c>
    </row>
    <row r="933">
      <c r="A933" s="11" t="n">
        <v>43014</v>
      </c>
      <c r="B933" s="22" t="n">
        <v>-0.143</v>
      </c>
      <c r="C933" s="22" t="n">
        <v>-0.14</v>
      </c>
      <c r="D933" s="22" t="n">
        <v>-0.099</v>
      </c>
      <c r="E933" s="22" t="n">
        <v>0.053</v>
      </c>
      <c r="F933" s="22" t="n">
        <v>0.593</v>
      </c>
      <c r="G933" s="22" t="n">
        <v>0.873</v>
      </c>
      <c r="H933" s="22" t="n">
        <v>1.07</v>
      </c>
      <c r="I933" s="22" t="n">
        <v>2.91</v>
      </c>
      <c r="J933" s="22" t="n">
        <v>1.35</v>
      </c>
      <c r="K933" s="22" t="n">
        <v>2.37</v>
      </c>
      <c r="L933" s="17">
        <f>$J933-$B933</f>
        <v/>
      </c>
      <c r="M933" s="17">
        <f>$I933-$L933</f>
        <v/>
      </c>
      <c r="N933" s="23">
        <f>($G933-$M933)*100</f>
        <v/>
      </c>
      <c r="O933" s="15">
        <f>($E933-$C933)*100</f>
        <v/>
      </c>
      <c r="P933" s="15">
        <f>($G933-$E933)*100</f>
        <v/>
      </c>
      <c r="Q933" s="15">
        <f>($G933-$C933)*100</f>
        <v/>
      </c>
      <c r="R933" s="15">
        <f>IF($H933="","",($H933-$F933)*100)</f>
        <v/>
      </c>
      <c r="S933" s="15">
        <f>IF($H933="","",($H933-$G933)*100)</f>
        <v/>
      </c>
    </row>
    <row r="934">
      <c r="A934" s="11" t="n">
        <v>43021</v>
      </c>
      <c r="B934" s="22" t="n">
        <v>-0.149</v>
      </c>
      <c r="C934" s="22" t="n">
        <v>-0.144</v>
      </c>
      <c r="D934" s="22" t="n">
        <v>-0.089</v>
      </c>
      <c r="E934" s="22" t="n">
        <v>0.063</v>
      </c>
      <c r="F934" s="22" t="n">
        <v>0.594</v>
      </c>
      <c r="G934" s="22" t="n">
        <v>0.865</v>
      </c>
      <c r="H934" s="22" t="n">
        <v>1.065</v>
      </c>
      <c r="I934" s="22" t="n">
        <v>2.81</v>
      </c>
      <c r="J934" s="22" t="n">
        <v>1.39</v>
      </c>
      <c r="K934" s="22" t="n">
        <v>2.28</v>
      </c>
      <c r="L934" s="17">
        <f>$J934-$B934</f>
        <v/>
      </c>
      <c r="M934" s="17">
        <f>$I934-$L934</f>
        <v/>
      </c>
      <c r="N934" s="23">
        <f>($G934-$M934)*100</f>
        <v/>
      </c>
      <c r="O934" s="15">
        <f>($E934-$C934)*100</f>
        <v/>
      </c>
      <c r="P934" s="15">
        <f>($G934-$E934)*100</f>
        <v/>
      </c>
      <c r="Q934" s="15">
        <f>($G934-$C934)*100</f>
        <v/>
      </c>
      <c r="R934" s="15">
        <f>IF($H934="","",($H934-$F934)*100)</f>
        <v/>
      </c>
      <c r="S934" s="15">
        <f>IF($H934="","",($H934-$G934)*100)</f>
        <v/>
      </c>
    </row>
    <row r="935">
      <c r="A935" s="11" t="n">
        <v>43028</v>
      </c>
      <c r="B935" s="22" t="n">
        <v>-0.152</v>
      </c>
      <c r="C935" s="22" t="n">
        <v>-0.136</v>
      </c>
      <c r="D935" s="22" t="n">
        <v>-0.08400000000000001</v>
      </c>
      <c r="E935" s="22" t="n">
        <v>0.074</v>
      </c>
      <c r="F935" s="22" t="n">
        <v>0.604</v>
      </c>
      <c r="G935" s="22" t="n">
        <v>0.879</v>
      </c>
      <c r="H935" s="22" t="n">
        <v>1.079</v>
      </c>
      <c r="I935" s="22" t="n">
        <v>2.89</v>
      </c>
      <c r="J935" s="22" t="n">
        <v>1.43</v>
      </c>
      <c r="K935" s="22" t="n">
        <v>2.39</v>
      </c>
      <c r="L935" s="17">
        <f>$J935-$B935</f>
        <v/>
      </c>
      <c r="M935" s="17">
        <f>$I935-$L935</f>
        <v/>
      </c>
      <c r="N935" s="23">
        <f>($G935-$M935)*100</f>
        <v/>
      </c>
      <c r="O935" s="15">
        <f>($E935-$C935)*100</f>
        <v/>
      </c>
      <c r="P935" s="15">
        <f>($G935-$E935)*100</f>
        <v/>
      </c>
      <c r="Q935" s="15">
        <f>($G935-$C935)*100</f>
        <v/>
      </c>
      <c r="R935" s="15">
        <f>IF($H935="","",($H935-$F935)*100)</f>
        <v/>
      </c>
      <c r="S935" s="15">
        <f>IF($H935="","",($H935-$G935)*100)</f>
        <v/>
      </c>
    </row>
    <row r="936">
      <c r="A936" s="11" t="n">
        <v>43035</v>
      </c>
      <c r="B936" s="22" t="n">
        <v>-0.158</v>
      </c>
      <c r="C936" s="22" t="n">
        <v>-0.149</v>
      </c>
      <c r="D936" s="22" t="n">
        <v>-0.091</v>
      </c>
      <c r="E936" s="22" t="n">
        <v>0.07000000000000001</v>
      </c>
      <c r="F936" s="22" t="n">
        <v>0.601</v>
      </c>
      <c r="G936" s="22" t="n">
        <v>0.865</v>
      </c>
      <c r="H936" s="22" t="n">
        <v>1.058</v>
      </c>
      <c r="I936" s="22" t="n">
        <v>2.93</v>
      </c>
      <c r="J936" s="22" t="n">
        <v>1.42</v>
      </c>
      <c r="K936" s="22" t="n">
        <v>2.42</v>
      </c>
      <c r="L936" s="17">
        <f>$J936-$B936</f>
        <v/>
      </c>
      <c r="M936" s="17">
        <f>$I936-$L936</f>
        <v/>
      </c>
      <c r="N936" s="23">
        <f>($G936-$M936)*100</f>
        <v/>
      </c>
      <c r="O936" s="15">
        <f>($E936-$C936)*100</f>
        <v/>
      </c>
      <c r="P936" s="15">
        <f>($G936-$E936)*100</f>
        <v/>
      </c>
      <c r="Q936" s="15">
        <f>($G936-$C936)*100</f>
        <v/>
      </c>
      <c r="R936" s="15">
        <f>IF($H936="","",($H936-$F936)*100)</f>
        <v/>
      </c>
      <c r="S936" s="15">
        <f>IF($H936="","",($H936-$G936)*100)</f>
        <v/>
      </c>
    </row>
    <row r="937">
      <c r="A937" s="11" t="n">
        <v>43042</v>
      </c>
      <c r="B937" s="22" t="n">
        <v>-0.167</v>
      </c>
      <c r="C937" s="22" t="n">
        <v>-0.163</v>
      </c>
      <c r="D937" s="22" t="n">
        <v>-0.097</v>
      </c>
      <c r="E937" s="22" t="n">
        <v>0.055</v>
      </c>
      <c r="F937" s="22" t="n">
        <v>0.592</v>
      </c>
      <c r="G937" s="22" t="n">
        <v>0.843</v>
      </c>
      <c r="H937" s="22" t="n">
        <v>1.037</v>
      </c>
      <c r="I937" s="22" t="n">
        <v>2.82</v>
      </c>
      <c r="J937" s="22" t="n">
        <v>1.49</v>
      </c>
      <c r="K937" s="22" t="n">
        <v>2.34</v>
      </c>
      <c r="L937" s="17">
        <f>$J937-$B937</f>
        <v/>
      </c>
      <c r="M937" s="17">
        <f>$I937-$L937</f>
        <v/>
      </c>
      <c r="N937" s="23">
        <f>($G937-$M937)*100</f>
        <v/>
      </c>
      <c r="O937" s="15">
        <f>($E937-$C937)*100</f>
        <v/>
      </c>
      <c r="P937" s="15">
        <f>($G937-$E937)*100</f>
        <v/>
      </c>
      <c r="Q937" s="15">
        <f>($G937-$C937)*100</f>
        <v/>
      </c>
      <c r="R937" s="15">
        <f>IF($H937="","",($H937-$F937)*100)</f>
        <v/>
      </c>
      <c r="S937" s="15">
        <f>IF($H937="","",($H937-$G937)*100)</f>
        <v/>
      </c>
    </row>
    <row r="938">
      <c r="A938" s="11" t="n">
        <v>43049</v>
      </c>
      <c r="B938" s="22" t="n">
        <v>-0.187</v>
      </c>
      <c r="C938" s="22" t="n">
        <v>-0.179</v>
      </c>
      <c r="D938" s="22" t="n">
        <v>-0.113</v>
      </c>
      <c r="E938" s="22" t="n">
        <v>0.042</v>
      </c>
      <c r="F938" s="22" t="n">
        <v>0.578</v>
      </c>
      <c r="G938" s="22" t="n">
        <v>0.803</v>
      </c>
      <c r="H938" s="22" t="n">
        <v>0.964</v>
      </c>
      <c r="I938" s="22" t="n">
        <v>2.88</v>
      </c>
      <c r="J938" s="22" t="n">
        <v>1.54</v>
      </c>
      <c r="K938" s="22" t="n">
        <v>2.4</v>
      </c>
      <c r="L938" s="17">
        <f>$J938-$B938</f>
        <v/>
      </c>
      <c r="M938" s="17">
        <f>$I938-$L938</f>
        <v/>
      </c>
      <c r="N938" s="23">
        <f>($G938-$M938)*100</f>
        <v/>
      </c>
      <c r="O938" s="15">
        <f>($E938-$C938)*100</f>
        <v/>
      </c>
      <c r="P938" s="15">
        <f>($G938-$E938)*100</f>
        <v/>
      </c>
      <c r="Q938" s="15">
        <f>($G938-$C938)*100</f>
        <v/>
      </c>
      <c r="R938" s="15">
        <f>IF($H938="","",($H938-$F938)*100)</f>
        <v/>
      </c>
      <c r="S938" s="15">
        <f>IF($H938="","",($H938-$G938)*100)</f>
        <v/>
      </c>
    </row>
    <row r="939">
      <c r="A939" s="11" t="n">
        <v>43056</v>
      </c>
      <c r="B939" s="22" t="n">
        <v>-0.191</v>
      </c>
      <c r="C939" s="22" t="n">
        <v>-0.195</v>
      </c>
      <c r="D939" s="22" t="n">
        <v>-0.121</v>
      </c>
      <c r="E939" s="22" t="n">
        <v>0.038</v>
      </c>
      <c r="F939" s="22" t="n">
        <v>0.58</v>
      </c>
      <c r="G939" s="22" t="n">
        <v>0.823</v>
      </c>
      <c r="H939" s="22" t="n">
        <v>0.987</v>
      </c>
      <c r="I939" s="22" t="n">
        <v>2.78</v>
      </c>
      <c r="J939" s="22" t="n">
        <v>1.6</v>
      </c>
      <c r="K939" s="22" t="n">
        <v>2.35</v>
      </c>
      <c r="L939" s="17">
        <f>$J939-$B939</f>
        <v/>
      </c>
      <c r="M939" s="17">
        <f>$I939-$L939</f>
        <v/>
      </c>
      <c r="N939" s="23">
        <f>($G939-$M939)*100</f>
        <v/>
      </c>
      <c r="O939" s="15">
        <f>($E939-$C939)*100</f>
        <v/>
      </c>
      <c r="P939" s="15">
        <f>($G939-$E939)*100</f>
        <v/>
      </c>
      <c r="Q939" s="15">
        <f>($G939-$C939)*100</f>
        <v/>
      </c>
      <c r="R939" s="15">
        <f>IF($H939="","",($H939-$F939)*100)</f>
        <v/>
      </c>
      <c r="S939" s="15">
        <f>IF($H939="","",($H939-$G939)*100)</f>
        <v/>
      </c>
    </row>
    <row r="940">
      <c r="A940" s="11" t="n">
        <v>43063</v>
      </c>
      <c r="B940" s="22" t="n">
        <v>-0.186</v>
      </c>
      <c r="C940" s="22" t="n">
        <v>-0.188</v>
      </c>
      <c r="D940" s="22" t="n">
        <v>-0.132</v>
      </c>
      <c r="E940" s="22" t="n">
        <v>0.035</v>
      </c>
      <c r="F940" s="22" t="n">
        <v>0.576</v>
      </c>
      <c r="G940" s="22" t="n">
        <v>0.826</v>
      </c>
      <c r="H940" s="22" t="n">
        <v>0.997</v>
      </c>
      <c r="I940" s="22" t="n">
        <v>2.76</v>
      </c>
      <c r="J940" s="22" t="n">
        <v>1.61</v>
      </c>
      <c r="K940" s="22" t="n">
        <v>2.34</v>
      </c>
      <c r="L940" s="17">
        <f>$J940-$B940</f>
        <v/>
      </c>
      <c r="M940" s="17">
        <f>$I940-$L940</f>
        <v/>
      </c>
      <c r="N940" s="23">
        <f>($G940-$M940)*100</f>
        <v/>
      </c>
      <c r="O940" s="15">
        <f>($E940-$C940)*100</f>
        <v/>
      </c>
      <c r="P940" s="15">
        <f>($G940-$E940)*100</f>
        <v/>
      </c>
      <c r="Q940" s="15">
        <f>($G940-$C940)*100</f>
        <v/>
      </c>
      <c r="R940" s="15">
        <f>IF($H940="","",($H940-$F940)*100)</f>
        <v/>
      </c>
      <c r="S940" s="15">
        <f>IF($H940="","",($H940-$G940)*100)</f>
        <v/>
      </c>
    </row>
    <row r="941">
      <c r="A941" s="11" t="n">
        <v>43070</v>
      </c>
      <c r="B941" s="22" t="n">
        <v>-0.16</v>
      </c>
      <c r="C941" s="22" t="n">
        <v>-0.16</v>
      </c>
      <c r="D941" s="22" t="n">
        <v>-0.119</v>
      </c>
      <c r="E941" s="22" t="n">
        <v>0.04</v>
      </c>
      <c r="F941" s="22" t="n">
        <v>0.581</v>
      </c>
      <c r="G941" s="22" t="n">
        <v>0.831</v>
      </c>
      <c r="H941" s="22" t="n">
        <v>1.006</v>
      </c>
      <c r="I941" s="22" t="n">
        <v>2.76</v>
      </c>
      <c r="J941" s="22" t="n">
        <v>1.62</v>
      </c>
      <c r="K941" s="22" t="n">
        <v>2.37</v>
      </c>
      <c r="L941" s="17">
        <f>$J941-$B941</f>
        <v/>
      </c>
      <c r="M941" s="17">
        <f>$I941-$L941</f>
        <v/>
      </c>
      <c r="N941" s="23">
        <f>($G941-$M941)*100</f>
        <v/>
      </c>
      <c r="O941" s="15">
        <f>($E941-$C941)*100</f>
        <v/>
      </c>
      <c r="P941" s="15">
        <f>($G941-$E941)*100</f>
        <v/>
      </c>
      <c r="Q941" s="15">
        <f>($G941-$C941)*100</f>
        <v/>
      </c>
      <c r="R941" s="15">
        <f>IF($H941="","",($H941-$F941)*100)</f>
        <v/>
      </c>
      <c r="S941" s="15">
        <f>IF($H941="","",($H941-$G941)*100)</f>
        <v/>
      </c>
    </row>
    <row r="942">
      <c r="A942" s="11" t="n">
        <v>43077</v>
      </c>
      <c r="B942" s="22" t="n">
        <v>-0.155</v>
      </c>
      <c r="C942" s="22" t="n">
        <v>-0.153</v>
      </c>
      <c r="D942" s="22" t="n">
        <v>-0.113</v>
      </c>
      <c r="E942" s="22" t="n">
        <v>0.044</v>
      </c>
      <c r="F942" s="22" t="n">
        <v>0.575</v>
      </c>
      <c r="G942" s="22" t="n">
        <v>0.8129999999999999</v>
      </c>
      <c r="H942" s="22" t="n">
        <v>0.972</v>
      </c>
      <c r="I942" s="22" t="n">
        <v>2.77</v>
      </c>
      <c r="J942" s="22" t="n">
        <v>1.65</v>
      </c>
      <c r="K942" s="22" t="n">
        <v>2.38</v>
      </c>
      <c r="L942" s="17">
        <f>$J942-$B942</f>
        <v/>
      </c>
      <c r="M942" s="17">
        <f>$I942-$L942</f>
        <v/>
      </c>
      <c r="N942" s="23">
        <f>($G942-$M942)*100</f>
        <v/>
      </c>
      <c r="O942" s="15">
        <f>($E942-$C942)*100</f>
        <v/>
      </c>
      <c r="P942" s="15">
        <f>($G942-$E942)*100</f>
        <v/>
      </c>
      <c r="Q942" s="15">
        <f>($G942-$C942)*100</f>
        <v/>
      </c>
      <c r="R942" s="15">
        <f>IF($H942="","",($H942-$F942)*100)</f>
        <v/>
      </c>
      <c r="S942" s="15">
        <f>IF($H942="","",($H942-$G942)*100)</f>
        <v/>
      </c>
    </row>
    <row r="943">
      <c r="A943" s="11" t="n">
        <v>43084</v>
      </c>
      <c r="B943" s="22" t="n">
        <v>-0.15</v>
      </c>
      <c r="C943" s="22" t="n">
        <v>-0.155</v>
      </c>
      <c r="D943" s="22" t="n">
        <v>-0.115</v>
      </c>
      <c r="E943" s="22" t="n">
        <v>0.04</v>
      </c>
      <c r="F943" s="22" t="n">
        <v>0.5669999999999999</v>
      </c>
      <c r="G943" s="22" t="n">
        <v>0.805</v>
      </c>
      <c r="H943" s="22" t="n">
        <v>0.966</v>
      </c>
      <c r="I943" s="22" t="n">
        <v>2.68</v>
      </c>
      <c r="J943" s="22" t="n">
        <v>1.71</v>
      </c>
      <c r="K943" s="22" t="n">
        <v>2.35</v>
      </c>
      <c r="L943" s="17">
        <f>$J943-$B943</f>
        <v/>
      </c>
      <c r="M943" s="17">
        <f>$I943-$L943</f>
        <v/>
      </c>
      <c r="N943" s="23">
        <f>($G943-$M943)*100</f>
        <v/>
      </c>
      <c r="O943" s="15">
        <f>($E943-$C943)*100</f>
        <v/>
      </c>
      <c r="P943" s="15">
        <f>($G943-$E943)*100</f>
        <v/>
      </c>
      <c r="Q943" s="15">
        <f>($G943-$C943)*100</f>
        <v/>
      </c>
      <c r="R943" s="15">
        <f>IF($H943="","",($H943-$F943)*100)</f>
        <v/>
      </c>
      <c r="S943" s="15">
        <f>IF($H943="","",($H943-$G943)*100)</f>
        <v/>
      </c>
    </row>
    <row r="944">
      <c r="A944" s="11" t="n">
        <v>43091</v>
      </c>
      <c r="B944" s="22" t="n">
        <v>-0.154</v>
      </c>
      <c r="C944" s="22" t="n">
        <v>-0.147</v>
      </c>
      <c r="D944" s="22" t="n">
        <v>-0.108</v>
      </c>
      <c r="E944" s="22" t="n">
        <v>0.046</v>
      </c>
      <c r="F944" s="22" t="n">
        <v>0.5679999999999999</v>
      </c>
      <c r="G944" s="22" t="n">
        <v>0.8139999999999999</v>
      </c>
      <c r="H944" s="22" t="n">
        <v>0.979</v>
      </c>
      <c r="I944" s="22" t="n">
        <v>2.83</v>
      </c>
      <c r="J944" s="22" t="n">
        <v>1.73</v>
      </c>
      <c r="K944" s="22" t="n">
        <v>2.48</v>
      </c>
      <c r="L944" s="17">
        <f>$J944-$B944</f>
        <v/>
      </c>
      <c r="M944" s="17">
        <f>$I944-$L944</f>
        <v/>
      </c>
      <c r="N944" s="23">
        <f>($G944-$M944)*100</f>
        <v/>
      </c>
      <c r="O944" s="15">
        <f>($E944-$C944)*100</f>
        <v/>
      </c>
      <c r="P944" s="15">
        <f>($G944-$E944)*100</f>
        <v/>
      </c>
      <c r="Q944" s="15">
        <f>($G944-$C944)*100</f>
        <v/>
      </c>
      <c r="R944" s="15">
        <f>IF($H944="","",($H944-$F944)*100)</f>
        <v/>
      </c>
      <c r="S944" s="15">
        <f>IF($H944="","",($H944-$G944)*100)</f>
        <v/>
      </c>
    </row>
    <row r="945">
      <c r="A945" s="11" t="n">
        <v>43098</v>
      </c>
      <c r="B945" s="22" t="n">
        <v>-0.139</v>
      </c>
      <c r="C945" s="22" t="n">
        <v>-0.14</v>
      </c>
      <c r="D945" s="22" t="n">
        <v>-0.104</v>
      </c>
      <c r="E945" s="22" t="n">
        <v>0.047</v>
      </c>
      <c r="F945" s="22" t="n">
        <v>0.5679999999999999</v>
      </c>
      <c r="G945" s="22" t="n">
        <v>0.805</v>
      </c>
      <c r="H945" s="22" t="n">
        <v>0.97</v>
      </c>
      <c r="I945" s="22" t="n">
        <v>2.74</v>
      </c>
      <c r="J945" s="22" t="n">
        <v>1.76</v>
      </c>
      <c r="K945" s="22" t="n">
        <v>2.4</v>
      </c>
      <c r="L945" s="17">
        <f>$J945-$B945</f>
        <v/>
      </c>
      <c r="M945" s="17">
        <f>$I945-$L945</f>
        <v/>
      </c>
      <c r="N945" s="23">
        <f>($G945-$M945)*100</f>
        <v/>
      </c>
      <c r="O945" s="15">
        <f>($E945-$C945)*100</f>
        <v/>
      </c>
      <c r="P945" s="15">
        <f>($G945-$E945)*100</f>
        <v/>
      </c>
      <c r="Q945" s="15">
        <f>($G945-$C945)*100</f>
        <v/>
      </c>
      <c r="R945" s="15">
        <f>IF($H945="","",($H945-$F945)*100)</f>
        <v/>
      </c>
      <c r="S945" s="15">
        <f>IF($H945="","",($H945-$G945)*100)</f>
        <v/>
      </c>
    </row>
    <row r="946">
      <c r="A946" s="11" t="n">
        <v>43105</v>
      </c>
      <c r="B946" s="22" t="n">
        <v>-0.144</v>
      </c>
      <c r="C946" s="22" t="n">
        <v>-0.138</v>
      </c>
      <c r="D946" s="22" t="n">
        <v>-0.099</v>
      </c>
      <c r="E946" s="22" t="n">
        <v>0.057</v>
      </c>
      <c r="F946" s="22" t="n">
        <v>0.577</v>
      </c>
      <c r="G946" s="22" t="n">
        <v>0.8149999999999999</v>
      </c>
      <c r="H946" s="22" t="n">
        <v>0.98</v>
      </c>
      <c r="I946" s="22" t="n">
        <v>2.81</v>
      </c>
      <c r="J946" s="22" t="n">
        <v>1.8</v>
      </c>
      <c r="K946" s="22" t="n">
        <v>2.47</v>
      </c>
      <c r="L946" s="17">
        <f>$J946-$B946</f>
        <v/>
      </c>
      <c r="M946" s="17">
        <f>$I946-$L946</f>
        <v/>
      </c>
      <c r="N946" s="23">
        <f>($G946-$M946)*100</f>
        <v/>
      </c>
      <c r="O946" s="15">
        <f>($E946-$C946)*100</f>
        <v/>
      </c>
      <c r="P946" s="15">
        <f>($G946-$E946)*100</f>
        <v/>
      </c>
      <c r="Q946" s="15">
        <f>($G946-$C946)*100</f>
        <v/>
      </c>
      <c r="R946" s="15">
        <f>IF($H946="","",($H946-$F946)*100)</f>
        <v/>
      </c>
      <c r="S946" s="15">
        <f>IF($H946="","",($H946-$G946)*100)</f>
        <v/>
      </c>
    </row>
    <row r="947">
      <c r="A947" s="11" t="n">
        <v>43112</v>
      </c>
      <c r="B947" s="22" t="n">
        <v>-0.137</v>
      </c>
      <c r="C947" s="22" t="n">
        <v>-0.134</v>
      </c>
      <c r="D947" s="22" t="n">
        <v>-0.083</v>
      </c>
      <c r="E947" s="22" t="n">
        <v>0.073</v>
      </c>
      <c r="F947" s="22" t="n">
        <v>0.589</v>
      </c>
      <c r="G947" s="22" t="n">
        <v>0.828</v>
      </c>
      <c r="H947" s="22" t="n">
        <v>0.988</v>
      </c>
      <c r="I947" s="22" t="n">
        <v>2.85</v>
      </c>
      <c r="J947" s="22" t="n">
        <v>1.78</v>
      </c>
      <c r="K947" s="22" t="n">
        <v>2.55</v>
      </c>
      <c r="L947" s="17">
        <f>$J947-$B947</f>
        <v/>
      </c>
      <c r="M947" s="17">
        <f>$I947-$L947</f>
        <v/>
      </c>
      <c r="N947" s="23">
        <f>($G947-$M947)*100</f>
        <v/>
      </c>
      <c r="O947" s="15">
        <f>($E947-$C947)*100</f>
        <v/>
      </c>
      <c r="P947" s="15">
        <f>($G947-$E947)*100</f>
        <v/>
      </c>
      <c r="Q947" s="15">
        <f>($G947-$C947)*100</f>
        <v/>
      </c>
      <c r="R947" s="15">
        <f>IF($H947="","",($H947-$F947)*100)</f>
        <v/>
      </c>
      <c r="S947" s="15">
        <f>IF($H947="","",($H947-$G947)*100)</f>
        <v/>
      </c>
    </row>
    <row r="948">
      <c r="A948" s="11" t="n">
        <v>43119</v>
      </c>
      <c r="B948" s="22" t="n">
        <v>-0.132</v>
      </c>
      <c r="C948" s="22" t="n">
        <v>-0.136</v>
      </c>
      <c r="D948" s="22" t="n">
        <v>-0.083</v>
      </c>
      <c r="E948" s="22" t="n">
        <v>0.079</v>
      </c>
      <c r="F948" s="22" t="n">
        <v>0.594</v>
      </c>
      <c r="G948" s="22" t="n">
        <v>0.824</v>
      </c>
      <c r="H948" s="22" t="n">
        <v>0.978</v>
      </c>
      <c r="I948" s="22" t="n">
        <v>2.91</v>
      </c>
      <c r="J948" s="22" t="n">
        <v>1.79</v>
      </c>
      <c r="K948" s="22" t="n">
        <v>2.64</v>
      </c>
      <c r="L948" s="17">
        <f>$J948-$B948</f>
        <v/>
      </c>
      <c r="M948" s="17">
        <f>$I948-$L948</f>
        <v/>
      </c>
      <c r="N948" s="23">
        <f>($G948-$M948)*100</f>
        <v/>
      </c>
      <c r="O948" s="15">
        <f>($E948-$C948)*100</f>
        <v/>
      </c>
      <c r="P948" s="15">
        <f>($G948-$E948)*100</f>
        <v/>
      </c>
      <c r="Q948" s="15">
        <f>($G948-$C948)*100</f>
        <v/>
      </c>
      <c r="R948" s="15">
        <f>IF($H948="","",($H948-$F948)*100)</f>
        <v/>
      </c>
      <c r="S948" s="15">
        <f>IF($H948="","",($H948-$G948)*100)</f>
        <v/>
      </c>
    </row>
    <row r="949">
      <c r="A949" s="11" t="n">
        <v>43126</v>
      </c>
      <c r="B949" s="22" t="n">
        <v>-0.127</v>
      </c>
      <c r="C949" s="22" t="n">
        <v>-0.132</v>
      </c>
      <c r="D949" s="22" t="n">
        <v>-0.08500000000000001</v>
      </c>
      <c r="E949" s="22" t="n">
        <v>0.074</v>
      </c>
      <c r="F949" s="22" t="n">
        <v>0.582</v>
      </c>
      <c r="G949" s="22" t="n">
        <v>0.8110000000000001</v>
      </c>
      <c r="H949" s="22" t="n">
        <v>0.963</v>
      </c>
      <c r="I949" s="22" t="n">
        <v>2.91</v>
      </c>
      <c r="J949" s="22" t="n">
        <v>1.8</v>
      </c>
      <c r="K949" s="22" t="n">
        <v>2.66</v>
      </c>
      <c r="L949" s="17">
        <f>$J949-$B949</f>
        <v/>
      </c>
      <c r="M949" s="17">
        <f>$I949-$L949</f>
        <v/>
      </c>
      <c r="N949" s="23">
        <f>($G949-$M949)*100</f>
        <v/>
      </c>
      <c r="O949" s="15">
        <f>($E949-$C949)*100</f>
        <v/>
      </c>
      <c r="P949" s="15">
        <f>($G949-$E949)*100</f>
        <v/>
      </c>
      <c r="Q949" s="15">
        <f>($G949-$C949)*100</f>
        <v/>
      </c>
      <c r="R949" s="15">
        <f>IF($H949="","",($H949-$F949)*100)</f>
        <v/>
      </c>
      <c r="S949" s="15">
        <f>IF($H949="","",($H949-$G949)*100)</f>
        <v/>
      </c>
    </row>
    <row r="950">
      <c r="A950" s="11" t="n">
        <v>43133</v>
      </c>
      <c r="B950" s="22" t="n">
        <v>-0.132</v>
      </c>
      <c r="C950" s="22" t="n">
        <v>-0.131</v>
      </c>
      <c r="D950" s="22" t="n">
        <v>-0.078</v>
      </c>
      <c r="E950" s="22" t="n">
        <v>0.08500000000000001</v>
      </c>
      <c r="F950" s="22" t="n">
        <v>0.592</v>
      </c>
      <c r="G950" s="22" t="n">
        <v>0.8159999999999999</v>
      </c>
      <c r="H950" s="22" t="n">
        <v>0.959</v>
      </c>
      <c r="I950" s="22" t="n">
        <v>3.08</v>
      </c>
      <c r="J950" s="22" t="n">
        <v>1.88</v>
      </c>
      <c r="K950" s="22" t="n">
        <v>2.84</v>
      </c>
      <c r="L950" s="17">
        <f>$J950-$B950</f>
        <v/>
      </c>
      <c r="M950" s="17">
        <f>$I950-$L950</f>
        <v/>
      </c>
      <c r="N950" s="23">
        <f>($G950-$M950)*100</f>
        <v/>
      </c>
      <c r="O950" s="15">
        <f>($E950-$C950)*100</f>
        <v/>
      </c>
      <c r="P950" s="15">
        <f>($G950-$E950)*100</f>
        <v/>
      </c>
      <c r="Q950" s="15">
        <f>($G950-$C950)*100</f>
        <v/>
      </c>
      <c r="R950" s="15">
        <f>IF($H950="","",($H950-$F950)*100)</f>
        <v/>
      </c>
      <c r="S950" s="15">
        <f>IF($H950="","",($H950-$G950)*100)</f>
        <v/>
      </c>
    </row>
    <row r="951">
      <c r="A951" s="11" t="n">
        <v>43140</v>
      </c>
      <c r="B951" s="22" t="n">
        <v>-0.146</v>
      </c>
      <c r="C951" s="22" t="n">
        <v>-0.149</v>
      </c>
      <c r="D951" s="22" t="n">
        <v>-0.08599999999999999</v>
      </c>
      <c r="E951" s="22" t="n">
        <v>0.07099999999999999</v>
      </c>
      <c r="F951" s="22" t="n">
        <v>0.586</v>
      </c>
      <c r="G951" s="22" t="n">
        <v>0.8070000000000001</v>
      </c>
      <c r="H951" s="22" t="n">
        <v>0.949</v>
      </c>
      <c r="I951" s="22" t="n">
        <v>3.14</v>
      </c>
      <c r="J951" s="22" t="n">
        <v>1.89</v>
      </c>
      <c r="K951" s="22" t="n">
        <v>2.83</v>
      </c>
      <c r="L951" s="17">
        <f>$J951-$B951</f>
        <v/>
      </c>
      <c r="M951" s="17">
        <f>$I951-$L951</f>
        <v/>
      </c>
      <c r="N951" s="23">
        <f>($G951-$M951)*100</f>
        <v/>
      </c>
      <c r="O951" s="15">
        <f>($E951-$C951)*100</f>
        <v/>
      </c>
      <c r="P951" s="15">
        <f>($G951-$E951)*100</f>
        <v/>
      </c>
      <c r="Q951" s="15">
        <f>($G951-$C951)*100</f>
        <v/>
      </c>
      <c r="R951" s="15">
        <f>IF($H951="","",($H951-$F951)*100)</f>
        <v/>
      </c>
      <c r="S951" s="15">
        <f>IF($H951="","",($H951-$G951)*100)</f>
        <v/>
      </c>
    </row>
    <row r="952">
      <c r="A952" s="11" t="n">
        <v>43147</v>
      </c>
      <c r="B952" s="22" t="n">
        <v>-0.15</v>
      </c>
      <c r="C952" s="22" t="n">
        <v>-0.16</v>
      </c>
      <c r="D952" s="22" t="n">
        <v>-0.102</v>
      </c>
      <c r="E952" s="22" t="n">
        <v>0.062</v>
      </c>
      <c r="F952" s="22" t="n">
        <v>0.5679999999999999</v>
      </c>
      <c r="G952" s="22" t="n">
        <v>0.789</v>
      </c>
      <c r="H952" s="22" t="n">
        <v>0.9340000000000001</v>
      </c>
      <c r="I952" s="22" t="n">
        <v>3.13</v>
      </c>
      <c r="J952" s="22" t="n">
        <v>2</v>
      </c>
      <c r="K952" s="22" t="n">
        <v>2.87</v>
      </c>
      <c r="L952" s="17">
        <f>$J952-$B952</f>
        <v/>
      </c>
      <c r="M952" s="17">
        <f>$I952-$L952</f>
        <v/>
      </c>
      <c r="N952" s="23">
        <f>($G952-$M952)*100</f>
        <v/>
      </c>
      <c r="O952" s="15">
        <f>($E952-$C952)*100</f>
        <v/>
      </c>
      <c r="P952" s="15">
        <f>($G952-$E952)*100</f>
        <v/>
      </c>
      <c r="Q952" s="15">
        <f>($G952-$C952)*100</f>
        <v/>
      </c>
      <c r="R952" s="15">
        <f>IF($H952="","",($H952-$F952)*100)</f>
        <v/>
      </c>
      <c r="S952" s="15">
        <f>IF($H952="","",($H952-$G952)*100)</f>
        <v/>
      </c>
    </row>
    <row r="953">
      <c r="A953" s="11" t="n">
        <v>43154</v>
      </c>
      <c r="B953" s="22" t="n">
        <v>-0.153</v>
      </c>
      <c r="C953" s="22" t="n">
        <v>-0.153</v>
      </c>
      <c r="D953" s="22" t="n">
        <v>-0.107</v>
      </c>
      <c r="E953" s="22" t="n">
        <v>0.053</v>
      </c>
      <c r="F953" s="22" t="n">
        <v>0.554</v>
      </c>
      <c r="G953" s="22" t="n">
        <v>0.758</v>
      </c>
      <c r="H953" s="22" t="n">
        <v>0.901</v>
      </c>
      <c r="I953" s="22" t="n">
        <v>3.16</v>
      </c>
      <c r="J953" s="22" t="n">
        <v>2.02</v>
      </c>
      <c r="K953" s="22" t="n">
        <v>2.88</v>
      </c>
      <c r="L953" s="17">
        <f>$J953-$B953</f>
        <v/>
      </c>
      <c r="M953" s="17">
        <f>$I953-$L953</f>
        <v/>
      </c>
      <c r="N953" s="23">
        <f>($G953-$M953)*100</f>
        <v/>
      </c>
      <c r="O953" s="15">
        <f>($E953-$C953)*100</f>
        <v/>
      </c>
      <c r="P953" s="15">
        <f>($G953-$E953)*100</f>
        <v/>
      </c>
      <c r="Q953" s="15">
        <f>($G953-$C953)*100</f>
        <v/>
      </c>
      <c r="R953" s="15">
        <f>IF($H953="","",($H953-$F953)*100)</f>
        <v/>
      </c>
      <c r="S953" s="15">
        <f>IF($H953="","",($H953-$G953)*100)</f>
        <v/>
      </c>
    </row>
    <row r="954">
      <c r="A954" s="11" t="n">
        <v>43161</v>
      </c>
      <c r="B954" s="22" t="n">
        <v>-0.15</v>
      </c>
      <c r="C954" s="22" t="n">
        <v>-0.155</v>
      </c>
      <c r="D954" s="22" t="n">
        <v>-0.099</v>
      </c>
      <c r="E954" s="22" t="n">
        <v>0.063</v>
      </c>
      <c r="F954" s="22" t="n">
        <v>0.5649999999999999</v>
      </c>
      <c r="G954" s="22" t="n">
        <v>0.767</v>
      </c>
      <c r="H954" s="22" t="n">
        <v>0.91</v>
      </c>
      <c r="I954" s="22" t="n">
        <v>3.14</v>
      </c>
      <c r="J954" s="22" t="n">
        <v>2.06</v>
      </c>
      <c r="K954" s="22" t="n">
        <v>2.86</v>
      </c>
      <c r="L954" s="17">
        <f>$J954-$B954</f>
        <v/>
      </c>
      <c r="M954" s="17">
        <f>$I954-$L954</f>
        <v/>
      </c>
      <c r="N954" s="23">
        <f>($G954-$M954)*100</f>
        <v/>
      </c>
      <c r="O954" s="15">
        <f>($E954-$C954)*100</f>
        <v/>
      </c>
      <c r="P954" s="15">
        <f>($G954-$E954)*100</f>
        <v/>
      </c>
      <c r="Q954" s="15">
        <f>($G954-$C954)*100</f>
        <v/>
      </c>
      <c r="R954" s="15">
        <f>IF($H954="","",($H954-$F954)*100)</f>
        <v/>
      </c>
      <c r="S954" s="15">
        <f>IF($H954="","",($H954-$G954)*100)</f>
        <v/>
      </c>
    </row>
    <row r="955">
      <c r="A955" s="11" t="n">
        <v>43168</v>
      </c>
      <c r="B955" s="22" t="n">
        <v>-0.155</v>
      </c>
      <c r="C955" s="22" t="n">
        <v>-0.157</v>
      </c>
      <c r="D955" s="22" t="n">
        <v>-0.115</v>
      </c>
      <c r="E955" s="22" t="n">
        <v>0.044</v>
      </c>
      <c r="F955" s="22" t="n">
        <v>0.547</v>
      </c>
      <c r="G955" s="22" t="n">
        <v>0.759</v>
      </c>
      <c r="H955" s="22" t="n">
        <v>0.907</v>
      </c>
      <c r="I955" s="22" t="n">
        <v>3.16</v>
      </c>
      <c r="J955" s="22" t="n">
        <v>2.03</v>
      </c>
      <c r="K955" s="22" t="n">
        <v>2.9</v>
      </c>
      <c r="L955" s="17">
        <f>$J955-$B955</f>
        <v/>
      </c>
      <c r="M955" s="17">
        <f>$I955-$L955</f>
        <v/>
      </c>
      <c r="N955" s="23">
        <f>($G955-$M955)*100</f>
        <v/>
      </c>
      <c r="O955" s="15">
        <f>($E955-$C955)*100</f>
        <v/>
      </c>
      <c r="P955" s="15">
        <f>($G955-$E955)*100</f>
        <v/>
      </c>
      <c r="Q955" s="15">
        <f>($G955-$C955)*100</f>
        <v/>
      </c>
      <c r="R955" s="15">
        <f>IF($H955="","",($H955-$F955)*100)</f>
        <v/>
      </c>
      <c r="S955" s="15">
        <f>IF($H955="","",($H955-$G955)*100)</f>
        <v/>
      </c>
    </row>
    <row r="956">
      <c r="A956" s="11" t="n">
        <v>43175</v>
      </c>
      <c r="B956" s="22" t="n">
        <v>-0.141</v>
      </c>
      <c r="C956" s="22" t="n">
        <v>-0.15</v>
      </c>
      <c r="D956" s="22" t="n">
        <v>-0.115</v>
      </c>
      <c r="E956" s="22" t="n">
        <v>0.031</v>
      </c>
      <c r="F956" s="22" t="n">
        <v>0.533</v>
      </c>
      <c r="G956" s="22" t="n">
        <v>0.759</v>
      </c>
      <c r="H956" s="22" t="n">
        <v>0.911</v>
      </c>
      <c r="I956" s="22" t="n">
        <v>3.08</v>
      </c>
      <c r="J956" s="22" t="n">
        <v>2.08</v>
      </c>
      <c r="K956" s="22" t="n">
        <v>2.85</v>
      </c>
      <c r="L956" s="17">
        <f>$J956-$B956</f>
        <v/>
      </c>
      <c r="M956" s="17">
        <f>$I956-$L956</f>
        <v/>
      </c>
      <c r="N956" s="23">
        <f>($G956-$M956)*100</f>
        <v/>
      </c>
      <c r="O956" s="15">
        <f>($E956-$C956)*100</f>
        <v/>
      </c>
      <c r="P956" s="15">
        <f>($G956-$E956)*100</f>
        <v/>
      </c>
      <c r="Q956" s="15">
        <f>($G956-$C956)*100</f>
        <v/>
      </c>
      <c r="R956" s="15">
        <f>IF($H956="","",($H956-$F956)*100)</f>
        <v/>
      </c>
      <c r="S956" s="15">
        <f>IF($H956="","",($H956-$G956)*100)</f>
        <v/>
      </c>
    </row>
    <row r="957">
      <c r="A957" s="11" t="n">
        <v>43182</v>
      </c>
      <c r="B957" s="22" t="n">
        <v>-0.155</v>
      </c>
      <c r="C957" s="22" t="n">
        <v>-0.157</v>
      </c>
      <c r="D957" s="22" t="n">
        <v>-0.125</v>
      </c>
      <c r="E957" s="22" t="n">
        <v>0.016</v>
      </c>
      <c r="F957" s="22" t="n">
        <v>0.515</v>
      </c>
      <c r="G957" s="22" t="n">
        <v>0.741</v>
      </c>
      <c r="H957" s="22" t="n">
        <v>0.905</v>
      </c>
      <c r="I957" s="22" t="n">
        <v>3.06</v>
      </c>
      <c r="J957" s="22" t="n">
        <v>2.04</v>
      </c>
      <c r="K957" s="22" t="n">
        <v>2.82</v>
      </c>
      <c r="L957" s="17">
        <f>$J957-$B957</f>
        <v/>
      </c>
      <c r="M957" s="17">
        <f>$I957-$L957</f>
        <v/>
      </c>
      <c r="N957" s="23">
        <f>($G957-$M957)*100</f>
        <v/>
      </c>
      <c r="O957" s="15">
        <f>($E957-$C957)*100</f>
        <v/>
      </c>
      <c r="P957" s="15">
        <f>($G957-$E957)*100</f>
        <v/>
      </c>
      <c r="Q957" s="15">
        <f>($G957-$C957)*100</f>
        <v/>
      </c>
      <c r="R957" s="15">
        <f>IF($H957="","",($H957-$F957)*100)</f>
        <v/>
      </c>
      <c r="S957" s="15">
        <f>IF($H957="","",($H957-$G957)*100)</f>
        <v/>
      </c>
    </row>
    <row r="958">
      <c r="A958" s="11" t="n">
        <v>43189</v>
      </c>
      <c r="B958" s="22" t="n">
        <v>-0.134</v>
      </c>
      <c r="C958" s="22" t="n">
        <v>-0.137</v>
      </c>
      <c r="D958" s="22" t="n">
        <v>-0.108</v>
      </c>
      <c r="E958" s="22" t="n">
        <v>0.043</v>
      </c>
      <c r="F958" s="22" t="n">
        <v>0.525</v>
      </c>
      <c r="G958" s="22" t="n">
        <v>0.741</v>
      </c>
      <c r="H958" s="22" t="n">
        <v>0.892</v>
      </c>
      <c r="I958" s="22" t="n">
        <v>2.97</v>
      </c>
      <c r="J958" s="22" t="n">
        <v>2.09</v>
      </c>
      <c r="K958" s="22" t="n">
        <v>2.74</v>
      </c>
      <c r="L958" s="17">
        <f>$J958-$B958</f>
        <v/>
      </c>
      <c r="M958" s="17">
        <f>$I958-$L958</f>
        <v/>
      </c>
      <c r="N958" s="23">
        <f>($G958-$M958)*100</f>
        <v/>
      </c>
      <c r="O958" s="15">
        <f>($E958-$C958)*100</f>
        <v/>
      </c>
      <c r="P958" s="15">
        <f>($G958-$E958)*100</f>
        <v/>
      </c>
      <c r="Q958" s="15">
        <f>($G958-$C958)*100</f>
        <v/>
      </c>
      <c r="R958" s="15">
        <f>IF($H958="","",($H958-$F958)*100)</f>
        <v/>
      </c>
      <c r="S958" s="15">
        <f>IF($H958="","",($H958-$G958)*100)</f>
        <v/>
      </c>
    </row>
    <row r="959">
      <c r="A959" s="11" t="n">
        <v>43196</v>
      </c>
      <c r="B959" s="22" t="n">
        <v>-0.141</v>
      </c>
      <c r="C959" s="22" t="n">
        <v>-0.143</v>
      </c>
      <c r="D959" s="22" t="n">
        <v>-0.115</v>
      </c>
      <c r="E959" s="22" t="n">
        <v>0.038</v>
      </c>
      <c r="F959" s="22" t="n">
        <v>0.522</v>
      </c>
      <c r="G959" s="22" t="n">
        <v>0.746</v>
      </c>
      <c r="H959" s="22" t="n">
        <v>0.893</v>
      </c>
      <c r="I959" s="22" t="n">
        <v>3.01</v>
      </c>
      <c r="J959" s="22" t="n">
        <v>2.06</v>
      </c>
      <c r="K959" s="22" t="n">
        <v>2.77</v>
      </c>
      <c r="L959" s="17">
        <f>$J959-$B959</f>
        <v/>
      </c>
      <c r="M959" s="17">
        <f>$I959-$L959</f>
        <v/>
      </c>
      <c r="N959" s="23">
        <f>($G959-$M959)*100</f>
        <v/>
      </c>
      <c r="O959" s="15">
        <f>($E959-$C959)*100</f>
        <v/>
      </c>
      <c r="P959" s="15">
        <f>($G959-$E959)*100</f>
        <v/>
      </c>
      <c r="Q959" s="15">
        <f>($G959-$C959)*100</f>
        <v/>
      </c>
      <c r="R959" s="15">
        <f>IF($H959="","",($H959-$F959)*100)</f>
        <v/>
      </c>
      <c r="S959" s="15">
        <f>IF($H959="","",($H959-$G959)*100)</f>
        <v/>
      </c>
    </row>
    <row r="960">
      <c r="A960" s="11" t="n">
        <v>43203</v>
      </c>
      <c r="B960" s="22" t="n">
        <v>-0.157</v>
      </c>
      <c r="C960" s="22" t="n">
        <v>-0.159</v>
      </c>
      <c r="D960" s="22" t="n">
        <v>-0.113</v>
      </c>
      <c r="E960" s="22" t="n">
        <v>0.033</v>
      </c>
      <c r="F960" s="22" t="n">
        <v>0.504</v>
      </c>
      <c r="G960" s="22" t="n">
        <v>0.705</v>
      </c>
      <c r="H960" s="22" t="n">
        <v>0.848</v>
      </c>
      <c r="I960" s="22" t="n">
        <v>3.03</v>
      </c>
      <c r="J960" s="22" t="n">
        <v>2.12</v>
      </c>
      <c r="K960" s="22" t="n">
        <v>2.82</v>
      </c>
      <c r="L960" s="17">
        <f>$J960-$B960</f>
        <v/>
      </c>
      <c r="M960" s="17">
        <f>$I960-$L960</f>
        <v/>
      </c>
      <c r="N960" s="23">
        <f>($G960-$M960)*100</f>
        <v/>
      </c>
      <c r="O960" s="15">
        <f>($E960-$C960)*100</f>
        <v/>
      </c>
      <c r="P960" s="15">
        <f>($G960-$E960)*100</f>
        <v/>
      </c>
      <c r="Q960" s="15">
        <f>($G960-$C960)*100</f>
        <v/>
      </c>
      <c r="R960" s="15">
        <f>IF($H960="","",($H960-$F960)*100)</f>
        <v/>
      </c>
      <c r="S960" s="15">
        <f>IF($H960="","",($H960-$G960)*100)</f>
        <v/>
      </c>
    </row>
    <row r="961">
      <c r="A961" s="11" t="n">
        <v>43210</v>
      </c>
      <c r="B961" s="22" t="n">
        <v>-0.133</v>
      </c>
      <c r="C961" s="22" t="n">
        <v>-0.131</v>
      </c>
      <c r="D961" s="22" t="n">
        <v>-0.093</v>
      </c>
      <c r="E961" s="22" t="n">
        <v>0.059</v>
      </c>
      <c r="F961" s="22" t="n">
        <v>0.533</v>
      </c>
      <c r="G961" s="22" t="n">
        <v>0.733</v>
      </c>
      <c r="H961" s="22" t="n">
        <v>0.878</v>
      </c>
      <c r="I961" s="22" t="n">
        <v>3.14</v>
      </c>
      <c r="J961" s="22" t="n">
        <v>2.22</v>
      </c>
      <c r="K961" s="22" t="n">
        <v>2.96</v>
      </c>
      <c r="L961" s="17">
        <f>$J961-$B961</f>
        <v/>
      </c>
      <c r="M961" s="17">
        <f>$I961-$L961</f>
        <v/>
      </c>
      <c r="N961" s="23">
        <f>($G961-$M961)*100</f>
        <v/>
      </c>
      <c r="O961" s="15">
        <f>($E961-$C961)*100</f>
        <v/>
      </c>
      <c r="P961" s="15">
        <f>($G961-$E961)*100</f>
        <v/>
      </c>
      <c r="Q961" s="15">
        <f>($G961-$C961)*100</f>
        <v/>
      </c>
      <c r="R961" s="15">
        <f>IF($H961="","",($H961-$F961)*100)</f>
        <v/>
      </c>
      <c r="S961" s="15">
        <f>IF($H961="","",($H961-$G961)*100)</f>
        <v/>
      </c>
    </row>
    <row r="962">
      <c r="A962" s="11" t="n">
        <v>43217</v>
      </c>
      <c r="B962" s="22" t="n">
        <v>-0.138</v>
      </c>
      <c r="C962" s="22" t="n">
        <v>-0.137</v>
      </c>
      <c r="D962" s="22" t="n">
        <v>-0.102</v>
      </c>
      <c r="E962" s="22" t="n">
        <v>0.055</v>
      </c>
      <c r="F962" s="22" t="n">
        <v>0.533</v>
      </c>
      <c r="G962" s="22" t="n">
        <v>0.747</v>
      </c>
      <c r="H962" s="22" t="n">
        <v>0.884</v>
      </c>
      <c r="I962" s="22" t="n">
        <v>3.13</v>
      </c>
      <c r="J962" s="22" t="n">
        <v>2.24</v>
      </c>
      <c r="K962" s="22" t="n">
        <v>2.96</v>
      </c>
      <c r="L962" s="17">
        <f>$J962-$B962</f>
        <v/>
      </c>
      <c r="M962" s="17">
        <f>$I962-$L962</f>
        <v/>
      </c>
      <c r="N962" s="23">
        <f>($G962-$M962)*100</f>
        <v/>
      </c>
      <c r="O962" s="15">
        <f>($E962-$C962)*100</f>
        <v/>
      </c>
      <c r="P962" s="15">
        <f>($G962-$E962)*100</f>
        <v/>
      </c>
      <c r="Q962" s="15">
        <f>($G962-$C962)*100</f>
        <v/>
      </c>
      <c r="R962" s="15">
        <f>IF($H962="","",($H962-$F962)*100)</f>
        <v/>
      </c>
      <c r="S962" s="15">
        <f>IF($H962="","",($H962-$G962)*100)</f>
        <v/>
      </c>
    </row>
    <row r="963">
      <c r="A963" s="11" t="n">
        <v>43224</v>
      </c>
      <c r="B963" s="22" t="n">
        <v>-0.135</v>
      </c>
      <c r="C963" s="22" t="n">
        <v>-0.138</v>
      </c>
      <c r="D963" s="22" t="n">
        <v>-0.109</v>
      </c>
      <c r="E963" s="22" t="n">
        <v>0.045</v>
      </c>
      <c r="F963" s="22" t="n">
        <v>0.52</v>
      </c>
      <c r="G963" s="22" t="n">
        <v>0.733</v>
      </c>
      <c r="H963" s="22" t="n">
        <v>0.87</v>
      </c>
      <c r="I963" s="22" t="n">
        <v>3.12</v>
      </c>
      <c r="J963" s="22" t="n">
        <v>2.24</v>
      </c>
      <c r="K963" s="22" t="n">
        <v>2.95</v>
      </c>
      <c r="L963" s="17">
        <f>$J963-$B963</f>
        <v/>
      </c>
      <c r="M963" s="17">
        <f>$I963-$L963</f>
        <v/>
      </c>
      <c r="N963" s="23">
        <f>($G963-$M963)*100</f>
        <v/>
      </c>
      <c r="O963" s="15">
        <f>($E963-$C963)*100</f>
        <v/>
      </c>
      <c r="P963" s="15">
        <f>($G963-$E963)*100</f>
        <v/>
      </c>
      <c r="Q963" s="15">
        <f>($G963-$C963)*100</f>
        <v/>
      </c>
      <c r="R963" s="15">
        <f>IF($H963="","",($H963-$F963)*100)</f>
        <v/>
      </c>
      <c r="S963" s="15">
        <f>IF($H963="","",($H963-$G963)*100)</f>
        <v/>
      </c>
    </row>
    <row r="964">
      <c r="A964" s="11" t="n">
        <v>43231</v>
      </c>
      <c r="B964" s="22" t="n">
        <v>-0.137</v>
      </c>
      <c r="C964" s="22" t="n">
        <v>-0.138</v>
      </c>
      <c r="D964" s="22" t="n">
        <v>-0.108</v>
      </c>
      <c r="E964" s="22" t="n">
        <v>0.047</v>
      </c>
      <c r="F964" s="22" t="n">
        <v>0.525</v>
      </c>
      <c r="G964" s="22" t="n">
        <v>0.743</v>
      </c>
      <c r="H964" s="22" t="n">
        <v>0.893</v>
      </c>
      <c r="I964" s="22" t="n">
        <v>3.1</v>
      </c>
      <c r="J964" s="22" t="n">
        <v>2.28</v>
      </c>
      <c r="K964" s="22" t="n">
        <v>2.97</v>
      </c>
      <c r="L964" s="17">
        <f>$J964-$B964</f>
        <v/>
      </c>
      <c r="M964" s="17">
        <f>$I964-$L964</f>
        <v/>
      </c>
      <c r="N964" s="23">
        <f>($G964-$M964)*100</f>
        <v/>
      </c>
      <c r="O964" s="15">
        <f>($E964-$C964)*100</f>
        <v/>
      </c>
      <c r="P964" s="15">
        <f>($G964-$E964)*100</f>
        <v/>
      </c>
      <c r="Q964" s="15">
        <f>($G964-$C964)*100</f>
        <v/>
      </c>
      <c r="R964" s="15">
        <f>IF($H964="","",($H964-$F964)*100)</f>
        <v/>
      </c>
      <c r="S964" s="15">
        <f>IF($H964="","",($H964-$G964)*100)</f>
        <v/>
      </c>
    </row>
    <row r="965">
      <c r="A965" s="11" t="n">
        <v>43238</v>
      </c>
      <c r="B965" s="22" t="n">
        <v>-0.132</v>
      </c>
      <c r="C965" s="22" t="n">
        <v>-0.135</v>
      </c>
      <c r="D965" s="22" t="n">
        <v>-0.101</v>
      </c>
      <c r="E965" s="22" t="n">
        <v>0.062</v>
      </c>
      <c r="F965" s="22" t="n">
        <v>0.545</v>
      </c>
      <c r="G965" s="22" t="n">
        <v>0.766</v>
      </c>
      <c r="H965" s="22" t="n">
        <v>0.918</v>
      </c>
      <c r="I965" s="22" t="n">
        <v>3.2</v>
      </c>
      <c r="J965" s="22" t="n">
        <v>2.32</v>
      </c>
      <c r="K965" s="22" t="n">
        <v>3.06</v>
      </c>
      <c r="L965" s="17">
        <f>$J965-$B965</f>
        <v/>
      </c>
      <c r="M965" s="17">
        <f>$I965-$L965</f>
        <v/>
      </c>
      <c r="N965" s="23">
        <f>($G965-$M965)*100</f>
        <v/>
      </c>
      <c r="O965" s="15">
        <f>($E965-$C965)*100</f>
        <v/>
      </c>
      <c r="P965" s="15">
        <f>($G965-$E965)*100</f>
        <v/>
      </c>
      <c r="Q965" s="15">
        <f>($G965-$C965)*100</f>
        <v/>
      </c>
      <c r="R965" s="15">
        <f>IF($H965="","",($H965-$F965)*100)</f>
        <v/>
      </c>
      <c r="S965" s="15">
        <f>IF($H965="","",($H965-$G965)*100)</f>
        <v/>
      </c>
    </row>
    <row r="966">
      <c r="A966" s="11" t="n">
        <v>43245</v>
      </c>
      <c r="B966" s="22" t="n">
        <v>-0.136</v>
      </c>
      <c r="C966" s="22" t="n">
        <v>-0.143</v>
      </c>
      <c r="D966" s="22" t="n">
        <v>-0.116</v>
      </c>
      <c r="E966" s="22" t="n">
        <v>0.043</v>
      </c>
      <c r="F966" s="22" t="n">
        <v>0.522</v>
      </c>
      <c r="G966" s="22" t="n">
        <v>0.748</v>
      </c>
      <c r="H966" s="22" t="n">
        <v>0.898</v>
      </c>
      <c r="I966" s="22" t="n">
        <v>3.09</v>
      </c>
      <c r="J966" s="22" t="n">
        <v>2.27</v>
      </c>
      <c r="K966" s="22" t="n">
        <v>2.93</v>
      </c>
      <c r="L966" s="17">
        <f>$J966-$B966</f>
        <v/>
      </c>
      <c r="M966" s="17">
        <f>$I966-$L966</f>
        <v/>
      </c>
      <c r="N966" s="23">
        <f>($G966-$M966)*100</f>
        <v/>
      </c>
      <c r="O966" s="15">
        <f>($E966-$C966)*100</f>
        <v/>
      </c>
      <c r="P966" s="15">
        <f>($G966-$E966)*100</f>
        <v/>
      </c>
      <c r="Q966" s="15">
        <f>($G966-$C966)*100</f>
        <v/>
      </c>
      <c r="R966" s="15">
        <f>IF($H966="","",($H966-$F966)*100)</f>
        <v/>
      </c>
      <c r="S966" s="15">
        <f>IF($H966="","",($H966-$G966)*100)</f>
        <v/>
      </c>
    </row>
    <row r="967">
      <c r="A967" s="11" t="n">
        <v>43252</v>
      </c>
      <c r="B967" s="22" t="n">
        <v>-0.141</v>
      </c>
      <c r="C967" s="22" t="n">
        <v>-0.145</v>
      </c>
      <c r="D967" s="22" t="n">
        <v>-0.108</v>
      </c>
      <c r="E967" s="22" t="n">
        <v>0.05</v>
      </c>
      <c r="F967" s="22" t="n">
        <v>0.517</v>
      </c>
      <c r="G967" s="22" t="n">
        <v>0.725</v>
      </c>
      <c r="H967" s="22" t="n">
        <v>0.859</v>
      </c>
      <c r="I967" s="22" t="n">
        <v>3.04</v>
      </c>
      <c r="J967" s="22" t="n">
        <v>2.28</v>
      </c>
      <c r="K967" s="22" t="n">
        <v>2.89</v>
      </c>
      <c r="L967" s="17">
        <f>$J967-$B967</f>
        <v/>
      </c>
      <c r="M967" s="17">
        <f>$I967-$L967</f>
        <v/>
      </c>
      <c r="N967" s="23">
        <f>($G967-$M967)*100</f>
        <v/>
      </c>
      <c r="O967" s="15">
        <f>($E967-$C967)*100</f>
        <v/>
      </c>
      <c r="P967" s="15">
        <f>($G967-$E967)*100</f>
        <v/>
      </c>
      <c r="Q967" s="15">
        <f>($G967-$C967)*100</f>
        <v/>
      </c>
      <c r="R967" s="15">
        <f>IF($H967="","",($H967-$F967)*100)</f>
        <v/>
      </c>
      <c r="S967" s="15">
        <f>IF($H967="","",($H967-$G967)*100)</f>
        <v/>
      </c>
    </row>
    <row r="968">
      <c r="A968" s="11" t="n">
        <v>43259</v>
      </c>
      <c r="B968" s="22" t="n">
        <v>-0.125</v>
      </c>
      <c r="C968" s="22" t="n">
        <v>-0.127</v>
      </c>
      <c r="D968" s="22" t="n">
        <v>-0.096</v>
      </c>
      <c r="E968" s="22" t="n">
        <v>0.051</v>
      </c>
      <c r="F968" s="22" t="n">
        <v>0.518</v>
      </c>
      <c r="G968" s="22" t="n">
        <v>0.722</v>
      </c>
      <c r="H968" s="22" t="n">
        <v>0.855</v>
      </c>
      <c r="I968" s="22" t="n">
        <v>3.08</v>
      </c>
      <c r="J968" s="22" t="n">
        <v>2.3</v>
      </c>
      <c r="K968" s="22" t="n">
        <v>2.93</v>
      </c>
      <c r="L968" s="17">
        <f>$J968-$B968</f>
        <v/>
      </c>
      <c r="M968" s="17">
        <f>$I968-$L968</f>
        <v/>
      </c>
      <c r="N968" s="23">
        <f>($G968-$M968)*100</f>
        <v/>
      </c>
      <c r="O968" s="15">
        <f>($E968-$C968)*100</f>
        <v/>
      </c>
      <c r="P968" s="15">
        <f>($G968-$E968)*100</f>
        <v/>
      </c>
      <c r="Q968" s="15">
        <f>($G968-$C968)*100</f>
        <v/>
      </c>
      <c r="R968" s="15">
        <f>IF($H968="","",($H968-$F968)*100)</f>
        <v/>
      </c>
      <c r="S968" s="15">
        <f>IF($H968="","",($H968-$G968)*100)</f>
        <v/>
      </c>
    </row>
    <row r="969">
      <c r="A969" s="11" t="n">
        <v>43266</v>
      </c>
      <c r="B969" s="22" t="n">
        <v>-0.14</v>
      </c>
      <c r="C969" s="22" t="n">
        <v>-0.138</v>
      </c>
      <c r="D969" s="22" t="n">
        <v>-0.108</v>
      </c>
      <c r="E969" s="22" t="n">
        <v>0.041</v>
      </c>
      <c r="F969" s="22" t="n">
        <v>0.509</v>
      </c>
      <c r="G969" s="22" t="n">
        <v>0.721</v>
      </c>
      <c r="H969" s="22" t="n">
        <v>0.86</v>
      </c>
      <c r="I969" s="22" t="n">
        <v>3.05</v>
      </c>
      <c r="J969" s="22" t="n">
        <v>2.35</v>
      </c>
      <c r="K969" s="22" t="n">
        <v>2.93</v>
      </c>
      <c r="L969" s="17">
        <f>$J969-$B969</f>
        <v/>
      </c>
      <c r="M969" s="17">
        <f>$I969-$L969</f>
        <v/>
      </c>
      <c r="N969" s="23">
        <f>($G969-$M969)*100</f>
        <v/>
      </c>
      <c r="O969" s="15">
        <f>($E969-$C969)*100</f>
        <v/>
      </c>
      <c r="P969" s="15">
        <f>($G969-$E969)*100</f>
        <v/>
      </c>
      <c r="Q969" s="15">
        <f>($G969-$C969)*100</f>
        <v/>
      </c>
      <c r="R969" s="15">
        <f>IF($H969="","",($H969-$F969)*100)</f>
        <v/>
      </c>
      <c r="S969" s="15">
        <f>IF($H969="","",($H969-$G969)*100)</f>
        <v/>
      </c>
    </row>
    <row r="970">
      <c r="A970" s="11" t="n">
        <v>43273</v>
      </c>
      <c r="B970" s="22" t="n">
        <v>-0.134</v>
      </c>
      <c r="C970" s="22" t="n">
        <v>-0.136</v>
      </c>
      <c r="D970" s="22" t="n">
        <v>-0.114</v>
      </c>
      <c r="E970" s="22" t="n">
        <v>0.039</v>
      </c>
      <c r="F970" s="22" t="n">
        <v>0.504</v>
      </c>
      <c r="G970" s="22" t="n">
        <v>0.716</v>
      </c>
      <c r="H970" s="22" t="n">
        <v>0.856</v>
      </c>
      <c r="I970" s="22" t="n">
        <v>3.04</v>
      </c>
      <c r="J970" s="22" t="n">
        <v>2.33</v>
      </c>
      <c r="K970" s="22" t="n">
        <v>2.9</v>
      </c>
      <c r="L970" s="17">
        <f>$J970-$B970</f>
        <v/>
      </c>
      <c r="M970" s="17">
        <f>$I970-$L970</f>
        <v/>
      </c>
      <c r="N970" s="23">
        <f>($G970-$M970)*100</f>
        <v/>
      </c>
      <c r="O970" s="15">
        <f>($E970-$C970)*100</f>
        <v/>
      </c>
      <c r="P970" s="15">
        <f>($G970-$E970)*100</f>
        <v/>
      </c>
      <c r="Q970" s="15">
        <f>($G970-$C970)*100</f>
        <v/>
      </c>
      <c r="R970" s="15">
        <f>IF($H970="","",($H970-$F970)*100)</f>
        <v/>
      </c>
      <c r="S970" s="15">
        <f>IF($H970="","",($H970-$G970)*100)</f>
        <v/>
      </c>
    </row>
    <row r="971">
      <c r="A971" s="11" t="n">
        <v>43280</v>
      </c>
      <c r="B971" s="22" t="n">
        <v>-0.129</v>
      </c>
      <c r="C971" s="22" t="n">
        <v>-0.129</v>
      </c>
      <c r="D971" s="22" t="n">
        <v>-0.112</v>
      </c>
      <c r="E971" s="22" t="n">
        <v>0.04</v>
      </c>
      <c r="F971" s="22" t="n">
        <v>0.505</v>
      </c>
      <c r="G971" s="22" t="n">
        <v>0.718</v>
      </c>
      <c r="H971" s="22" t="n">
        <v>0.852</v>
      </c>
      <c r="I971" s="22" t="n">
        <v>2.98</v>
      </c>
      <c r="J971" s="22" t="n">
        <v>2.33</v>
      </c>
      <c r="K971" s="22" t="n">
        <v>2.85</v>
      </c>
      <c r="L971" s="17">
        <f>$J971-$B971</f>
        <v/>
      </c>
      <c r="M971" s="17">
        <f>$I971-$L971</f>
        <v/>
      </c>
      <c r="N971" s="23">
        <f>($G971-$M971)*100</f>
        <v/>
      </c>
      <c r="O971" s="15">
        <f>($E971-$C971)*100</f>
        <v/>
      </c>
      <c r="P971" s="15">
        <f>($G971-$E971)*100</f>
        <v/>
      </c>
      <c r="Q971" s="15">
        <f>($G971-$C971)*100</f>
        <v/>
      </c>
      <c r="R971" s="15">
        <f>IF($H971="","",($H971-$F971)*100)</f>
        <v/>
      </c>
      <c r="S971" s="15">
        <f>IF($H971="","",($H971-$G971)*100)</f>
        <v/>
      </c>
    </row>
    <row r="972">
      <c r="A972" s="11" t="n">
        <v>43287</v>
      </c>
      <c r="B972" s="22" t="n">
        <v>-0.127</v>
      </c>
      <c r="C972" s="22" t="n">
        <v>-0.132</v>
      </c>
      <c r="D972" s="22" t="n">
        <v>-0.116</v>
      </c>
      <c r="E972" s="22" t="n">
        <v>0.027</v>
      </c>
      <c r="F972" s="22" t="n">
        <v>0.486</v>
      </c>
      <c r="G972" s="22" t="n">
        <v>0.681</v>
      </c>
      <c r="H972" s="22" t="n">
        <v>0.8090000000000001</v>
      </c>
      <c r="I972" s="22" t="n">
        <v>2.94</v>
      </c>
      <c r="J972" s="22" t="n">
        <v>2.34</v>
      </c>
      <c r="K972" s="22" t="n">
        <v>2.82</v>
      </c>
      <c r="L972" s="17">
        <f>$J972-$B972</f>
        <v/>
      </c>
      <c r="M972" s="17">
        <f>$I972-$L972</f>
        <v/>
      </c>
      <c r="N972" s="23">
        <f>($G972-$M972)*100</f>
        <v/>
      </c>
      <c r="O972" s="15">
        <f>($E972-$C972)*100</f>
        <v/>
      </c>
      <c r="P972" s="15">
        <f>($G972-$E972)*100</f>
        <v/>
      </c>
      <c r="Q972" s="15">
        <f>($G972-$C972)*100</f>
        <v/>
      </c>
      <c r="R972" s="15">
        <f>IF($H972="","",($H972-$F972)*100)</f>
        <v/>
      </c>
      <c r="S972" s="15">
        <f>IF($H972="","",($H972-$G972)*100)</f>
        <v/>
      </c>
    </row>
    <row r="973">
      <c r="A973" s="11" t="n">
        <v>43294</v>
      </c>
      <c r="B973" s="22" t="n">
        <v>-0.128</v>
      </c>
      <c r="C973" s="22" t="n">
        <v>-0.133</v>
      </c>
      <c r="D973" s="22" t="n">
        <v>-0.109</v>
      </c>
      <c r="E973" s="22" t="n">
        <v>0.038</v>
      </c>
      <c r="F973" s="22" t="n">
        <v>0.488</v>
      </c>
      <c r="G973" s="22" t="n">
        <v>0.6830000000000001</v>
      </c>
      <c r="H973" s="22" t="n">
        <v>0.804</v>
      </c>
      <c r="I973" s="22" t="n">
        <v>2.94</v>
      </c>
      <c r="J973" s="22" t="n">
        <v>2.37</v>
      </c>
      <c r="K973" s="22" t="n">
        <v>2.83</v>
      </c>
      <c r="L973" s="17">
        <f>$J973-$B973</f>
        <v/>
      </c>
      <c r="M973" s="17">
        <f>$I973-$L973</f>
        <v/>
      </c>
      <c r="N973" s="23">
        <f>($G973-$M973)*100</f>
        <v/>
      </c>
      <c r="O973" s="15">
        <f>($E973-$C973)*100</f>
        <v/>
      </c>
      <c r="P973" s="15">
        <f>($G973-$E973)*100</f>
        <v/>
      </c>
      <c r="Q973" s="15">
        <f>($G973-$C973)*100</f>
        <v/>
      </c>
      <c r="R973" s="15">
        <f>IF($H973="","",($H973-$F973)*100)</f>
        <v/>
      </c>
      <c r="S973" s="15">
        <f>IF($H973="","",($H973-$G973)*100)</f>
        <v/>
      </c>
    </row>
    <row r="974">
      <c r="A974" s="11" t="n">
        <v>43301</v>
      </c>
      <c r="B974" s="22" t="n">
        <v>-0.132</v>
      </c>
      <c r="C974" s="22" t="n">
        <v>-0.127</v>
      </c>
      <c r="D974" s="22" t="n">
        <v>-0.107</v>
      </c>
      <c r="E974" s="22" t="n">
        <v>0.034</v>
      </c>
      <c r="F974" s="22" t="n">
        <v>0.479</v>
      </c>
      <c r="G974" s="22" t="n">
        <v>0.6830000000000001</v>
      </c>
      <c r="H974" s="22" t="n">
        <v>0.8090000000000001</v>
      </c>
      <c r="I974" s="22" t="n">
        <v>3.03</v>
      </c>
      <c r="J974" s="22" t="n">
        <v>2.41</v>
      </c>
      <c r="K974" s="22" t="n">
        <v>2.89</v>
      </c>
      <c r="L974" s="17">
        <f>$J974-$B974</f>
        <v/>
      </c>
      <c r="M974" s="17">
        <f>$I974-$L974</f>
        <v/>
      </c>
      <c r="N974" s="23">
        <f>($G974-$M974)*100</f>
        <v/>
      </c>
      <c r="O974" s="15">
        <f>($E974-$C974)*100</f>
        <v/>
      </c>
      <c r="P974" s="15">
        <f>($G974-$E974)*100</f>
        <v/>
      </c>
      <c r="Q974" s="15">
        <f>($G974-$C974)*100</f>
        <v/>
      </c>
      <c r="R974" s="15">
        <f>IF($H974="","",($H974-$F974)*100)</f>
        <v/>
      </c>
      <c r="S974" s="15">
        <f>IF($H974="","",($H974-$G974)*100)</f>
        <v/>
      </c>
    </row>
    <row r="975">
      <c r="A975" s="11" t="n">
        <v>43308</v>
      </c>
      <c r="B975" s="22" t="n">
        <v>-0.117</v>
      </c>
      <c r="C975" s="22" t="n">
        <v>-0.118</v>
      </c>
      <c r="D975" s="22" t="n">
        <v>-0.091</v>
      </c>
      <c r="E975" s="22" t="n">
        <v>0.101</v>
      </c>
      <c r="F975" s="22" t="n">
        <v>0.586</v>
      </c>
      <c r="G975" s="22" t="n">
        <v>0.802</v>
      </c>
      <c r="H975" s="22" t="n">
        <v>0.931</v>
      </c>
      <c r="I975" s="22" t="n">
        <v>3.09</v>
      </c>
      <c r="J975" s="22" t="n">
        <v>2.43</v>
      </c>
      <c r="K975" s="22" t="n">
        <v>2.96</v>
      </c>
      <c r="L975" s="17">
        <f>$J975-$B975</f>
        <v/>
      </c>
      <c r="M975" s="17">
        <f>$I975-$L975</f>
        <v/>
      </c>
      <c r="N975" s="23">
        <f>($G975-$M975)*100</f>
        <v/>
      </c>
      <c r="O975" s="15">
        <f>($E975-$C975)*100</f>
        <v/>
      </c>
      <c r="P975" s="15">
        <f>($G975-$E975)*100</f>
        <v/>
      </c>
      <c r="Q975" s="15">
        <f>($G975-$C975)*100</f>
        <v/>
      </c>
      <c r="R975" s="15">
        <f>IF($H975="","",($H975-$F975)*100)</f>
        <v/>
      </c>
      <c r="S975" s="15">
        <f>IF($H975="","",($H975-$G975)*100)</f>
        <v/>
      </c>
    </row>
    <row r="976">
      <c r="A976" s="11" t="n">
        <v>43315</v>
      </c>
      <c r="B976" s="22" t="n">
        <v>-0.112</v>
      </c>
      <c r="C976" s="22" t="n">
        <v>-0.11</v>
      </c>
      <c r="D976" s="22" t="n">
        <v>-0.074</v>
      </c>
      <c r="E976" s="22" t="n">
        <v>0.11</v>
      </c>
      <c r="F976" s="22" t="n">
        <v>0.618</v>
      </c>
      <c r="G976" s="22" t="n">
        <v>0.833</v>
      </c>
      <c r="H976" s="22" t="n">
        <v>0.957</v>
      </c>
      <c r="I976" s="22" t="n">
        <v>3.09</v>
      </c>
      <c r="J976" s="22" t="n">
        <v>2.43</v>
      </c>
      <c r="K976" s="22" t="n">
        <v>2.95</v>
      </c>
      <c r="L976" s="17">
        <f>$J976-$B976</f>
        <v/>
      </c>
      <c r="M976" s="17">
        <f>$I976-$L976</f>
        <v/>
      </c>
      <c r="N976" s="23">
        <f>($G976-$M976)*100</f>
        <v/>
      </c>
      <c r="O976" s="15">
        <f>($E976-$C976)*100</f>
        <v/>
      </c>
      <c r="P976" s="15">
        <f>($G976-$E976)*100</f>
        <v/>
      </c>
      <c r="Q976" s="15">
        <f>($G976-$C976)*100</f>
        <v/>
      </c>
      <c r="R976" s="15">
        <f>IF($H976="","",($H976-$F976)*100)</f>
        <v/>
      </c>
      <c r="S976" s="15">
        <f>IF($H976="","",($H976-$G976)*100)</f>
        <v/>
      </c>
    </row>
    <row r="977">
      <c r="A977" s="11" t="n">
        <v>43322</v>
      </c>
      <c r="B977" s="22" t="n">
        <v>-0.116</v>
      </c>
      <c r="C977" s="22" t="n">
        <v>-0.117</v>
      </c>
      <c r="D977" s="22" t="n">
        <v>-0.075</v>
      </c>
      <c r="E977" s="22" t="n">
        <v>0.105</v>
      </c>
      <c r="F977" s="22" t="n">
        <v>0.609</v>
      </c>
      <c r="G977" s="22" t="n">
        <v>0.829</v>
      </c>
      <c r="H977" s="22" t="n">
        <v>0.961</v>
      </c>
      <c r="I977" s="22" t="n">
        <v>3.03</v>
      </c>
      <c r="J977" s="22" t="n">
        <v>2.42</v>
      </c>
      <c r="K977" s="22" t="n">
        <v>2.87</v>
      </c>
      <c r="L977" s="17">
        <f>$J977-$B977</f>
        <v/>
      </c>
      <c r="M977" s="17">
        <f>$I977-$L977</f>
        <v/>
      </c>
      <c r="N977" s="23">
        <f>($G977-$M977)*100</f>
        <v/>
      </c>
      <c r="O977" s="15">
        <f>($E977-$C977)*100</f>
        <v/>
      </c>
      <c r="P977" s="15">
        <f>($G977-$E977)*100</f>
        <v/>
      </c>
      <c r="Q977" s="15">
        <f>($G977-$C977)*100</f>
        <v/>
      </c>
      <c r="R977" s="15">
        <f>IF($H977="","",($H977-$F977)*100)</f>
        <v/>
      </c>
      <c r="S977" s="15">
        <f>IF($H977="","",($H977-$G977)*100)</f>
        <v/>
      </c>
    </row>
    <row r="978">
      <c r="A978" s="11" t="n">
        <v>43329</v>
      </c>
      <c r="B978" s="22" t="n">
        <v>-0.131</v>
      </c>
      <c r="C978" s="22" t="n">
        <v>-0.129</v>
      </c>
      <c r="D978" s="22" t="n">
        <v>-0.08500000000000001</v>
      </c>
      <c r="E978" s="22" t="n">
        <v>0.099</v>
      </c>
      <c r="F978" s="22" t="n">
        <v>0.615</v>
      </c>
      <c r="G978" s="22" t="n">
        <v>0.834</v>
      </c>
      <c r="H978" s="22" t="n">
        <v>0.972</v>
      </c>
      <c r="I978" s="22" t="n">
        <v>3.03</v>
      </c>
      <c r="J978" s="22" t="n">
        <v>2.44</v>
      </c>
      <c r="K978" s="22" t="n">
        <v>2.87</v>
      </c>
      <c r="L978" s="17">
        <f>$J978-$B978</f>
        <v/>
      </c>
      <c r="M978" s="17">
        <f>$I978-$L978</f>
        <v/>
      </c>
      <c r="N978" s="23">
        <f>($G978-$M978)*100</f>
        <v/>
      </c>
      <c r="O978" s="15">
        <f>($E978-$C978)*100</f>
        <v/>
      </c>
      <c r="P978" s="15">
        <f>($G978-$E978)*100</f>
        <v/>
      </c>
      <c r="Q978" s="15">
        <f>($G978-$C978)*100</f>
        <v/>
      </c>
      <c r="R978" s="15">
        <f>IF($H978="","",($H978-$F978)*100)</f>
        <v/>
      </c>
      <c r="S978" s="15">
        <f>IF($H978="","",($H978-$G978)*100)</f>
        <v/>
      </c>
    </row>
    <row r="979">
      <c r="A979" s="11" t="n">
        <v>43336</v>
      </c>
      <c r="B979" s="22" t="n">
        <v>-0.116</v>
      </c>
      <c r="C979" s="22" t="n">
        <v>-0.116</v>
      </c>
      <c r="D979" s="22" t="n">
        <v>-0.076</v>
      </c>
      <c r="E979" s="22" t="n">
        <v>0.106</v>
      </c>
      <c r="F979" s="22" t="n">
        <v>0.61</v>
      </c>
      <c r="G979" s="22" t="n">
        <v>0.826</v>
      </c>
      <c r="H979" s="22" t="n">
        <v>0.958</v>
      </c>
      <c r="I979" s="22" t="n">
        <v>2.97</v>
      </c>
      <c r="J979" s="22" t="n">
        <v>2.44</v>
      </c>
      <c r="K979" s="22" t="n">
        <v>2.82</v>
      </c>
      <c r="L979" s="17">
        <f>$J979-$B979</f>
        <v/>
      </c>
      <c r="M979" s="17">
        <f>$I979-$L979</f>
        <v/>
      </c>
      <c r="N979" s="23">
        <f>($G979-$M979)*100</f>
        <v/>
      </c>
      <c r="O979" s="15">
        <f>($E979-$C979)*100</f>
        <v/>
      </c>
      <c r="P979" s="15">
        <f>($G979-$E979)*100</f>
        <v/>
      </c>
      <c r="Q979" s="15">
        <f>($G979-$C979)*100</f>
        <v/>
      </c>
      <c r="R979" s="15">
        <f>IF($H979="","",($H979-$F979)*100)</f>
        <v/>
      </c>
      <c r="S979" s="15">
        <f>IF($H979="","",($H979-$G979)*100)</f>
        <v/>
      </c>
    </row>
    <row r="980">
      <c r="A980" s="11" t="n">
        <v>43343</v>
      </c>
      <c r="B980" s="22" t="n">
        <v>-0.115</v>
      </c>
      <c r="C980" s="22" t="n">
        <v>-0.119</v>
      </c>
      <c r="D980" s="22" t="n">
        <v>-0.073</v>
      </c>
      <c r="E980" s="22" t="n">
        <v>0.11</v>
      </c>
      <c r="F980" s="22" t="n">
        <v>0.62</v>
      </c>
      <c r="G980" s="22" t="n">
        <v>0.834</v>
      </c>
      <c r="H980" s="22" t="n">
        <v>0.966</v>
      </c>
      <c r="I980" s="22" t="n">
        <v>3.02</v>
      </c>
      <c r="J980" s="22" t="n">
        <v>2.46</v>
      </c>
      <c r="K980" s="22" t="n">
        <v>2.86</v>
      </c>
      <c r="L980" s="17">
        <f>$J980-$B980</f>
        <v/>
      </c>
      <c r="M980" s="17">
        <f>$I980-$L980</f>
        <v/>
      </c>
      <c r="N980" s="23">
        <f>($G980-$M980)*100</f>
        <v/>
      </c>
      <c r="O980" s="15">
        <f>($E980-$C980)*100</f>
        <v/>
      </c>
      <c r="P980" s="15">
        <f>($G980-$E980)*100</f>
        <v/>
      </c>
      <c r="Q980" s="15">
        <f>($G980-$C980)*100</f>
        <v/>
      </c>
      <c r="R980" s="15">
        <f>IF($H980="","",($H980-$F980)*100)</f>
        <v/>
      </c>
      <c r="S980" s="15">
        <f>IF($H980="","",($H980-$G980)*100)</f>
        <v/>
      </c>
    </row>
    <row r="981">
      <c r="A981" s="11" t="n">
        <v>43350</v>
      </c>
      <c r="B981" s="22" t="n">
        <v>-0.118</v>
      </c>
      <c r="C981" s="22" t="n">
        <v>-0.112</v>
      </c>
      <c r="D981" s="22" t="n">
        <v>-0.07000000000000001</v>
      </c>
      <c r="E981" s="22" t="n">
        <v>0.116</v>
      </c>
      <c r="F981" s="22" t="n">
        <v>0.613</v>
      </c>
      <c r="G981" s="22" t="n">
        <v>0.83</v>
      </c>
      <c r="H981" s="22" t="n">
        <v>0.958</v>
      </c>
      <c r="I981" s="22" t="n">
        <v>3.11</v>
      </c>
      <c r="J981" s="22" t="n">
        <v>2.53</v>
      </c>
      <c r="K981" s="22" t="n">
        <v>2.94</v>
      </c>
      <c r="L981" s="17">
        <f>$J981-$B981</f>
        <v/>
      </c>
      <c r="M981" s="17">
        <f>$I981-$L981</f>
        <v/>
      </c>
      <c r="N981" s="23">
        <f>($G981-$M981)*100</f>
        <v/>
      </c>
      <c r="O981" s="15">
        <f>($E981-$C981)*100</f>
        <v/>
      </c>
      <c r="P981" s="15">
        <f>($G981-$E981)*100</f>
        <v/>
      </c>
      <c r="Q981" s="15">
        <f>($G981-$C981)*100</f>
        <v/>
      </c>
      <c r="R981" s="15">
        <f>IF($H981="","",($H981-$F981)*100)</f>
        <v/>
      </c>
      <c r="S981" s="15">
        <f>IF($H981="","",($H981-$G981)*100)</f>
        <v/>
      </c>
    </row>
    <row r="982">
      <c r="A982" s="11" t="n">
        <v>43357</v>
      </c>
      <c r="B982" s="22" t="n">
        <v>-0.119</v>
      </c>
      <c r="C982" s="22" t="n">
        <v>-0.113</v>
      </c>
      <c r="D982" s="22" t="n">
        <v>-0.064</v>
      </c>
      <c r="E982" s="22" t="n">
        <v>0.117</v>
      </c>
      <c r="F982" s="22" t="n">
        <v>0.615</v>
      </c>
      <c r="G982" s="22" t="n">
        <v>0.826</v>
      </c>
      <c r="H982" s="22" t="n">
        <v>0.954</v>
      </c>
      <c r="I982" s="22" t="n">
        <v>3.13</v>
      </c>
      <c r="J982" s="22" t="n">
        <v>2.56</v>
      </c>
      <c r="K982" s="22" t="n">
        <v>2.99</v>
      </c>
      <c r="L982" s="17">
        <f>$J982-$B982</f>
        <v/>
      </c>
      <c r="M982" s="17">
        <f>$I982-$L982</f>
        <v/>
      </c>
      <c r="N982" s="23">
        <f>($G982-$M982)*100</f>
        <v/>
      </c>
      <c r="O982" s="15">
        <f>($E982-$C982)*100</f>
        <v/>
      </c>
      <c r="P982" s="15">
        <f>($G982-$E982)*100</f>
        <v/>
      </c>
      <c r="Q982" s="15">
        <f>($G982-$C982)*100</f>
        <v/>
      </c>
      <c r="R982" s="15">
        <f>IF($H982="","",($H982-$F982)*100)</f>
        <v/>
      </c>
      <c r="S982" s="15">
        <f>IF($H982="","",($H982-$G982)*100)</f>
        <v/>
      </c>
    </row>
    <row r="983">
      <c r="A983" s="11" t="n">
        <v>43364</v>
      </c>
      <c r="B983" s="22" t="n">
        <v>-0.114</v>
      </c>
      <c r="C983" s="22" t="n">
        <v>-0.104</v>
      </c>
      <c r="D983" s="22" t="n">
        <v>-0.053</v>
      </c>
      <c r="E983" s="22" t="n">
        <v>0.14</v>
      </c>
      <c r="F983" s="22" t="n">
        <v>0.646</v>
      </c>
      <c r="G983" s="22" t="n">
        <v>0.871</v>
      </c>
      <c r="H983" s="22" t="n">
        <v>1.012</v>
      </c>
      <c r="I983" s="22" t="n">
        <v>3.2</v>
      </c>
      <c r="J983" s="22" t="n">
        <v>2.58</v>
      </c>
      <c r="K983" s="22" t="n">
        <v>3.07</v>
      </c>
      <c r="L983" s="17">
        <f>$J983-$B983</f>
        <v/>
      </c>
      <c r="M983" s="17">
        <f>$I983-$L983</f>
        <v/>
      </c>
      <c r="N983" s="23">
        <f>($G983-$M983)*100</f>
        <v/>
      </c>
      <c r="O983" s="15">
        <f>($E983-$C983)*100</f>
        <v/>
      </c>
      <c r="P983" s="15">
        <f>($G983-$E983)*100</f>
        <v/>
      </c>
      <c r="Q983" s="15">
        <f>($G983-$C983)*100</f>
        <v/>
      </c>
      <c r="R983" s="15">
        <f>IF($H983="","",($H983-$F983)*100)</f>
        <v/>
      </c>
      <c r="S983" s="15">
        <f>IF($H983="","",($H983-$G983)*100)</f>
        <v/>
      </c>
    </row>
    <row r="984">
      <c r="A984" s="11" t="n">
        <v>43371</v>
      </c>
      <c r="B984" s="22" t="n">
        <v>-0.128</v>
      </c>
      <c r="C984" s="22" t="n">
        <v>-0.114</v>
      </c>
      <c r="D984" s="22" t="n">
        <v>-0.065</v>
      </c>
      <c r="E984" s="22" t="n">
        <v>0.134</v>
      </c>
      <c r="F984" s="22" t="n">
        <v>0.656</v>
      </c>
      <c r="G984" s="22" t="n">
        <v>0.89</v>
      </c>
      <c r="H984" s="22" t="n">
        <v>1.033</v>
      </c>
      <c r="I984" s="22" t="n">
        <v>3.19</v>
      </c>
      <c r="J984" s="22" t="n">
        <v>2.59</v>
      </c>
      <c r="K984" s="22" t="n">
        <v>3.05</v>
      </c>
      <c r="L984" s="17">
        <f>$J984-$B984</f>
        <v/>
      </c>
      <c r="M984" s="17">
        <f>$I984-$L984</f>
        <v/>
      </c>
      <c r="N984" s="23">
        <f>($G984-$M984)*100</f>
        <v/>
      </c>
      <c r="O984" s="15">
        <f>($E984-$C984)*100</f>
        <v/>
      </c>
      <c r="P984" s="15">
        <f>($G984-$E984)*100</f>
        <v/>
      </c>
      <c r="Q984" s="15">
        <f>($G984-$C984)*100</f>
        <v/>
      </c>
      <c r="R984" s="15">
        <f>IF($H984="","",($H984-$F984)*100)</f>
        <v/>
      </c>
      <c r="S984" s="15">
        <f>IF($H984="","",($H984-$G984)*100)</f>
        <v/>
      </c>
    </row>
    <row r="985">
      <c r="A985" s="11" t="n">
        <v>43378</v>
      </c>
      <c r="B985" s="22" t="n">
        <v>-0.133</v>
      </c>
      <c r="C985" s="22" t="n">
        <v>-0.121</v>
      </c>
      <c r="D985" s="22" t="n">
        <v>-0.058</v>
      </c>
      <c r="E985" s="22" t="n">
        <v>0.148</v>
      </c>
      <c r="F985" s="22" t="n">
        <v>0.675</v>
      </c>
      <c r="G985" s="22" t="n">
        <v>0.922</v>
      </c>
      <c r="H985" s="22" t="n">
        <v>1.064</v>
      </c>
      <c r="I985" s="22" t="n">
        <v>3.4</v>
      </c>
      <c r="J985" s="22" t="n">
        <v>2.64</v>
      </c>
      <c r="K985" s="22" t="n">
        <v>3.23</v>
      </c>
      <c r="L985" s="17">
        <f>$J985-$B985</f>
        <v/>
      </c>
      <c r="M985" s="17">
        <f>$I985-$L985</f>
        <v/>
      </c>
      <c r="N985" s="23">
        <f>($G985-$M985)*100</f>
        <v/>
      </c>
      <c r="O985" s="15">
        <f>($E985-$C985)*100</f>
        <v/>
      </c>
      <c r="P985" s="15">
        <f>($G985-$E985)*100</f>
        <v/>
      </c>
      <c r="Q985" s="15">
        <f>($G985-$C985)*100</f>
        <v/>
      </c>
      <c r="R985" s="15">
        <f>IF($H985="","",($H985-$F985)*100)</f>
        <v/>
      </c>
      <c r="S985" s="15">
        <f>IF($H985="","",($H985-$G985)*100)</f>
        <v/>
      </c>
    </row>
    <row r="986">
      <c r="A986" s="11" t="n">
        <v>43385</v>
      </c>
      <c r="B986" s="22" t="n">
        <v>-0.138</v>
      </c>
      <c r="C986" s="22" t="n">
        <v>-0.117</v>
      </c>
      <c r="D986" s="22" t="n">
        <v>-0.056</v>
      </c>
      <c r="E986" s="22" t="n">
        <v>0.149</v>
      </c>
      <c r="F986" s="22" t="n">
        <v>0.673</v>
      </c>
      <c r="G986" s="22" t="n">
        <v>0.906</v>
      </c>
      <c r="H986" s="22" t="n">
        <v>1.051</v>
      </c>
      <c r="I986" s="22" t="n">
        <v>3.32</v>
      </c>
      <c r="J986" s="22" t="n">
        <v>2.66</v>
      </c>
      <c r="K986" s="22" t="n">
        <v>3.15</v>
      </c>
      <c r="L986" s="17">
        <f>$J986-$B986</f>
        <v/>
      </c>
      <c r="M986" s="17">
        <f>$I986-$L986</f>
        <v/>
      </c>
      <c r="N986" s="23">
        <f>($G986-$M986)*100</f>
        <v/>
      </c>
      <c r="O986" s="15">
        <f>($E986-$C986)*100</f>
        <v/>
      </c>
      <c r="P986" s="15">
        <f>($G986-$E986)*100</f>
        <v/>
      </c>
      <c r="Q986" s="15">
        <f>($G986-$C986)*100</f>
        <v/>
      </c>
      <c r="R986" s="15">
        <f>IF($H986="","",($H986-$F986)*100)</f>
        <v/>
      </c>
      <c r="S986" s="15">
        <f>IF($H986="","",($H986-$G986)*100)</f>
        <v/>
      </c>
    </row>
    <row r="987">
      <c r="A987" s="11" t="n">
        <v>43392</v>
      </c>
      <c r="B987" s="22" t="n">
        <v>-0.142</v>
      </c>
      <c r="C987" s="22" t="n">
        <v>-0.119</v>
      </c>
      <c r="D987" s="22" t="n">
        <v>-0.055</v>
      </c>
      <c r="E987" s="22" t="n">
        <v>0.15</v>
      </c>
      <c r="F987" s="22" t="n">
        <v>0.6840000000000001</v>
      </c>
      <c r="G987" s="22" t="n">
        <v>0.91</v>
      </c>
      <c r="H987" s="22" t="n">
        <v>1.046</v>
      </c>
      <c r="I987" s="22" t="n">
        <v>3.38</v>
      </c>
      <c r="J987" s="22" t="n">
        <v>2.67</v>
      </c>
      <c r="K987" s="22" t="n">
        <v>3.2</v>
      </c>
      <c r="L987" s="17">
        <f>$J987-$B987</f>
        <v/>
      </c>
      <c r="M987" s="17">
        <f>$I987-$L987</f>
        <v/>
      </c>
      <c r="N987" s="23">
        <f>($G987-$M987)*100</f>
        <v/>
      </c>
      <c r="O987" s="15">
        <f>($E987-$C987)*100</f>
        <v/>
      </c>
      <c r="P987" s="15">
        <f>($G987-$E987)*100</f>
        <v/>
      </c>
      <c r="Q987" s="15">
        <f>($G987-$C987)*100</f>
        <v/>
      </c>
      <c r="R987" s="15">
        <f>IF($H987="","",($H987-$F987)*100)</f>
        <v/>
      </c>
      <c r="S987" s="15">
        <f>IF($H987="","",($H987-$G987)*100)</f>
        <v/>
      </c>
    </row>
    <row r="988">
      <c r="A988" s="11" t="n">
        <v>43399</v>
      </c>
      <c r="B988" s="22" t="n">
        <v>-0.154</v>
      </c>
      <c r="C988" s="22" t="n">
        <v>-0.124</v>
      </c>
      <c r="D988" s="22" t="n">
        <v>-0.082</v>
      </c>
      <c r="E988" s="22" t="n">
        <v>0.115</v>
      </c>
      <c r="F988" s="22" t="n">
        <v>0.638</v>
      </c>
      <c r="G988" s="22" t="n">
        <v>0.866</v>
      </c>
      <c r="H988" s="22" t="n">
        <v>0.997</v>
      </c>
      <c r="I988" s="22" t="n">
        <v>3.32</v>
      </c>
      <c r="J988" s="22" t="n">
        <v>2.63</v>
      </c>
      <c r="K988" s="22" t="n">
        <v>3.08</v>
      </c>
      <c r="L988" s="17">
        <f>$J988-$B988</f>
        <v/>
      </c>
      <c r="M988" s="17">
        <f>$I988-$L988</f>
        <v/>
      </c>
      <c r="N988" s="23">
        <f>($G988-$M988)*100</f>
        <v/>
      </c>
      <c r="O988" s="15">
        <f>($E988-$C988)*100</f>
        <v/>
      </c>
      <c r="P988" s="15">
        <f>($G988-$E988)*100</f>
        <v/>
      </c>
      <c r="Q988" s="15">
        <f>($G988-$C988)*100</f>
        <v/>
      </c>
      <c r="R988" s="15">
        <f>IF($H988="","",($H988-$F988)*100)</f>
        <v/>
      </c>
      <c r="S988" s="15">
        <f>IF($H988="","",($H988-$G988)*100)</f>
        <v/>
      </c>
    </row>
    <row r="989">
      <c r="A989" s="11" t="n">
        <v>43406</v>
      </c>
      <c r="B989" s="22" t="n">
        <v>-0.146</v>
      </c>
      <c r="C989" s="22" t="n">
        <v>-0.13</v>
      </c>
      <c r="D989" s="22" t="n">
        <v>-0.077</v>
      </c>
      <c r="E989" s="22" t="n">
        <v>0.132</v>
      </c>
      <c r="F989" s="22" t="n">
        <v>0.662</v>
      </c>
      <c r="G989" s="22" t="n">
        <v>0.879</v>
      </c>
      <c r="H989" s="22" t="n">
        <v>1.006</v>
      </c>
      <c r="I989" s="22" t="n">
        <v>3.46</v>
      </c>
      <c r="J989" s="22" t="n">
        <v>2.7</v>
      </c>
      <c r="K989" s="22" t="n">
        <v>3.22</v>
      </c>
      <c r="L989" s="17">
        <f>$J989-$B989</f>
        <v/>
      </c>
      <c r="M989" s="17">
        <f>$I989-$L989</f>
        <v/>
      </c>
      <c r="N989" s="23">
        <f>($G989-$M989)*100</f>
        <v/>
      </c>
      <c r="O989" s="15">
        <f>($E989-$C989)*100</f>
        <v/>
      </c>
      <c r="P989" s="15">
        <f>($G989-$E989)*100</f>
        <v/>
      </c>
      <c r="Q989" s="15">
        <f>($G989-$C989)*100</f>
        <v/>
      </c>
      <c r="R989" s="15">
        <f>IF($H989="","",($H989-$F989)*100)</f>
        <v/>
      </c>
      <c r="S989" s="15">
        <f>IF($H989="","",($H989-$G989)*100)</f>
        <v/>
      </c>
    </row>
    <row r="990">
      <c r="A990" s="11" t="n">
        <v>43413</v>
      </c>
      <c r="B990" s="22" t="n">
        <v>-0.156</v>
      </c>
      <c r="C990" s="22" t="n">
        <v>-0.137</v>
      </c>
      <c r="D990" s="22" t="n">
        <v>-0.082</v>
      </c>
      <c r="E990" s="22" t="n">
        <v>0.129</v>
      </c>
      <c r="F990" s="22" t="n">
        <v>0.669</v>
      </c>
      <c r="G990" s="22" t="n">
        <v>0.889</v>
      </c>
      <c r="H990" s="22" t="n">
        <v>1.018</v>
      </c>
      <c r="I990" s="22" t="n">
        <v>3.4</v>
      </c>
      <c r="J990" s="22" t="n">
        <v>2.73</v>
      </c>
      <c r="K990" s="22" t="n">
        <v>3.19</v>
      </c>
      <c r="L990" s="17">
        <f>$J990-$B990</f>
        <v/>
      </c>
      <c r="M990" s="17">
        <f>$I990-$L990</f>
        <v/>
      </c>
      <c r="N990" s="23">
        <f>($G990-$M990)*100</f>
        <v/>
      </c>
      <c r="O990" s="15">
        <f>($E990-$C990)*100</f>
        <v/>
      </c>
      <c r="P990" s="15">
        <f>($G990-$E990)*100</f>
        <v/>
      </c>
      <c r="Q990" s="15">
        <f>($G990-$C990)*100</f>
        <v/>
      </c>
      <c r="R990" s="15">
        <f>IF($H990="","",($H990-$F990)*100)</f>
        <v/>
      </c>
      <c r="S990" s="15">
        <f>IF($H990="","",($H990-$G990)*100)</f>
        <v/>
      </c>
    </row>
    <row r="991">
      <c r="A991" s="11" t="n">
        <v>43420</v>
      </c>
      <c r="B991" s="22" t="n">
        <v>-0.16</v>
      </c>
      <c r="C991" s="22" t="n">
        <v>-0.144</v>
      </c>
      <c r="D991" s="22" t="n">
        <v>-0.09</v>
      </c>
      <c r="E991" s="22" t="n">
        <v>0.11</v>
      </c>
      <c r="F991" s="22" t="n">
        <v>0.641</v>
      </c>
      <c r="G991" s="22" t="n">
        <v>0.862</v>
      </c>
      <c r="H991" s="22" t="n">
        <v>0.995</v>
      </c>
      <c r="I991" s="22" t="n">
        <v>3.33</v>
      </c>
      <c r="J991" s="22" t="n">
        <v>2.68</v>
      </c>
      <c r="K991" s="22" t="n">
        <v>3.08</v>
      </c>
      <c r="L991" s="17">
        <f>$J991-$B991</f>
        <v/>
      </c>
      <c r="M991" s="17">
        <f>$I991-$L991</f>
        <v/>
      </c>
      <c r="N991" s="23">
        <f>($G991-$M991)*100</f>
        <v/>
      </c>
      <c r="O991" s="15">
        <f>($E991-$C991)*100</f>
        <v/>
      </c>
      <c r="P991" s="15">
        <f>($G991-$E991)*100</f>
        <v/>
      </c>
      <c r="Q991" s="15">
        <f>($G991-$C991)*100</f>
        <v/>
      </c>
      <c r="R991" s="15">
        <f>IF($H991="","",($H991-$F991)*100)</f>
        <v/>
      </c>
      <c r="S991" s="15">
        <f>IF($H991="","",($H991-$G991)*100)</f>
        <v/>
      </c>
    </row>
    <row r="992">
      <c r="A992" s="11" t="n">
        <v>43427</v>
      </c>
      <c r="B992" s="22" t="n">
        <v>-0.162</v>
      </c>
      <c r="C992" s="22" t="n">
        <v>-0.142</v>
      </c>
      <c r="D992" s="22" t="n">
        <v>-0.1</v>
      </c>
      <c r="E992" s="22" t="n">
        <v>0.102</v>
      </c>
      <c r="F992" s="22" t="n">
        <v>0.617</v>
      </c>
      <c r="G992" s="22" t="n">
        <v>0.83</v>
      </c>
      <c r="H992" s="22" t="n">
        <v>0.957</v>
      </c>
      <c r="I992" s="22" t="n">
        <v>3.31</v>
      </c>
      <c r="J992" s="22" t="n">
        <v>2.67</v>
      </c>
      <c r="K992" s="22" t="n">
        <v>3.05</v>
      </c>
      <c r="L992" s="17">
        <f>$J992-$B992</f>
        <v/>
      </c>
      <c r="M992" s="17">
        <f>$I992-$L992</f>
        <v/>
      </c>
      <c r="N992" s="23">
        <f>($G992-$M992)*100</f>
        <v/>
      </c>
      <c r="O992" s="15">
        <f>($E992-$C992)*100</f>
        <v/>
      </c>
      <c r="P992" s="15">
        <f>($G992-$E992)*100</f>
        <v/>
      </c>
      <c r="Q992" s="15">
        <f>($G992-$C992)*100</f>
        <v/>
      </c>
      <c r="R992" s="15">
        <f>IF($H992="","",($H992-$F992)*100)</f>
        <v/>
      </c>
      <c r="S992" s="15">
        <f>IF($H992="","",($H992-$G992)*100)</f>
        <v/>
      </c>
    </row>
    <row r="993">
      <c r="A993" s="11" t="n">
        <v>43434</v>
      </c>
      <c r="B993" s="22" t="n">
        <v>-0.145</v>
      </c>
      <c r="C993" s="22" t="n">
        <v>-0.135</v>
      </c>
      <c r="D993" s="22" t="n">
        <v>-0.102</v>
      </c>
      <c r="E993" s="22" t="n">
        <v>0.097</v>
      </c>
      <c r="F993" s="22" t="n">
        <v>0.6</v>
      </c>
      <c r="G993" s="22" t="n">
        <v>0.821</v>
      </c>
      <c r="H993" s="22" t="n">
        <v>0.953</v>
      </c>
      <c r="I993" s="22" t="n">
        <v>3.3</v>
      </c>
      <c r="J993" s="22" t="n">
        <v>2.7</v>
      </c>
      <c r="K993" s="22" t="n">
        <v>3.01</v>
      </c>
      <c r="L993" s="17">
        <f>$J993-$B993</f>
        <v/>
      </c>
      <c r="M993" s="17">
        <f>$I993-$L993</f>
        <v/>
      </c>
      <c r="N993" s="23">
        <f>($G993-$M993)*100</f>
        <v/>
      </c>
      <c r="O993" s="15">
        <f>($E993-$C993)*100</f>
        <v/>
      </c>
      <c r="P993" s="15">
        <f>($G993-$E993)*100</f>
        <v/>
      </c>
      <c r="Q993" s="15">
        <f>($G993-$C993)*100</f>
        <v/>
      </c>
      <c r="R993" s="15">
        <f>IF($H993="","",($H993-$F993)*100)</f>
        <v/>
      </c>
      <c r="S993" s="15">
        <f>IF($H993="","",($H993-$G993)*100)</f>
        <v/>
      </c>
    </row>
    <row r="994">
      <c r="A994" s="11" t="n">
        <v>43441</v>
      </c>
      <c r="B994" s="22" t="n">
        <v>-0.162</v>
      </c>
      <c r="C994" s="22" t="n">
        <v>-0.141</v>
      </c>
      <c r="D994" s="22" t="n">
        <v>-0.124</v>
      </c>
      <c r="E994" s="22" t="n">
        <v>0.068</v>
      </c>
      <c r="F994" s="22" t="n">
        <v>0.594</v>
      </c>
      <c r="G994" s="22" t="n">
        <v>0.8169999999999999</v>
      </c>
      <c r="H994" s="22" t="n">
        <v>0.949</v>
      </c>
      <c r="I994" s="22" t="n">
        <v>3.14</v>
      </c>
      <c r="J994" s="22" t="n">
        <v>2.68</v>
      </c>
      <c r="K994" s="22" t="n">
        <v>2.85</v>
      </c>
      <c r="L994" s="17">
        <f>$J994-$B994</f>
        <v/>
      </c>
      <c r="M994" s="17">
        <f>$I994-$L994</f>
        <v/>
      </c>
      <c r="N994" s="23">
        <f>($G994-$M994)*100</f>
        <v/>
      </c>
      <c r="O994" s="15">
        <f>($E994-$C994)*100</f>
        <v/>
      </c>
      <c r="P994" s="15">
        <f>($G994-$E994)*100</f>
        <v/>
      </c>
      <c r="Q994" s="15">
        <f>($G994-$C994)*100</f>
        <v/>
      </c>
      <c r="R994" s="15">
        <f>IF($H994="","",($H994-$F994)*100)</f>
        <v/>
      </c>
      <c r="S994" s="15">
        <f>IF($H994="","",($H994-$G994)*100)</f>
        <v/>
      </c>
    </row>
    <row r="995">
      <c r="A995" s="11" t="n">
        <v>43448</v>
      </c>
      <c r="B995" s="22" t="n">
        <v>-0.179</v>
      </c>
      <c r="C995" s="22" t="n">
        <v>-0.153</v>
      </c>
      <c r="D995" s="22" t="n">
        <v>-0.132</v>
      </c>
      <c r="E995" s="22" t="n">
        <v>0.043</v>
      </c>
      <c r="F995" s="22" t="n">
        <v>0.5639999999999999</v>
      </c>
      <c r="G995" s="22" t="n">
        <v>0.794</v>
      </c>
      <c r="H995" s="22" t="n">
        <v>0.918</v>
      </c>
      <c r="I995" s="22" t="n">
        <v>3.14</v>
      </c>
      <c r="J995" s="22" t="n">
        <v>2.68</v>
      </c>
      <c r="K995" s="22" t="n">
        <v>2.89</v>
      </c>
      <c r="L995" s="17">
        <f>$J995-$B995</f>
        <v/>
      </c>
      <c r="M995" s="17">
        <f>$I995-$L995</f>
        <v/>
      </c>
      <c r="N995" s="23">
        <f>($G995-$M995)*100</f>
        <v/>
      </c>
      <c r="O995" s="15">
        <f>($E995-$C995)*100</f>
        <v/>
      </c>
      <c r="P995" s="15">
        <f>($G995-$E995)*100</f>
        <v/>
      </c>
      <c r="Q995" s="15">
        <f>($G995-$C995)*100</f>
        <v/>
      </c>
      <c r="R995" s="15">
        <f>IF($H995="","",($H995-$F995)*100)</f>
        <v/>
      </c>
      <c r="S995" s="15">
        <f>IF($H995="","",($H995-$G995)*100)</f>
        <v/>
      </c>
    </row>
    <row r="996">
      <c r="A996" s="11" t="n">
        <v>43455</v>
      </c>
      <c r="B996" s="22" t="n">
        <v>-0.162</v>
      </c>
      <c r="C996" s="22" t="n">
        <v>-0.143</v>
      </c>
      <c r="D996" s="22" t="n">
        <v>-0.124</v>
      </c>
      <c r="E996" s="22" t="n">
        <v>0.053</v>
      </c>
      <c r="F996" s="22" t="n">
        <v>0.55</v>
      </c>
      <c r="G996" s="22" t="n">
        <v>0.757</v>
      </c>
      <c r="H996" s="22" t="n">
        <v>0.869</v>
      </c>
      <c r="I996" s="22" t="n">
        <v>3.03</v>
      </c>
      <c r="J996" s="22" t="n">
        <v>2.62</v>
      </c>
      <c r="K996" s="22" t="n">
        <v>2.79</v>
      </c>
      <c r="L996" s="17">
        <f>$J996-$B996</f>
        <v/>
      </c>
      <c r="M996" s="17">
        <f>$I996-$L996</f>
        <v/>
      </c>
      <c r="N996" s="23">
        <f>($G996-$M996)*100</f>
        <v/>
      </c>
      <c r="O996" s="15">
        <f>($E996-$C996)*100</f>
        <v/>
      </c>
      <c r="P996" s="15">
        <f>($G996-$E996)*100</f>
        <v/>
      </c>
      <c r="Q996" s="15">
        <f>($G996-$C996)*100</f>
        <v/>
      </c>
      <c r="R996" s="15">
        <f>IF($H996="","",($H996-$F996)*100)</f>
        <v/>
      </c>
      <c r="S996" s="15">
        <f>IF($H996="","",($H996-$G996)*100)</f>
        <v/>
      </c>
    </row>
    <row r="997">
      <c r="A997" s="11" t="n">
        <v>43462</v>
      </c>
      <c r="B997" s="22" t="n">
        <v>-0.148</v>
      </c>
      <c r="C997" s="22" t="n">
        <v>-0.139</v>
      </c>
      <c r="D997" s="22" t="n">
        <v>-0.152</v>
      </c>
      <c r="E997" s="22" t="n">
        <v>0.013</v>
      </c>
      <c r="F997" s="22" t="n">
        <v>0.507</v>
      </c>
      <c r="G997" s="22" t="n">
        <v>0.724</v>
      </c>
      <c r="H997" s="22" t="n">
        <v>0.845</v>
      </c>
      <c r="I997" s="22" t="n">
        <v>3.04</v>
      </c>
      <c r="J997" s="22" t="n">
        <v>2.57</v>
      </c>
      <c r="K997" s="22" t="n">
        <v>2.72</v>
      </c>
      <c r="L997" s="17">
        <f>$J997-$B997</f>
        <v/>
      </c>
      <c r="M997" s="17">
        <f>$I997-$L997</f>
        <v/>
      </c>
      <c r="N997" s="23">
        <f>($G997-$M997)*100</f>
        <v/>
      </c>
      <c r="O997" s="15">
        <f>($E997-$C997)*100</f>
        <v/>
      </c>
      <c r="P997" s="15">
        <f>($G997-$E997)*100</f>
        <v/>
      </c>
      <c r="Q997" s="15">
        <f>($G997-$C997)*100</f>
        <v/>
      </c>
      <c r="R997" s="15">
        <f>IF($H997="","",($H997-$F997)*100)</f>
        <v/>
      </c>
      <c r="S997" s="15">
        <f>IF($H997="","",($H997-$G997)*100)</f>
        <v/>
      </c>
    </row>
    <row r="998">
      <c r="A998" s="11" t="n">
        <v>43469</v>
      </c>
      <c r="B998" s="22" t="n">
        <v>-0.173</v>
      </c>
      <c r="C998" s="22" t="n">
        <v>-0.176</v>
      </c>
      <c r="D998" s="22" t="n">
        <v>-0.188</v>
      </c>
      <c r="E998" s="22" t="n">
        <v>-0.023</v>
      </c>
      <c r="F998" s="22" t="n">
        <v>0.463</v>
      </c>
      <c r="G998" s="22" t="n">
        <v>0.677</v>
      </c>
      <c r="H998" s="22" t="n">
        <v>0.792</v>
      </c>
      <c r="I998" s="22" t="n">
        <v>2.98</v>
      </c>
      <c r="J998" s="22" t="n">
        <v>2.57</v>
      </c>
      <c r="K998" s="22" t="n">
        <v>2.67</v>
      </c>
      <c r="L998" s="17">
        <f>$J998-$B998</f>
        <v/>
      </c>
      <c r="M998" s="17">
        <f>$I998-$L998</f>
        <v/>
      </c>
      <c r="N998" s="23">
        <f>($G998-$M998)*100</f>
        <v/>
      </c>
      <c r="O998" s="15">
        <f>($E998-$C998)*100</f>
        <v/>
      </c>
      <c r="P998" s="15">
        <f>($G998-$E998)*100</f>
        <v/>
      </c>
      <c r="Q998" s="15">
        <f>($G998-$C998)*100</f>
        <v/>
      </c>
      <c r="R998" s="15">
        <f>IF($H998="","",($H998-$F998)*100)</f>
        <v/>
      </c>
      <c r="S998" s="15">
        <f>IF($H998="","",($H998-$G998)*100)</f>
        <v/>
      </c>
    </row>
    <row r="999">
      <c r="A999" s="11" t="n">
        <v>43476</v>
      </c>
      <c r="B999" s="22" t="n">
        <v>-0.148</v>
      </c>
      <c r="C999" s="22" t="n">
        <v>-0.153</v>
      </c>
      <c r="D999" s="22" t="n">
        <v>-0.15</v>
      </c>
      <c r="E999" s="22" t="n">
        <v>0.014</v>
      </c>
      <c r="F999" s="22" t="n">
        <v>0.488</v>
      </c>
      <c r="G999" s="22" t="n">
        <v>0.696</v>
      </c>
      <c r="H999" s="22" t="n">
        <v>0.798</v>
      </c>
      <c r="I999" s="22" t="n">
        <v>3.04</v>
      </c>
      <c r="J999" s="22" t="n">
        <v>2.58</v>
      </c>
      <c r="K999" s="22" t="n">
        <v>2.71</v>
      </c>
      <c r="L999" s="17">
        <f>$J999-$B999</f>
        <v/>
      </c>
      <c r="M999" s="17">
        <f>$I999-$L999</f>
        <v/>
      </c>
      <c r="N999" s="23">
        <f>($G999-$M999)*100</f>
        <v/>
      </c>
      <c r="O999" s="15">
        <f>($E999-$C999)*100</f>
        <v/>
      </c>
      <c r="P999" s="15">
        <f>($G999-$E999)*100</f>
        <v/>
      </c>
      <c r="Q999" s="15">
        <f>($G999-$C999)*100</f>
        <v/>
      </c>
      <c r="R999" s="15">
        <f>IF($H999="","",($H999-$F999)*100)</f>
        <v/>
      </c>
      <c r="S999" s="15">
        <f>IF($H999="","",($H999-$G999)*100)</f>
        <v/>
      </c>
    </row>
    <row r="1000">
      <c r="A1000" s="11" t="n">
        <v>43483</v>
      </c>
      <c r="B1000" s="22" t="n">
        <v>-0.173</v>
      </c>
      <c r="C1000" s="22" t="n">
        <v>-0.17</v>
      </c>
      <c r="D1000" s="22" t="n">
        <v>-0.159</v>
      </c>
      <c r="E1000" s="22" t="n">
        <v>0.01</v>
      </c>
      <c r="F1000" s="22" t="n">
        <v>0.486</v>
      </c>
      <c r="G1000" s="22" t="n">
        <v>0.6919999999999999</v>
      </c>
      <c r="H1000" s="22" t="n">
        <v>0.798</v>
      </c>
      <c r="I1000" s="22" t="n">
        <v>3.09</v>
      </c>
      <c r="J1000" s="22" t="n">
        <v>2.6</v>
      </c>
      <c r="K1000" s="22" t="n">
        <v>2.79</v>
      </c>
      <c r="L1000" s="17">
        <f>$J1000-$B1000</f>
        <v/>
      </c>
      <c r="M1000" s="17">
        <f>$I1000-$L1000</f>
        <v/>
      </c>
      <c r="N1000" s="23">
        <f>($G1000-$M1000)*100</f>
        <v/>
      </c>
      <c r="O1000" s="15">
        <f>($E1000-$C1000)*100</f>
        <v/>
      </c>
      <c r="P1000" s="15">
        <f>($G1000-$E1000)*100</f>
        <v/>
      </c>
      <c r="Q1000" s="15">
        <f>($G1000-$C1000)*100</f>
        <v/>
      </c>
      <c r="R1000" s="15">
        <f>IF($H1000="","",($H1000-$F1000)*100)</f>
        <v/>
      </c>
      <c r="S1000" s="15">
        <f>IF($H1000="","",($H1000-$G1000)*100)</f>
        <v/>
      </c>
    </row>
    <row r="1001">
      <c r="A1001" s="11" t="n">
        <v>43490</v>
      </c>
      <c r="B1001" s="22" t="n">
        <v>-0.187</v>
      </c>
      <c r="C1001" s="22" t="n">
        <v>-0.168</v>
      </c>
      <c r="D1001" s="22" t="n">
        <v>-0.164</v>
      </c>
      <c r="E1001" s="22" t="n">
        <v>-0.001</v>
      </c>
      <c r="F1001" s="22" t="n">
        <v>0.46</v>
      </c>
      <c r="G1001" s="22" t="n">
        <v>0.66</v>
      </c>
      <c r="H1001" s="22" t="n">
        <v>0.758</v>
      </c>
      <c r="I1001" s="22" t="n">
        <v>3.06</v>
      </c>
      <c r="J1001" s="22" t="n">
        <v>2.6</v>
      </c>
      <c r="K1001" s="22" t="n">
        <v>2.76</v>
      </c>
      <c r="L1001" s="17">
        <f>$J1001-$B1001</f>
        <v/>
      </c>
      <c r="M1001" s="17">
        <f>$I1001-$L1001</f>
        <v/>
      </c>
      <c r="N1001" s="23">
        <f>($G1001-$M1001)*100</f>
        <v/>
      </c>
      <c r="O1001" s="15">
        <f>($E1001-$C1001)*100</f>
        <v/>
      </c>
      <c r="P1001" s="15">
        <f>($G1001-$E1001)*100</f>
        <v/>
      </c>
      <c r="Q1001" s="15">
        <f>($G1001-$C1001)*100</f>
        <v/>
      </c>
      <c r="R1001" s="15">
        <f>IF($H1001="","",($H1001-$F1001)*100)</f>
        <v/>
      </c>
      <c r="S1001" s="15">
        <f>IF($H1001="","",($H1001-$G1001)*100)</f>
        <v/>
      </c>
    </row>
    <row r="1002">
      <c r="A1002" s="11" t="n">
        <v>43497</v>
      </c>
      <c r="B1002" s="22" t="n">
        <v>-0.191</v>
      </c>
      <c r="C1002" s="22" t="n">
        <v>-0.179</v>
      </c>
      <c r="D1002" s="22" t="n">
        <v>-0.179</v>
      </c>
      <c r="E1002" s="22" t="n">
        <v>-0.019</v>
      </c>
      <c r="F1002" s="22" t="n">
        <v>0.417</v>
      </c>
      <c r="G1002" s="22" t="n">
        <v>0.604</v>
      </c>
      <c r="H1002" s="22" t="n">
        <v>0.705</v>
      </c>
      <c r="I1002" s="22" t="n">
        <v>3.03</v>
      </c>
      <c r="J1002" s="22" t="n">
        <v>2.56</v>
      </c>
      <c r="K1002" s="22" t="n">
        <v>2.7</v>
      </c>
      <c r="L1002" s="17">
        <f>$J1002-$B1002</f>
        <v/>
      </c>
      <c r="M1002" s="17">
        <f>$I1002-$L1002</f>
        <v/>
      </c>
      <c r="N1002" s="23">
        <f>($G1002-$M1002)*100</f>
        <v/>
      </c>
      <c r="O1002" s="15">
        <f>($E1002-$C1002)*100</f>
        <v/>
      </c>
      <c r="P1002" s="15">
        <f>($G1002-$E1002)*100</f>
        <v/>
      </c>
      <c r="Q1002" s="15">
        <f>($G1002-$C1002)*100</f>
        <v/>
      </c>
      <c r="R1002" s="15">
        <f>IF($H1002="","",($H1002-$F1002)*100)</f>
        <v/>
      </c>
      <c r="S1002" s="15">
        <f>IF($H1002="","",($H1002-$G1002)*100)</f>
        <v/>
      </c>
    </row>
    <row r="1003">
      <c r="A1003" s="11" t="n">
        <v>43504</v>
      </c>
      <c r="B1003" s="22" t="n">
        <v>-0.183</v>
      </c>
      <c r="C1003" s="22" t="n">
        <v>-0.166</v>
      </c>
      <c r="D1003" s="22" t="n">
        <v>-0.169</v>
      </c>
      <c r="E1003" s="22" t="n">
        <v>-0.024</v>
      </c>
      <c r="F1003" s="22" t="n">
        <v>0.413</v>
      </c>
      <c r="G1003" s="22" t="n">
        <v>0.589</v>
      </c>
      <c r="H1003" s="22" t="n">
        <v>0.674</v>
      </c>
      <c r="I1003" s="22" t="n">
        <v>2.97</v>
      </c>
      <c r="J1003" s="22" t="n">
        <v>2.54</v>
      </c>
      <c r="K1003" s="22" t="n">
        <v>2.63</v>
      </c>
      <c r="L1003" s="17">
        <f>$J1003-$B1003</f>
        <v/>
      </c>
      <c r="M1003" s="17">
        <f>$I1003-$L1003</f>
        <v/>
      </c>
      <c r="N1003" s="23">
        <f>($G1003-$M1003)*100</f>
        <v/>
      </c>
      <c r="O1003" s="15">
        <f>($E1003-$C1003)*100</f>
        <v/>
      </c>
      <c r="P1003" s="15">
        <f>($G1003-$E1003)*100</f>
        <v/>
      </c>
      <c r="Q1003" s="15">
        <f>($G1003-$C1003)*100</f>
        <v/>
      </c>
      <c r="R1003" s="15">
        <f>IF($H1003="","",($H1003-$F1003)*100)</f>
        <v/>
      </c>
      <c r="S1003" s="15">
        <f>IF($H1003="","",($H1003-$G1003)*100)</f>
        <v/>
      </c>
    </row>
    <row r="1004">
      <c r="A1004" s="11" t="n">
        <v>43511</v>
      </c>
      <c r="B1004" s="22" t="n">
        <v>-0.19</v>
      </c>
      <c r="C1004" s="22" t="n">
        <v>-0.169</v>
      </c>
      <c r="D1004" s="22" t="n">
        <v>-0.17</v>
      </c>
      <c r="E1004" s="22" t="n">
        <v>-0.016</v>
      </c>
      <c r="F1004" s="22" t="n">
        <v>0.42</v>
      </c>
      <c r="G1004" s="22" t="n">
        <v>0.6</v>
      </c>
      <c r="H1004" s="22" t="n">
        <v>0.6870000000000001</v>
      </c>
      <c r="I1004" s="22" t="n">
        <v>3</v>
      </c>
      <c r="J1004" s="22" t="n">
        <v>2.55</v>
      </c>
      <c r="K1004" s="22" t="n">
        <v>2.66</v>
      </c>
      <c r="L1004" s="17">
        <f>$J1004-$B1004</f>
        <v/>
      </c>
      <c r="M1004" s="17">
        <f>$I1004-$L1004</f>
        <v/>
      </c>
      <c r="N1004" s="23">
        <f>($G1004-$M1004)*100</f>
        <v/>
      </c>
      <c r="O1004" s="15">
        <f>($E1004-$C1004)*100</f>
        <v/>
      </c>
      <c r="P1004" s="15">
        <f>($G1004-$E1004)*100</f>
        <v/>
      </c>
      <c r="Q1004" s="15">
        <f>($G1004-$C1004)*100</f>
        <v/>
      </c>
      <c r="R1004" s="15">
        <f>IF($H1004="","",($H1004-$F1004)*100)</f>
        <v/>
      </c>
      <c r="S1004" s="15">
        <f>IF($H1004="","",($H1004-$G1004)*100)</f>
        <v/>
      </c>
    </row>
    <row r="1005">
      <c r="A1005" s="11" t="n">
        <v>43518</v>
      </c>
      <c r="B1005" s="22" t="n">
        <v>-0.195</v>
      </c>
      <c r="C1005" s="22" t="n">
        <v>-0.178</v>
      </c>
      <c r="D1005" s="22" t="n">
        <v>-0.182</v>
      </c>
      <c r="E1005" s="22" t="n">
        <v>-0.037</v>
      </c>
      <c r="F1005" s="22" t="n">
        <v>0.406</v>
      </c>
      <c r="G1005" s="22" t="n">
        <v>0.586</v>
      </c>
      <c r="H1005" s="22" t="n">
        <v>0.669</v>
      </c>
      <c r="I1005" s="22" t="n">
        <v>3.02</v>
      </c>
      <c r="J1005" s="22" t="n">
        <v>2.55</v>
      </c>
      <c r="K1005" s="22" t="n">
        <v>2.65</v>
      </c>
      <c r="L1005" s="17">
        <f>$J1005-$B1005</f>
        <v/>
      </c>
      <c r="M1005" s="17">
        <f>$I1005-$L1005</f>
        <v/>
      </c>
      <c r="N1005" s="23">
        <f>($G1005-$M1005)*100</f>
        <v/>
      </c>
      <c r="O1005" s="15">
        <f>($E1005-$C1005)*100</f>
        <v/>
      </c>
      <c r="P1005" s="15">
        <f>($G1005-$E1005)*100</f>
        <v/>
      </c>
      <c r="Q1005" s="15">
        <f>($G1005-$C1005)*100</f>
        <v/>
      </c>
      <c r="R1005" s="15">
        <f>IF($H1005="","",($H1005-$F1005)*100)</f>
        <v/>
      </c>
      <c r="S1005" s="15">
        <f>IF($H1005="","",($H1005-$G1005)*100)</f>
        <v/>
      </c>
    </row>
    <row r="1006">
      <c r="A1006" s="11" t="n">
        <v>43525</v>
      </c>
      <c r="B1006" s="22" t="n">
        <v>-0.16</v>
      </c>
      <c r="C1006" s="22" t="n">
        <v>-0.15</v>
      </c>
      <c r="D1006" s="22" t="n">
        <v>-0.154</v>
      </c>
      <c r="E1006" s="22" t="n">
        <v>-0.004</v>
      </c>
      <c r="F1006" s="22" t="n">
        <v>0.439</v>
      </c>
      <c r="G1006" s="22" t="n">
        <v>0.628</v>
      </c>
      <c r="H1006" s="22" t="n">
        <v>0.719</v>
      </c>
      <c r="I1006" s="22" t="n">
        <v>3.13</v>
      </c>
      <c r="J1006" s="22" t="n">
        <v>2.55</v>
      </c>
      <c r="K1006" s="22" t="n">
        <v>2.76</v>
      </c>
      <c r="L1006" s="17">
        <f>$J1006-$B1006</f>
        <v/>
      </c>
      <c r="M1006" s="17">
        <f>$I1006-$L1006</f>
        <v/>
      </c>
      <c r="N1006" s="23">
        <f>($G1006-$M1006)*100</f>
        <v/>
      </c>
      <c r="O1006" s="15">
        <f>($E1006-$C1006)*100</f>
        <v/>
      </c>
      <c r="P1006" s="15">
        <f>($G1006-$E1006)*100</f>
        <v/>
      </c>
      <c r="Q1006" s="15">
        <f>($G1006-$C1006)*100</f>
        <v/>
      </c>
      <c r="R1006" s="15">
        <f>IF($H1006="","",($H1006-$F1006)*100)</f>
        <v/>
      </c>
      <c r="S1006" s="15">
        <f>IF($H1006="","",($H1006-$G1006)*100)</f>
        <v/>
      </c>
    </row>
    <row r="1007">
      <c r="A1007" s="11" t="n">
        <v>43532</v>
      </c>
      <c r="B1007" s="22" t="n">
        <v>-0.144</v>
      </c>
      <c r="C1007" s="22" t="n">
        <v>-0.147</v>
      </c>
      <c r="D1007" s="22" t="n">
        <v>-0.154</v>
      </c>
      <c r="E1007" s="22" t="n">
        <v>-0.028</v>
      </c>
      <c r="F1007" s="22" t="n">
        <v>0.405</v>
      </c>
      <c r="G1007" s="22" t="n">
        <v>0.591</v>
      </c>
      <c r="H1007" s="22" t="n">
        <v>0.674</v>
      </c>
      <c r="I1007" s="22" t="n">
        <v>3</v>
      </c>
      <c r="J1007" s="22" t="n">
        <v>2.53</v>
      </c>
      <c r="K1007" s="22" t="n">
        <v>2.62</v>
      </c>
      <c r="L1007" s="17">
        <f>$J1007-$B1007</f>
        <v/>
      </c>
      <c r="M1007" s="17">
        <f>$I1007-$L1007</f>
        <v/>
      </c>
      <c r="N1007" s="23">
        <f>($G1007-$M1007)*100</f>
        <v/>
      </c>
      <c r="O1007" s="15">
        <f>($E1007-$C1007)*100</f>
        <v/>
      </c>
      <c r="P1007" s="15">
        <f>($G1007-$E1007)*100</f>
        <v/>
      </c>
      <c r="Q1007" s="15">
        <f>($G1007-$C1007)*100</f>
        <v/>
      </c>
      <c r="R1007" s="15">
        <f>IF($H1007="","",($H1007-$F1007)*100)</f>
        <v/>
      </c>
      <c r="S1007" s="15">
        <f>IF($H1007="","",($H1007-$G1007)*100)</f>
        <v/>
      </c>
    </row>
    <row r="1008">
      <c r="A1008" s="11" t="n">
        <v>43539</v>
      </c>
      <c r="B1008" s="22" t="n">
        <v>-0.16</v>
      </c>
      <c r="C1008" s="22" t="n">
        <v>-0.165</v>
      </c>
      <c r="D1008" s="22" t="n">
        <v>-0.171</v>
      </c>
      <c r="E1008" s="22" t="n">
        <v>-0.028</v>
      </c>
      <c r="F1008" s="22" t="n">
        <v>0.407</v>
      </c>
      <c r="G1008" s="22" t="n">
        <v>0.582</v>
      </c>
      <c r="H1008" s="22" t="n">
        <v>0.656</v>
      </c>
      <c r="I1008" s="22" t="n">
        <v>3.02</v>
      </c>
      <c r="J1008" s="22" t="n">
        <v>2.52</v>
      </c>
      <c r="K1008" s="22" t="n">
        <v>2.59</v>
      </c>
      <c r="L1008" s="17">
        <f>$J1008-$B1008</f>
        <v/>
      </c>
      <c r="M1008" s="17">
        <f>$I1008-$L1008</f>
        <v/>
      </c>
      <c r="N1008" s="23">
        <f>($G1008-$M1008)*100</f>
        <v/>
      </c>
      <c r="O1008" s="15">
        <f>($E1008-$C1008)*100</f>
        <v/>
      </c>
      <c r="P1008" s="15">
        <f>($G1008-$E1008)*100</f>
        <v/>
      </c>
      <c r="Q1008" s="15">
        <f>($G1008-$C1008)*100</f>
        <v/>
      </c>
      <c r="R1008" s="15">
        <f>IF($H1008="","",($H1008-$F1008)*100)</f>
        <v/>
      </c>
      <c r="S1008" s="15">
        <f>IF($H1008="","",($H1008-$G1008)*100)</f>
        <v/>
      </c>
    </row>
    <row r="1009">
      <c r="A1009" s="11" t="n">
        <v>43546</v>
      </c>
      <c r="B1009" s="22" t="n">
        <v>-0.184</v>
      </c>
      <c r="C1009" s="22" t="n">
        <v>-0.178</v>
      </c>
      <c r="D1009" s="22" t="n">
        <v>-0.188</v>
      </c>
      <c r="E1009" s="22" t="n">
        <v>-0.061</v>
      </c>
      <c r="F1009" s="22" t="n">
        <v>0.363</v>
      </c>
      <c r="G1009" s="22" t="n">
        <v>0.535</v>
      </c>
      <c r="H1009" s="22" t="n">
        <v>0.61</v>
      </c>
      <c r="I1009" s="22" t="n">
        <v>2.88</v>
      </c>
      <c r="J1009" s="22" t="n">
        <v>2.45</v>
      </c>
      <c r="K1009" s="22" t="n">
        <v>2.44</v>
      </c>
      <c r="L1009" s="17">
        <f>$J1009-$B1009</f>
        <v/>
      </c>
      <c r="M1009" s="17">
        <f>$I1009-$L1009</f>
        <v/>
      </c>
      <c r="N1009" s="23">
        <f>($G1009-$M1009)*100</f>
        <v/>
      </c>
      <c r="O1009" s="15">
        <f>($E1009-$C1009)*100</f>
        <v/>
      </c>
      <c r="P1009" s="15">
        <f>($G1009-$E1009)*100</f>
        <v/>
      </c>
      <c r="Q1009" s="15">
        <f>($G1009-$C1009)*100</f>
        <v/>
      </c>
      <c r="R1009" s="15">
        <f>IF($H1009="","",($H1009-$F1009)*100)</f>
        <v/>
      </c>
      <c r="S1009" s="15">
        <f>IF($H1009="","",($H1009-$G1009)*100)</f>
        <v/>
      </c>
    </row>
    <row r="1010">
      <c r="A1010" s="11" t="n">
        <v>43553</v>
      </c>
      <c r="B1010" s="22" t="n">
        <v>-0.178</v>
      </c>
      <c r="C1010" s="22" t="n">
        <v>-0.183</v>
      </c>
      <c r="D1010" s="22" t="n">
        <v>-0.202</v>
      </c>
      <c r="E1010" s="22" t="n">
        <v>-0.082</v>
      </c>
      <c r="F1010" s="22" t="n">
        <v>0.344</v>
      </c>
      <c r="G1010" s="22" t="n">
        <v>0.513</v>
      </c>
      <c r="H1010" s="22" t="n">
        <v>0.582</v>
      </c>
      <c r="I1010" s="22" t="n">
        <v>2.81</v>
      </c>
      <c r="J1010" s="22" t="n">
        <v>2.4</v>
      </c>
      <c r="K1010" s="22" t="n">
        <v>2.41</v>
      </c>
      <c r="L1010" s="17">
        <f>$J1010-$B1010</f>
        <v/>
      </c>
      <c r="M1010" s="17">
        <f>$I1010-$L1010</f>
        <v/>
      </c>
      <c r="N1010" s="23">
        <f>($G1010-$M1010)*100</f>
        <v/>
      </c>
      <c r="O1010" s="15">
        <f>($E1010-$C1010)*100</f>
        <v/>
      </c>
      <c r="P1010" s="15">
        <f>($G1010-$E1010)*100</f>
        <v/>
      </c>
      <c r="Q1010" s="15">
        <f>($G1010-$C1010)*100</f>
        <v/>
      </c>
      <c r="R1010" s="15">
        <f>IF($H1010="","",($H1010-$F1010)*100)</f>
        <v/>
      </c>
      <c r="S1010" s="15">
        <f>IF($H1010="","",($H1010-$G1010)*100)</f>
        <v/>
      </c>
    </row>
    <row r="1011">
      <c r="A1011" s="11" t="n">
        <v>43560</v>
      </c>
      <c r="B1011" s="22" t="n">
        <v>-0.153</v>
      </c>
      <c r="C1011" s="22" t="n">
        <v>-0.156</v>
      </c>
      <c r="D1011" s="22" t="n">
        <v>-0.158</v>
      </c>
      <c r="E1011" s="22" t="n">
        <v>-0.032</v>
      </c>
      <c r="F1011" s="22" t="n">
        <v>0.385</v>
      </c>
      <c r="G1011" s="22" t="n">
        <v>0.542</v>
      </c>
      <c r="H1011" s="22" t="n">
        <v>0.592</v>
      </c>
      <c r="I1011" s="22" t="n">
        <v>2.91</v>
      </c>
      <c r="J1011" s="22" t="n">
        <v>2.43</v>
      </c>
      <c r="K1011" s="22" t="n">
        <v>2.5</v>
      </c>
      <c r="L1011" s="17">
        <f>$J1011-$B1011</f>
        <v/>
      </c>
      <c r="M1011" s="17">
        <f>$I1011-$L1011</f>
        <v/>
      </c>
      <c r="N1011" s="23">
        <f>($G1011-$M1011)*100</f>
        <v/>
      </c>
      <c r="O1011" s="15">
        <f>($E1011-$C1011)*100</f>
        <v/>
      </c>
      <c r="P1011" s="15">
        <f>($G1011-$E1011)*100</f>
        <v/>
      </c>
      <c r="Q1011" s="15">
        <f>($G1011-$C1011)*100</f>
        <v/>
      </c>
      <c r="R1011" s="15">
        <f>IF($H1011="","",($H1011-$F1011)*100)</f>
        <v/>
      </c>
      <c r="S1011" s="15">
        <f>IF($H1011="","",($H1011-$G1011)*100)</f>
        <v/>
      </c>
    </row>
    <row r="1012">
      <c r="A1012" s="11" t="n">
        <v>43567</v>
      </c>
      <c r="B1012" s="22" t="n">
        <v>-0.168</v>
      </c>
      <c r="C1012" s="22" t="n">
        <v>-0.169</v>
      </c>
      <c r="D1012" s="22" t="n">
        <v>-0.174</v>
      </c>
      <c r="E1012" s="22" t="n">
        <v>-0.051</v>
      </c>
      <c r="F1012" s="22" t="n">
        <v>0.365</v>
      </c>
      <c r="G1012" s="22" t="n">
        <v>0.515</v>
      </c>
      <c r="H1012" s="22" t="n">
        <v>0.555</v>
      </c>
      <c r="I1012" s="22" t="n">
        <v>2.97</v>
      </c>
      <c r="J1012" s="22" t="n">
        <v>2.44</v>
      </c>
      <c r="K1012" s="22" t="n">
        <v>2.56</v>
      </c>
      <c r="L1012" s="17">
        <f>$J1012-$B1012</f>
        <v/>
      </c>
      <c r="M1012" s="17">
        <f>$I1012-$L1012</f>
        <v/>
      </c>
      <c r="N1012" s="23">
        <f>($G1012-$M1012)*100</f>
        <v/>
      </c>
      <c r="O1012" s="15">
        <f>($E1012-$C1012)*100</f>
        <v/>
      </c>
      <c r="P1012" s="15">
        <f>($G1012-$E1012)*100</f>
        <v/>
      </c>
      <c r="Q1012" s="15">
        <f>($G1012-$C1012)*100</f>
        <v/>
      </c>
      <c r="R1012" s="15">
        <f>IF($H1012="","",($H1012-$F1012)*100)</f>
        <v/>
      </c>
      <c r="S1012" s="15">
        <f>IF($H1012="","",($H1012-$G1012)*100)</f>
        <v/>
      </c>
    </row>
    <row r="1013">
      <c r="A1013" s="11" t="n">
        <v>43574</v>
      </c>
      <c r="B1013" s="22" t="n">
        <v>-0.162</v>
      </c>
      <c r="C1013" s="22" t="n">
        <v>-0.151</v>
      </c>
      <c r="D1013" s="22" t="n">
        <v>-0.155</v>
      </c>
      <c r="E1013" s="22" t="n">
        <v>-0.026</v>
      </c>
      <c r="F1013" s="22" t="n">
        <v>0.393</v>
      </c>
      <c r="G1013" s="22" t="n">
        <v>0.578</v>
      </c>
      <c r="H1013" s="22" t="n">
        <v>0.643</v>
      </c>
      <c r="I1013" s="22" t="n">
        <v>2.96</v>
      </c>
      <c r="J1013" s="22" t="n">
        <v>2.44</v>
      </c>
      <c r="K1013" s="22" t="n">
        <v>2.57</v>
      </c>
      <c r="L1013" s="17">
        <f>$J1013-$B1013</f>
        <v/>
      </c>
      <c r="M1013" s="17">
        <f>$I1013-$L1013</f>
        <v/>
      </c>
      <c r="N1013" s="23">
        <f>($G1013-$M1013)*100</f>
        <v/>
      </c>
      <c r="O1013" s="15">
        <f>($E1013-$C1013)*100</f>
        <v/>
      </c>
      <c r="P1013" s="15">
        <f>($G1013-$E1013)*100</f>
        <v/>
      </c>
      <c r="Q1013" s="15">
        <f>($G1013-$C1013)*100</f>
        <v/>
      </c>
      <c r="R1013" s="15">
        <f>IF($H1013="","",($H1013-$F1013)*100)</f>
        <v/>
      </c>
      <c r="S1013" s="15">
        <f>IF($H1013="","",($H1013-$G1013)*100)</f>
        <v/>
      </c>
    </row>
    <row r="1014">
      <c r="A1014" s="11" t="n">
        <v>43581</v>
      </c>
      <c r="B1014" s="22" t="n">
        <v>-0.157</v>
      </c>
      <c r="C1014" s="22" t="n">
        <v>-0.153</v>
      </c>
      <c r="D1014" s="22" t="n">
        <v>-0.17</v>
      </c>
      <c r="E1014" s="22" t="n">
        <v>-0.045</v>
      </c>
      <c r="F1014" s="22" t="n">
        <v>0.374</v>
      </c>
      <c r="G1014" s="22" t="n">
        <v>0.5570000000000001</v>
      </c>
      <c r="H1014" s="22" t="n">
        <v>0.625</v>
      </c>
      <c r="I1014" s="22" t="n">
        <v>2.92</v>
      </c>
      <c r="J1014" s="22" t="n">
        <v>2.41</v>
      </c>
      <c r="K1014" s="22" t="n">
        <v>2.51</v>
      </c>
      <c r="L1014" s="17">
        <f>$J1014-$B1014</f>
        <v/>
      </c>
      <c r="M1014" s="17">
        <f>$I1014-$L1014</f>
        <v/>
      </c>
      <c r="N1014" s="23">
        <f>($G1014-$M1014)*100</f>
        <v/>
      </c>
      <c r="O1014" s="15">
        <f>($E1014-$C1014)*100</f>
        <v/>
      </c>
      <c r="P1014" s="15">
        <f>($G1014-$E1014)*100</f>
        <v/>
      </c>
      <c r="Q1014" s="15">
        <f>($G1014-$C1014)*100</f>
        <v/>
      </c>
      <c r="R1014" s="15">
        <f>IF($H1014="","",($H1014-$F1014)*100)</f>
        <v/>
      </c>
      <c r="S1014" s="15">
        <f>IF($H1014="","",($H1014-$G1014)*100)</f>
        <v/>
      </c>
    </row>
    <row r="1015">
      <c r="A1015" s="11" t="n">
        <v>43588</v>
      </c>
      <c r="B1015" s="22" t="n">
        <v>-0.157</v>
      </c>
      <c r="C1015" s="22" t="n">
        <v>-0.153</v>
      </c>
      <c r="D1015" s="22" t="n">
        <v>-0.17</v>
      </c>
      <c r="E1015" s="22" t="n">
        <v>-0.045</v>
      </c>
      <c r="F1015" s="22" t="n">
        <v>0.374</v>
      </c>
      <c r="G1015" s="22" t="n">
        <v>0.5570000000000001</v>
      </c>
      <c r="H1015" s="22" t="n">
        <v>0.625</v>
      </c>
      <c r="I1015" s="22" t="n">
        <v>2.93</v>
      </c>
      <c r="J1015" s="22" t="n">
        <v>2.41</v>
      </c>
      <c r="K1015" s="22" t="n">
        <v>2.54</v>
      </c>
      <c r="L1015" s="17">
        <f>$J1015-$B1015</f>
        <v/>
      </c>
      <c r="M1015" s="17">
        <f>$I1015-$L1015</f>
        <v/>
      </c>
      <c r="N1015" s="23">
        <f>($G1015-$M1015)*100</f>
        <v/>
      </c>
      <c r="O1015" s="15">
        <f>($E1015-$C1015)*100</f>
        <v/>
      </c>
      <c r="P1015" s="15">
        <f>($G1015-$E1015)*100</f>
        <v/>
      </c>
      <c r="Q1015" s="15">
        <f>($G1015-$C1015)*100</f>
        <v/>
      </c>
      <c r="R1015" s="15">
        <f>IF($H1015="","",($H1015-$F1015)*100)</f>
        <v/>
      </c>
      <c r="S1015" s="15">
        <f>IF($H1015="","",($H1015-$G1015)*100)</f>
        <v/>
      </c>
    </row>
    <row r="1016">
      <c r="A1016" s="11" t="n">
        <v>43595</v>
      </c>
      <c r="B1016" s="22" t="n">
        <v>-0.156</v>
      </c>
      <c r="C1016" s="22" t="n">
        <v>-0.158</v>
      </c>
      <c r="D1016" s="22" t="n">
        <v>-0.17</v>
      </c>
      <c r="E1016" s="22" t="n">
        <v>-0.044</v>
      </c>
      <c r="F1016" s="22" t="n">
        <v>0.37</v>
      </c>
      <c r="G1016" s="22" t="n">
        <v>0.535</v>
      </c>
      <c r="H1016" s="22" t="n">
        <v>0.588</v>
      </c>
      <c r="I1016" s="22" t="n">
        <v>2.89</v>
      </c>
      <c r="J1016" s="22" t="n">
        <v>2.36</v>
      </c>
      <c r="K1016" s="22" t="n">
        <v>2.47</v>
      </c>
      <c r="L1016" s="17">
        <f>$J1016-$B1016</f>
        <v/>
      </c>
      <c r="M1016" s="17">
        <f>$I1016-$L1016</f>
        <v/>
      </c>
      <c r="N1016" s="23">
        <f>($G1016-$M1016)*100</f>
        <v/>
      </c>
      <c r="O1016" s="15">
        <f>($E1016-$C1016)*100</f>
        <v/>
      </c>
      <c r="P1016" s="15">
        <f>($G1016-$E1016)*100</f>
        <v/>
      </c>
      <c r="Q1016" s="15">
        <f>($G1016-$C1016)*100</f>
        <v/>
      </c>
      <c r="R1016" s="15">
        <f>IF($H1016="","",($H1016-$F1016)*100)</f>
        <v/>
      </c>
      <c r="S1016" s="15">
        <f>IF($H1016="","",($H1016-$G1016)*100)</f>
        <v/>
      </c>
    </row>
    <row r="1017">
      <c r="A1017" s="11" t="n">
        <v>43602</v>
      </c>
      <c r="B1017" s="22" t="n">
        <v>-0.161</v>
      </c>
      <c r="C1017" s="22" t="n">
        <v>-0.164</v>
      </c>
      <c r="D1017" s="22" t="n">
        <v>-0.169</v>
      </c>
      <c r="E1017" s="22" t="n">
        <v>-0.053</v>
      </c>
      <c r="F1017" s="22" t="n">
        <v>0.356</v>
      </c>
      <c r="G1017" s="22" t="n">
        <v>0.525</v>
      </c>
      <c r="H1017" s="22" t="n">
        <v>0.582</v>
      </c>
      <c r="I1017" s="22" t="n">
        <v>2.82</v>
      </c>
      <c r="J1017" s="22" t="n">
        <v>2.33</v>
      </c>
      <c r="K1017" s="22" t="n">
        <v>2.39</v>
      </c>
      <c r="L1017" s="17">
        <f>$J1017-$B1017</f>
        <v/>
      </c>
      <c r="M1017" s="17">
        <f>$I1017-$L1017</f>
        <v/>
      </c>
      <c r="N1017" s="23">
        <f>($G1017-$M1017)*100</f>
        <v/>
      </c>
      <c r="O1017" s="15">
        <f>($E1017-$C1017)*100</f>
        <v/>
      </c>
      <c r="P1017" s="15">
        <f>($G1017-$E1017)*100</f>
        <v/>
      </c>
      <c r="Q1017" s="15">
        <f>($G1017-$C1017)*100</f>
        <v/>
      </c>
      <c r="R1017" s="15">
        <f>IF($H1017="","",($H1017-$F1017)*100)</f>
        <v/>
      </c>
      <c r="S1017" s="15">
        <f>IF($H1017="","",($H1017-$G1017)*100)</f>
        <v/>
      </c>
    </row>
    <row r="1018">
      <c r="A1018" s="11" t="n">
        <v>43609</v>
      </c>
      <c r="B1018" s="22" t="n">
        <v>-0.16</v>
      </c>
      <c r="C1018" s="22" t="n">
        <v>-0.155</v>
      </c>
      <c r="D1018" s="22" t="n">
        <v>-0.174</v>
      </c>
      <c r="E1018" s="22" t="n">
        <v>-0.068</v>
      </c>
      <c r="F1018" s="22" t="n">
        <v>0.336</v>
      </c>
      <c r="G1018" s="22" t="n">
        <v>0.502</v>
      </c>
      <c r="H1018" s="22" t="n">
        <v>0.5600000000000001</v>
      </c>
      <c r="I1018" s="22" t="n">
        <v>2.75</v>
      </c>
      <c r="J1018" s="22" t="n">
        <v>2.33</v>
      </c>
      <c r="K1018" s="22" t="n">
        <v>2.32</v>
      </c>
      <c r="L1018" s="17">
        <f>$J1018-$B1018</f>
        <v/>
      </c>
      <c r="M1018" s="17">
        <f>$I1018-$L1018</f>
        <v/>
      </c>
      <c r="N1018" s="23">
        <f>($G1018-$M1018)*100</f>
        <v/>
      </c>
      <c r="O1018" s="15">
        <f>($E1018-$C1018)*100</f>
        <v/>
      </c>
      <c r="P1018" s="15">
        <f>($G1018-$E1018)*100</f>
        <v/>
      </c>
      <c r="Q1018" s="15">
        <f>($G1018-$C1018)*100</f>
        <v/>
      </c>
      <c r="R1018" s="15">
        <f>IF($H1018="","",($H1018-$F1018)*100)</f>
        <v/>
      </c>
      <c r="S1018" s="15">
        <f>IF($H1018="","",($H1018-$G1018)*100)</f>
        <v/>
      </c>
    </row>
    <row r="1019">
      <c r="A1019" s="11" t="n">
        <v>43616</v>
      </c>
      <c r="B1019" s="22" t="n">
        <v>-0.158</v>
      </c>
      <c r="C1019" s="22" t="n">
        <v>-0.179</v>
      </c>
      <c r="D1019" s="22" t="n">
        <v>-0.201</v>
      </c>
      <c r="E1019" s="22" t="n">
        <v>-0.092</v>
      </c>
      <c r="F1019" s="22" t="n">
        <v>0.298</v>
      </c>
      <c r="G1019" s="22" t="n">
        <v>0.456</v>
      </c>
      <c r="H1019" s="22" t="n">
        <v>0.503</v>
      </c>
      <c r="I1019" s="22" t="n">
        <v>2.58</v>
      </c>
      <c r="J1019" s="22" t="n">
        <v>2.21</v>
      </c>
      <c r="K1019" s="22" t="n">
        <v>2.14</v>
      </c>
      <c r="L1019" s="17">
        <f>$J1019-$B1019</f>
        <v/>
      </c>
      <c r="M1019" s="17">
        <f>$I1019-$L1019</f>
        <v/>
      </c>
      <c r="N1019" s="23">
        <f>($G1019-$M1019)*100</f>
        <v/>
      </c>
      <c r="O1019" s="15">
        <f>($E1019-$C1019)*100</f>
        <v/>
      </c>
      <c r="P1019" s="15">
        <f>($G1019-$E1019)*100</f>
        <v/>
      </c>
      <c r="Q1019" s="15">
        <f>($G1019-$C1019)*100</f>
        <v/>
      </c>
      <c r="R1019" s="15">
        <f>IF($H1019="","",($H1019-$F1019)*100)</f>
        <v/>
      </c>
      <c r="S1019" s="15">
        <f>IF($H1019="","",($H1019-$G1019)*100)</f>
        <v/>
      </c>
    </row>
    <row r="1020">
      <c r="A1020" s="11" t="n">
        <v>43623</v>
      </c>
      <c r="B1020" s="22" t="n">
        <v>-0.173</v>
      </c>
      <c r="C1020" s="22" t="n">
        <v>-0.197</v>
      </c>
      <c r="D1020" s="22" t="n">
        <v>-0.229</v>
      </c>
      <c r="E1020" s="22" t="n">
        <v>-0.112</v>
      </c>
      <c r="F1020" s="22" t="n">
        <v>0.268</v>
      </c>
      <c r="G1020" s="22" t="n">
        <v>0.403</v>
      </c>
      <c r="H1020" s="22" t="n">
        <v>0.444</v>
      </c>
      <c r="I1020" s="22" t="n">
        <v>2.57</v>
      </c>
      <c r="J1020" s="22" t="n">
        <v>1.97</v>
      </c>
      <c r="K1020" s="22" t="n">
        <v>2.09</v>
      </c>
      <c r="L1020" s="17">
        <f>$J1020-$B1020</f>
        <v/>
      </c>
      <c r="M1020" s="17">
        <f>$I1020-$L1020</f>
        <v/>
      </c>
      <c r="N1020" s="23">
        <f>($G1020-$M1020)*100</f>
        <v/>
      </c>
      <c r="O1020" s="15">
        <f>($E1020-$C1020)*100</f>
        <v/>
      </c>
      <c r="P1020" s="15">
        <f>($G1020-$E1020)*100</f>
        <v/>
      </c>
      <c r="Q1020" s="15">
        <f>($G1020-$C1020)*100</f>
        <v/>
      </c>
      <c r="R1020" s="15">
        <f>IF($H1020="","",($H1020-$F1020)*100)</f>
        <v/>
      </c>
      <c r="S1020" s="15">
        <f>IF($H1020="","",($H1020-$G1020)*100)</f>
        <v/>
      </c>
    </row>
    <row r="1021">
      <c r="A1021" s="11" t="n">
        <v>43630</v>
      </c>
      <c r="B1021" s="22" t="n">
        <v>-0.178</v>
      </c>
      <c r="C1021" s="22" t="n">
        <v>-0.206</v>
      </c>
      <c r="D1021" s="22" t="n">
        <v>-0.235</v>
      </c>
      <c r="E1021" s="22" t="n">
        <v>-0.122</v>
      </c>
      <c r="F1021" s="22" t="n">
        <v>0.248</v>
      </c>
      <c r="G1021" s="22" t="n">
        <v>0.371</v>
      </c>
      <c r="H1021" s="22" t="n">
        <v>0.412</v>
      </c>
      <c r="I1021" s="22" t="n">
        <v>2.59</v>
      </c>
      <c r="J1021" s="22" t="n">
        <v>2</v>
      </c>
      <c r="K1021" s="22" t="n">
        <v>2.09</v>
      </c>
      <c r="L1021" s="17">
        <f>$J1021-$B1021</f>
        <v/>
      </c>
      <c r="M1021" s="17">
        <f>$I1021-$L1021</f>
        <v/>
      </c>
      <c r="N1021" s="23">
        <f>($G1021-$M1021)*100</f>
        <v/>
      </c>
      <c r="O1021" s="15">
        <f>($E1021-$C1021)*100</f>
        <v/>
      </c>
      <c r="P1021" s="15">
        <f>($G1021-$E1021)*100</f>
        <v/>
      </c>
      <c r="Q1021" s="15">
        <f>($G1021-$C1021)*100</f>
        <v/>
      </c>
      <c r="R1021" s="15">
        <f>IF($H1021="","",($H1021-$F1021)*100)</f>
        <v/>
      </c>
      <c r="S1021" s="15">
        <f>IF($H1021="","",($H1021-$G1021)*100)</f>
        <v/>
      </c>
    </row>
    <row r="1022">
      <c r="A1022" s="11" t="n">
        <v>43637</v>
      </c>
      <c r="B1022" s="22" t="n">
        <v>-0.219</v>
      </c>
      <c r="C1022" s="22" t="n">
        <v>-0.239</v>
      </c>
      <c r="D1022" s="22" t="n">
        <v>-0.277</v>
      </c>
      <c r="E1022" s="22" t="n">
        <v>-0.162</v>
      </c>
      <c r="F1022" s="22" t="n">
        <v>0.203</v>
      </c>
      <c r="G1022" s="22" t="n">
        <v>0.329</v>
      </c>
      <c r="H1022" s="22" t="n">
        <v>0.367</v>
      </c>
      <c r="I1022" s="22" t="n">
        <v>2.59</v>
      </c>
      <c r="J1022" s="22" t="n">
        <v>1.95</v>
      </c>
      <c r="K1022" s="22" t="n">
        <v>2.07</v>
      </c>
      <c r="L1022" s="17">
        <f>$J1022-$B1022</f>
        <v/>
      </c>
      <c r="M1022" s="17">
        <f>$I1022-$L1022</f>
        <v/>
      </c>
      <c r="N1022" s="23">
        <f>($G1022-$M1022)*100</f>
        <v/>
      </c>
      <c r="O1022" s="15">
        <f>($E1022-$C1022)*100</f>
        <v/>
      </c>
      <c r="P1022" s="15">
        <f>($G1022-$E1022)*100</f>
        <v/>
      </c>
      <c r="Q1022" s="15">
        <f>($G1022-$C1022)*100</f>
        <v/>
      </c>
      <c r="R1022" s="15">
        <f>IF($H1022="","",($H1022-$F1022)*100)</f>
        <v/>
      </c>
      <c r="S1022" s="15">
        <f>IF($H1022="","",($H1022-$G1022)*100)</f>
        <v/>
      </c>
    </row>
    <row r="1023">
      <c r="A1023" s="11" t="n">
        <v>43644</v>
      </c>
      <c r="B1023" s="22" t="n">
        <v>-0.196</v>
      </c>
      <c r="C1023" s="22" t="n">
        <v>-0.222</v>
      </c>
      <c r="D1023" s="22" t="n">
        <v>-0.262</v>
      </c>
      <c r="E1023" s="22" t="n">
        <v>-0.156</v>
      </c>
      <c r="F1023" s="22" t="n">
        <v>0.229</v>
      </c>
      <c r="G1023" s="22" t="n">
        <v>0.363</v>
      </c>
      <c r="H1023" s="22" t="n">
        <v>0.413</v>
      </c>
      <c r="I1023" s="22" t="n">
        <v>2.52</v>
      </c>
      <c r="J1023" s="22" t="n">
        <v>1.92</v>
      </c>
      <c r="K1023" s="22" t="n">
        <v>2</v>
      </c>
      <c r="L1023" s="17">
        <f>$J1023-$B1023</f>
        <v/>
      </c>
      <c r="M1023" s="17">
        <f>$I1023-$L1023</f>
        <v/>
      </c>
      <c r="N1023" s="23">
        <f>($G1023-$M1023)*100</f>
        <v/>
      </c>
      <c r="O1023" s="15">
        <f>($E1023-$C1023)*100</f>
        <v/>
      </c>
      <c r="P1023" s="15">
        <f>($G1023-$E1023)*100</f>
        <v/>
      </c>
      <c r="Q1023" s="15">
        <f>($G1023-$C1023)*100</f>
        <v/>
      </c>
      <c r="R1023" s="15">
        <f>IF($H1023="","",($H1023-$F1023)*100)</f>
        <v/>
      </c>
      <c r="S1023" s="15">
        <f>IF($H1023="","",($H1023-$G1023)*100)</f>
        <v/>
      </c>
    </row>
    <row r="1024">
      <c r="A1024" s="11" t="n">
        <v>43651</v>
      </c>
      <c r="B1024" s="22" t="n">
        <v>-0.193</v>
      </c>
      <c r="C1024" s="22" t="n">
        <v>-0.211</v>
      </c>
      <c r="D1024" s="22" t="n">
        <v>-0.26</v>
      </c>
      <c r="E1024" s="22" t="n">
        <v>-0.17</v>
      </c>
      <c r="F1024" s="22" t="n">
        <v>0.205</v>
      </c>
      <c r="G1024" s="22" t="n">
        <v>0.334</v>
      </c>
      <c r="H1024" s="22" t="n">
        <v>0.367</v>
      </c>
      <c r="I1024" s="22" t="n">
        <v>2.54</v>
      </c>
      <c r="J1024" s="22" t="n">
        <v>1.98</v>
      </c>
      <c r="K1024" s="22" t="n">
        <v>2.04</v>
      </c>
      <c r="L1024" s="17">
        <f>$J1024-$B1024</f>
        <v/>
      </c>
      <c r="M1024" s="17">
        <f>$I1024-$L1024</f>
        <v/>
      </c>
      <c r="N1024" s="23">
        <f>($G1024-$M1024)*100</f>
        <v/>
      </c>
      <c r="O1024" s="15">
        <f>($E1024-$C1024)*100</f>
        <v/>
      </c>
      <c r="P1024" s="15">
        <f>($G1024-$E1024)*100</f>
        <v/>
      </c>
      <c r="Q1024" s="15">
        <f>($G1024-$C1024)*100</f>
        <v/>
      </c>
      <c r="R1024" s="15">
        <f>IF($H1024="","",($H1024-$F1024)*100)</f>
        <v/>
      </c>
      <c r="S1024" s="15">
        <f>IF($H1024="","",($H1024-$G1024)*100)</f>
        <v/>
      </c>
    </row>
    <row r="1025">
      <c r="A1025" s="11" t="n">
        <v>43658</v>
      </c>
      <c r="B1025" s="22" t="n">
        <v>-0.176</v>
      </c>
      <c r="C1025" s="22" t="n">
        <v>-0.184</v>
      </c>
      <c r="D1025" s="22" t="n">
        <v>-0.21</v>
      </c>
      <c r="E1025" s="22" t="n">
        <v>-0.118</v>
      </c>
      <c r="F1025" s="22" t="n">
        <v>0.256</v>
      </c>
      <c r="G1025" s="22" t="n">
        <v>0.386</v>
      </c>
      <c r="H1025" s="22" t="n">
        <v>0.416</v>
      </c>
      <c r="I1025" s="22" t="n">
        <v>2.64</v>
      </c>
      <c r="J1025" s="22" t="n">
        <v>1.96</v>
      </c>
      <c r="K1025" s="22" t="n">
        <v>2.12</v>
      </c>
      <c r="L1025" s="17">
        <f>$J1025-$B1025</f>
        <v/>
      </c>
      <c r="M1025" s="17">
        <f>$I1025-$L1025</f>
        <v/>
      </c>
      <c r="N1025" s="23">
        <f>($G1025-$M1025)*100</f>
        <v/>
      </c>
      <c r="O1025" s="15">
        <f>($E1025-$C1025)*100</f>
        <v/>
      </c>
      <c r="P1025" s="15">
        <f>($G1025-$E1025)*100</f>
        <v/>
      </c>
      <c r="Q1025" s="15">
        <f>($G1025-$C1025)*100</f>
        <v/>
      </c>
      <c r="R1025" s="15">
        <f>IF($H1025="","",($H1025-$F1025)*100)</f>
        <v/>
      </c>
      <c r="S1025" s="15">
        <f>IF($H1025="","",($H1025-$G1025)*100)</f>
        <v/>
      </c>
    </row>
    <row r="1026">
      <c r="A1026" s="11" t="n">
        <v>43665</v>
      </c>
      <c r="B1026" s="22" t="n">
        <v>-0.191</v>
      </c>
      <c r="C1026" s="22" t="n">
        <v>-0.203</v>
      </c>
      <c r="D1026" s="22" t="n">
        <v>-0.236</v>
      </c>
      <c r="E1026" s="22" t="n">
        <v>-0.138</v>
      </c>
      <c r="F1026" s="22" t="n">
        <v>0.234</v>
      </c>
      <c r="G1026" s="22" t="n">
        <v>0.372</v>
      </c>
      <c r="H1026" s="22" t="n">
        <v>0.412</v>
      </c>
      <c r="I1026" s="22" t="n">
        <v>2.57</v>
      </c>
      <c r="J1026" s="22" t="n">
        <v>1.94</v>
      </c>
      <c r="K1026" s="22" t="n">
        <v>2.05</v>
      </c>
      <c r="L1026" s="17">
        <f>$J1026-$B1026</f>
        <v/>
      </c>
      <c r="M1026" s="17">
        <f>$I1026-$L1026</f>
        <v/>
      </c>
      <c r="N1026" s="23">
        <f>($G1026-$M1026)*100</f>
        <v/>
      </c>
      <c r="O1026" s="15">
        <f>($E1026-$C1026)*100</f>
        <v/>
      </c>
      <c r="P1026" s="15">
        <f>($G1026-$E1026)*100</f>
        <v/>
      </c>
      <c r="Q1026" s="15">
        <f>($G1026-$C1026)*100</f>
        <v/>
      </c>
      <c r="R1026" s="15">
        <f>IF($H1026="","",($H1026-$F1026)*100)</f>
        <v/>
      </c>
      <c r="S1026" s="15">
        <f>IF($H1026="","",($H1026-$G1026)*100)</f>
        <v/>
      </c>
    </row>
    <row r="1027">
      <c r="A1027" s="11" t="n">
        <v>43672</v>
      </c>
      <c r="B1027" s="22" t="n">
        <v>-0.195</v>
      </c>
      <c r="C1027" s="22" t="n">
        <v>-0.212</v>
      </c>
      <c r="D1027" s="22" t="n">
        <v>-0.241</v>
      </c>
      <c r="E1027" s="22" t="n">
        <v>-0.153</v>
      </c>
      <c r="F1027" s="22" t="n">
        <v>0.214</v>
      </c>
      <c r="G1027" s="22" t="n">
        <v>0.358</v>
      </c>
      <c r="H1027" s="22" t="n">
        <v>0.405</v>
      </c>
      <c r="I1027" s="22" t="n">
        <v>2.59</v>
      </c>
      <c r="J1027" s="22" t="n">
        <v>2</v>
      </c>
      <c r="K1027" s="22" t="n">
        <v>2.08</v>
      </c>
      <c r="L1027" s="17">
        <f>$J1027-$B1027</f>
        <v/>
      </c>
      <c r="M1027" s="17">
        <f>$I1027-$L1027</f>
        <v/>
      </c>
      <c r="N1027" s="23">
        <f>($G1027-$M1027)*100</f>
        <v/>
      </c>
      <c r="O1027" s="15">
        <f>($E1027-$C1027)*100</f>
        <v/>
      </c>
      <c r="P1027" s="15">
        <f>($G1027-$E1027)*100</f>
        <v/>
      </c>
      <c r="Q1027" s="15">
        <f>($G1027-$C1027)*100</f>
        <v/>
      </c>
      <c r="R1027" s="15">
        <f>IF($H1027="","",($H1027-$F1027)*100)</f>
        <v/>
      </c>
      <c r="S1027" s="15">
        <f>IF($H1027="","",($H1027-$G1027)*100)</f>
        <v/>
      </c>
    </row>
    <row r="1028">
      <c r="A1028" s="11" t="n">
        <v>43679</v>
      </c>
      <c r="B1028" s="22" t="n">
        <v>-0.19</v>
      </c>
      <c r="C1028" s="22" t="n">
        <v>-0.205</v>
      </c>
      <c r="D1028" s="22" t="n">
        <v>-0.258</v>
      </c>
      <c r="E1028" s="22" t="n">
        <v>-0.167</v>
      </c>
      <c r="F1028" s="22" t="n">
        <v>0.185</v>
      </c>
      <c r="G1028" s="22" t="n">
        <v>0.328</v>
      </c>
      <c r="H1028" s="22" t="n">
        <v>0.37</v>
      </c>
      <c r="I1028" s="22" t="n">
        <v>2.39</v>
      </c>
      <c r="J1028" s="22" t="n">
        <v>1.85</v>
      </c>
      <c r="K1028" s="22" t="n">
        <v>1.86</v>
      </c>
      <c r="L1028" s="17">
        <f>$J1028-$B1028</f>
        <v/>
      </c>
      <c r="M1028" s="17">
        <f>$I1028-$L1028</f>
        <v/>
      </c>
      <c r="N1028" s="23">
        <f>($G1028-$M1028)*100</f>
        <v/>
      </c>
      <c r="O1028" s="15">
        <f>($E1028-$C1028)*100</f>
        <v/>
      </c>
      <c r="P1028" s="15">
        <f>($G1028-$E1028)*100</f>
        <v/>
      </c>
      <c r="Q1028" s="15">
        <f>($G1028-$C1028)*100</f>
        <v/>
      </c>
      <c r="R1028" s="15">
        <f>IF($H1028="","",($H1028-$F1028)*100)</f>
        <v/>
      </c>
      <c r="S1028" s="15">
        <f>IF($H1028="","",($H1028-$G1028)*100)</f>
        <v/>
      </c>
    </row>
    <row r="1029">
      <c r="A1029" s="11" t="n">
        <v>43686</v>
      </c>
      <c r="B1029" s="22" t="n">
        <v>-0.219</v>
      </c>
      <c r="C1029" s="22" t="n">
        <v>-0.273</v>
      </c>
      <c r="D1029" s="22" t="n">
        <v>-0.309</v>
      </c>
      <c r="E1029" s="22" t="n">
        <v>-0.22</v>
      </c>
      <c r="F1029" s="22" t="n">
        <v>0.099</v>
      </c>
      <c r="G1029" s="22" t="n">
        <v>0.222</v>
      </c>
      <c r="H1029" s="22" t="n">
        <v>0.258</v>
      </c>
      <c r="I1029" s="22" t="n">
        <v>2.26</v>
      </c>
      <c r="J1029" s="22" t="n">
        <v>1.78</v>
      </c>
      <c r="K1029" s="22" t="n">
        <v>1.74</v>
      </c>
      <c r="L1029" s="17">
        <f>$J1029-$B1029</f>
        <v/>
      </c>
      <c r="M1029" s="17">
        <f>$I1029-$L1029</f>
        <v/>
      </c>
      <c r="N1029" s="23">
        <f>($G1029-$M1029)*100</f>
        <v/>
      </c>
      <c r="O1029" s="15">
        <f>($E1029-$C1029)*100</f>
        <v/>
      </c>
      <c r="P1029" s="15">
        <f>($G1029-$E1029)*100</f>
        <v/>
      </c>
      <c r="Q1029" s="15">
        <f>($G1029-$C1029)*100</f>
        <v/>
      </c>
      <c r="R1029" s="15">
        <f>IF($H1029="","",($H1029-$F1029)*100)</f>
        <v/>
      </c>
      <c r="S1029" s="15">
        <f>IF($H1029="","",($H1029-$G1029)*100)</f>
        <v/>
      </c>
    </row>
    <row r="1030">
      <c r="A1030" s="11" t="n">
        <v>43693</v>
      </c>
      <c r="B1030" s="22" t="n">
        <v>-0.239</v>
      </c>
      <c r="C1030" s="22" t="n">
        <v>-0.279</v>
      </c>
      <c r="D1030" s="22" t="n">
        <v>-0.326</v>
      </c>
      <c r="E1030" s="22" t="n">
        <v>-0.236</v>
      </c>
      <c r="F1030" s="22" t="n">
        <v>0.08500000000000001</v>
      </c>
      <c r="G1030" s="22" t="n">
        <v>0.186</v>
      </c>
      <c r="H1030" s="22" t="n">
        <v>0.216</v>
      </c>
      <c r="I1030" s="22" t="n">
        <v>2.01</v>
      </c>
      <c r="J1030" s="22" t="n">
        <v>1.71</v>
      </c>
      <c r="K1030" s="22" t="n">
        <v>1.55</v>
      </c>
      <c r="L1030" s="17">
        <f>$J1030-$B1030</f>
        <v/>
      </c>
      <c r="M1030" s="17">
        <f>$I1030-$L1030</f>
        <v/>
      </c>
      <c r="N1030" s="23">
        <f>($G1030-$M1030)*100</f>
        <v/>
      </c>
      <c r="O1030" s="15">
        <f>($E1030-$C1030)*100</f>
        <v/>
      </c>
      <c r="P1030" s="15">
        <f>($G1030-$E1030)*100</f>
        <v/>
      </c>
      <c r="Q1030" s="15">
        <f>($G1030-$C1030)*100</f>
        <v/>
      </c>
      <c r="R1030" s="15">
        <f>IF($H1030="","",($H1030-$F1030)*100)</f>
        <v/>
      </c>
      <c r="S1030" s="15">
        <f>IF($H1030="","",($H1030-$G1030)*100)</f>
        <v/>
      </c>
    </row>
    <row r="1031">
      <c r="A1031" s="11" t="n">
        <v>43700</v>
      </c>
      <c r="B1031" s="22" t="n">
        <v>-0.267</v>
      </c>
      <c r="C1031" s="22" t="n">
        <v>-0.301</v>
      </c>
      <c r="D1031" s="22" t="n">
        <v>-0.335</v>
      </c>
      <c r="E1031" s="22" t="n">
        <v>-0.235</v>
      </c>
      <c r="F1031" s="22" t="n">
        <v>0.104</v>
      </c>
      <c r="G1031" s="22" t="n">
        <v>0.211</v>
      </c>
      <c r="H1031" s="22" t="n">
        <v>0.241</v>
      </c>
      <c r="I1031" s="22" t="n">
        <v>2.02</v>
      </c>
      <c r="J1031" s="22" t="n">
        <v>1.73</v>
      </c>
      <c r="K1031" s="22" t="n">
        <v>1.52</v>
      </c>
      <c r="L1031" s="17">
        <f>$J1031-$B1031</f>
        <v/>
      </c>
      <c r="M1031" s="17">
        <f>$I1031-$L1031</f>
        <v/>
      </c>
      <c r="N1031" s="23">
        <f>($G1031-$M1031)*100</f>
        <v/>
      </c>
      <c r="O1031" s="15">
        <f>($E1031-$C1031)*100</f>
        <v/>
      </c>
      <c r="P1031" s="15">
        <f>($G1031-$E1031)*100</f>
        <v/>
      </c>
      <c r="Q1031" s="15">
        <f>($G1031-$C1031)*100</f>
        <v/>
      </c>
      <c r="R1031" s="15">
        <f>IF($H1031="","",($H1031-$F1031)*100)</f>
        <v/>
      </c>
      <c r="S1031" s="15">
        <f>IF($H1031="","",($H1031-$G1031)*100)</f>
        <v/>
      </c>
    </row>
    <row r="1032">
      <c r="A1032" s="11" t="n">
        <v>43707</v>
      </c>
      <c r="B1032" s="22" t="n">
        <v>-0.268</v>
      </c>
      <c r="C1032" s="22" t="n">
        <v>-0.307</v>
      </c>
      <c r="D1032" s="22" t="n">
        <v>-0.362</v>
      </c>
      <c r="E1032" s="22" t="n">
        <v>-0.275</v>
      </c>
      <c r="F1032" s="22" t="n">
        <v>0.05</v>
      </c>
      <c r="G1032" s="22" t="n">
        <v>0.146</v>
      </c>
      <c r="H1032" s="22" t="n">
        <v>0.166</v>
      </c>
      <c r="I1032" s="22" t="n">
        <v>1.96</v>
      </c>
      <c r="J1032" s="22" t="n">
        <v>1.76</v>
      </c>
      <c r="K1032" s="22" t="n">
        <v>1.5</v>
      </c>
      <c r="L1032" s="17">
        <f>$J1032-$B1032</f>
        <v/>
      </c>
      <c r="M1032" s="17">
        <f>$I1032-$L1032</f>
        <v/>
      </c>
      <c r="N1032" s="23">
        <f>($G1032-$M1032)*100</f>
        <v/>
      </c>
      <c r="O1032" s="15">
        <f>($E1032-$C1032)*100</f>
        <v/>
      </c>
      <c r="P1032" s="15">
        <f>($G1032-$E1032)*100</f>
        <v/>
      </c>
      <c r="Q1032" s="15">
        <f>($G1032-$C1032)*100</f>
        <v/>
      </c>
      <c r="R1032" s="15">
        <f>IF($H1032="","",($H1032-$F1032)*100)</f>
        <v/>
      </c>
      <c r="S1032" s="15">
        <f>IF($H1032="","",($H1032-$G1032)*100)</f>
        <v/>
      </c>
    </row>
    <row r="1033">
      <c r="A1033" s="11" t="n">
        <v>43714</v>
      </c>
      <c r="B1033" s="22" t="n">
        <v>-0.274</v>
      </c>
      <c r="C1033" s="22" t="n">
        <v>-0.302</v>
      </c>
      <c r="D1033" s="22" t="n">
        <v>-0.347</v>
      </c>
      <c r="E1033" s="22" t="n">
        <v>-0.243</v>
      </c>
      <c r="F1033" s="22" t="n">
        <v>0.107</v>
      </c>
      <c r="G1033" s="22" t="n">
        <v>0.206</v>
      </c>
      <c r="H1033" s="22" t="n">
        <v>0.237</v>
      </c>
      <c r="I1033" s="22" t="n">
        <v>2.02</v>
      </c>
      <c r="J1033" s="22" t="n">
        <v>1.73</v>
      </c>
      <c r="K1033" s="22" t="n">
        <v>1.55</v>
      </c>
      <c r="L1033" s="17">
        <f>$J1033-$B1033</f>
        <v/>
      </c>
      <c r="M1033" s="17">
        <f>$I1033-$L1033</f>
        <v/>
      </c>
      <c r="N1033" s="23">
        <f>($G1033-$M1033)*100</f>
        <v/>
      </c>
      <c r="O1033" s="15">
        <f>($E1033-$C1033)*100</f>
        <v/>
      </c>
      <c r="P1033" s="15">
        <f>($G1033-$E1033)*100</f>
        <v/>
      </c>
      <c r="Q1033" s="15">
        <f>($G1033-$C1033)*100</f>
        <v/>
      </c>
      <c r="R1033" s="15">
        <f>IF($H1033="","",($H1033-$F1033)*100)</f>
        <v/>
      </c>
      <c r="S1033" s="15">
        <f>IF($H1033="","",($H1033-$G1033)*100)</f>
        <v/>
      </c>
    </row>
    <row r="1034">
      <c r="A1034" s="11" t="n">
        <v>43721</v>
      </c>
      <c r="B1034" s="22" t="n">
        <v>-0.237</v>
      </c>
      <c r="C1034" s="22" t="n">
        <v>-0.251</v>
      </c>
      <c r="D1034" s="22" t="n">
        <v>-0.264</v>
      </c>
      <c r="E1034" s="22" t="n">
        <v>-0.15</v>
      </c>
      <c r="F1034" s="22" t="n">
        <v>0.206</v>
      </c>
      <c r="G1034" s="22" t="n">
        <v>0.341</v>
      </c>
      <c r="H1034" s="22" t="n">
        <v>0.377</v>
      </c>
      <c r="I1034" s="22" t="n">
        <v>2.37</v>
      </c>
      <c r="J1034" s="22" t="n">
        <v>1.88</v>
      </c>
      <c r="K1034" s="22" t="n">
        <v>1.9</v>
      </c>
      <c r="L1034" s="17">
        <f>$J1034-$B1034</f>
        <v/>
      </c>
      <c r="M1034" s="17">
        <f>$I1034-$L1034</f>
        <v/>
      </c>
      <c r="N1034" s="23">
        <f>($G1034-$M1034)*100</f>
        <v/>
      </c>
      <c r="O1034" s="15">
        <f>($E1034-$C1034)*100</f>
        <v/>
      </c>
      <c r="P1034" s="15">
        <f>($G1034-$E1034)*100</f>
        <v/>
      </c>
      <c r="Q1034" s="15">
        <f>($G1034-$C1034)*100</f>
        <v/>
      </c>
      <c r="R1034" s="15">
        <f>IF($H1034="","",($H1034-$F1034)*100)</f>
        <v/>
      </c>
      <c r="S1034" s="15">
        <f>IF($H1034="","",($H1034-$G1034)*100)</f>
        <v/>
      </c>
    </row>
    <row r="1035">
      <c r="A1035" s="11" t="n">
        <v>43728</v>
      </c>
      <c r="B1035" s="22" t="n">
        <v>-0.288</v>
      </c>
      <c r="C1035" s="22" t="n">
        <v>-0.31</v>
      </c>
      <c r="D1035" s="22" t="n">
        <v>-0.345</v>
      </c>
      <c r="E1035" s="22" t="n">
        <v>-0.209</v>
      </c>
      <c r="F1035" s="22" t="n">
        <v>0.193</v>
      </c>
      <c r="G1035" s="22" t="n">
        <v>0.355</v>
      </c>
      <c r="H1035" s="22" t="n">
        <v>0.403</v>
      </c>
      <c r="I1035" s="22" t="n">
        <v>2.17</v>
      </c>
      <c r="J1035" s="22" t="n">
        <v>1.84</v>
      </c>
      <c r="K1035" s="22" t="n">
        <v>1.74</v>
      </c>
      <c r="L1035" s="17">
        <f>$J1035-$B1035</f>
        <v/>
      </c>
      <c r="M1035" s="17">
        <f>$I1035-$L1035</f>
        <v/>
      </c>
      <c r="N1035" s="23">
        <f>($G1035-$M1035)*100</f>
        <v/>
      </c>
      <c r="O1035" s="15">
        <f>($E1035-$C1035)*100</f>
        <v/>
      </c>
      <c r="P1035" s="15">
        <f>($G1035-$E1035)*100</f>
        <v/>
      </c>
      <c r="Q1035" s="15">
        <f>($G1035-$C1035)*100</f>
        <v/>
      </c>
      <c r="R1035" s="15">
        <f>IF($H1035="","",($H1035-$F1035)*100)</f>
        <v/>
      </c>
      <c r="S1035" s="15">
        <f>IF($H1035="","",($H1035-$G1035)*100)</f>
        <v/>
      </c>
    </row>
    <row r="1036">
      <c r="A1036" s="11" t="n">
        <v>43735</v>
      </c>
      <c r="B1036" s="22" t="n">
        <v>-0.305</v>
      </c>
      <c r="C1036" s="22" t="n">
        <v>-0.321</v>
      </c>
      <c r="D1036" s="22" t="n">
        <v>-0.368</v>
      </c>
      <c r="E1036" s="22" t="n">
        <v>-0.224</v>
      </c>
      <c r="F1036" s="22" t="n">
        <v>0.175</v>
      </c>
      <c r="G1036" s="22" t="n">
        <v>0.326</v>
      </c>
      <c r="H1036" s="22" t="n">
        <v>0.389</v>
      </c>
      <c r="I1036" s="22" t="n">
        <v>2.13</v>
      </c>
      <c r="J1036" s="22" t="n">
        <v>1.74</v>
      </c>
      <c r="K1036" s="22" t="n">
        <v>1.69</v>
      </c>
      <c r="L1036" s="17">
        <f>$J1036-$B1036</f>
        <v/>
      </c>
      <c r="M1036" s="17">
        <f>$I1036-$L1036</f>
        <v/>
      </c>
      <c r="N1036" s="23">
        <f>($G1036-$M1036)*100</f>
        <v/>
      </c>
      <c r="O1036" s="15">
        <f>($E1036-$C1036)*100</f>
        <v/>
      </c>
      <c r="P1036" s="15">
        <f>($G1036-$E1036)*100</f>
        <v/>
      </c>
      <c r="Q1036" s="15">
        <f>($G1036-$C1036)*100</f>
        <v/>
      </c>
      <c r="R1036" s="15">
        <f>IF($H1036="","",($H1036-$F1036)*100)</f>
        <v/>
      </c>
      <c r="S1036" s="15">
        <f>IF($H1036="","",($H1036-$G1036)*100)</f>
        <v/>
      </c>
    </row>
    <row r="1037">
      <c r="A1037" s="11" t="n">
        <v>43742</v>
      </c>
      <c r="B1037" s="22" t="n">
        <v>-0.311</v>
      </c>
      <c r="C1037" s="22" t="n">
        <v>-0.335</v>
      </c>
      <c r="D1037" s="22" t="n">
        <v>-0.376</v>
      </c>
      <c r="E1037" s="22" t="n">
        <v>-0.215</v>
      </c>
      <c r="F1037" s="22" t="n">
        <v>0.187</v>
      </c>
      <c r="G1037" s="22" t="n">
        <v>0.353</v>
      </c>
      <c r="H1037" s="22" t="n">
        <v>0.415</v>
      </c>
      <c r="I1037" s="22" t="n">
        <v>2.01</v>
      </c>
      <c r="J1037" s="22" t="n">
        <v>1.58</v>
      </c>
      <c r="K1037" s="22" t="n">
        <v>1.52</v>
      </c>
      <c r="L1037" s="17">
        <f>$J1037-$B1037</f>
        <v/>
      </c>
      <c r="M1037" s="17">
        <f>$I1037-$L1037</f>
        <v/>
      </c>
      <c r="N1037" s="23">
        <f>($G1037-$M1037)*100</f>
        <v/>
      </c>
      <c r="O1037" s="15">
        <f>($E1037-$C1037)*100</f>
        <v/>
      </c>
      <c r="P1037" s="15">
        <f>($G1037-$E1037)*100</f>
        <v/>
      </c>
      <c r="Q1037" s="15">
        <f>($G1037-$C1037)*100</f>
        <v/>
      </c>
      <c r="R1037" s="15">
        <f>IF($H1037="","",($H1037-$F1037)*100)</f>
        <v/>
      </c>
      <c r="S1037" s="15">
        <f>IF($H1037="","",($H1037-$G1037)*100)</f>
        <v/>
      </c>
    </row>
    <row r="1038">
      <c r="A1038" s="11" t="n">
        <v>43749</v>
      </c>
      <c r="B1038" s="22" t="n">
        <v>-0.286</v>
      </c>
      <c r="C1038" s="22" t="n">
        <v>-0.295</v>
      </c>
      <c r="D1038" s="22" t="n">
        <v>-0.319</v>
      </c>
      <c r="E1038" s="22" t="n">
        <v>-0.183</v>
      </c>
      <c r="F1038" s="22" t="n">
        <v>0.218</v>
      </c>
      <c r="G1038" s="22" t="n">
        <v>0.386</v>
      </c>
      <c r="H1038" s="22" t="n">
        <v>0.437</v>
      </c>
      <c r="I1038" s="22" t="n">
        <v>2.22</v>
      </c>
      <c r="J1038" s="22" t="n">
        <v>1.67</v>
      </c>
      <c r="K1038" s="22" t="n">
        <v>1.76</v>
      </c>
      <c r="L1038" s="17">
        <f>$J1038-$B1038</f>
        <v/>
      </c>
      <c r="M1038" s="17">
        <f>$I1038-$L1038</f>
        <v/>
      </c>
      <c r="N1038" s="23">
        <f>($G1038-$M1038)*100</f>
        <v/>
      </c>
      <c r="O1038" s="15">
        <f>($E1038-$C1038)*100</f>
        <v/>
      </c>
      <c r="P1038" s="15">
        <f>($G1038-$E1038)*100</f>
        <v/>
      </c>
      <c r="Q1038" s="15">
        <f>($G1038-$C1038)*100</f>
        <v/>
      </c>
      <c r="R1038" s="15">
        <f>IF($H1038="","",($H1038-$F1038)*100)</f>
        <v/>
      </c>
      <c r="S1038" s="15">
        <f>IF($H1038="","",($H1038-$G1038)*100)</f>
        <v/>
      </c>
    </row>
    <row r="1039">
      <c r="A1039" s="11" t="n">
        <v>43756</v>
      </c>
      <c r="B1039" s="22" t="n">
        <v>-0.241</v>
      </c>
      <c r="C1039" s="22" t="n">
        <v>-0.244</v>
      </c>
      <c r="D1039" s="22" t="n">
        <v>-0.271</v>
      </c>
      <c r="E1039" s="22" t="n">
        <v>-0.151</v>
      </c>
      <c r="F1039" s="22" t="n">
        <v>0.239</v>
      </c>
      <c r="G1039" s="22" t="n">
        <v>0.401</v>
      </c>
      <c r="H1039" s="22" t="n">
        <v>0.452</v>
      </c>
      <c r="I1039" s="22" t="n">
        <v>2.25</v>
      </c>
      <c r="J1039" s="22" t="n">
        <v>1.58</v>
      </c>
      <c r="K1039" s="22" t="n">
        <v>1.76</v>
      </c>
      <c r="L1039" s="17">
        <f>$J1039-$B1039</f>
        <v/>
      </c>
      <c r="M1039" s="17">
        <f>$I1039-$L1039</f>
        <v/>
      </c>
      <c r="N1039" s="23">
        <f>($G1039-$M1039)*100</f>
        <v/>
      </c>
      <c r="O1039" s="15">
        <f>($E1039-$C1039)*100</f>
        <v/>
      </c>
      <c r="P1039" s="15">
        <f>($G1039-$E1039)*100</f>
        <v/>
      </c>
      <c r="Q1039" s="15">
        <f>($G1039-$C1039)*100</f>
        <v/>
      </c>
      <c r="R1039" s="15">
        <f>IF($H1039="","",($H1039-$F1039)*100)</f>
        <v/>
      </c>
      <c r="S1039" s="15">
        <f>IF($H1039="","",($H1039-$G1039)*100)</f>
        <v/>
      </c>
    </row>
    <row r="1040">
      <c r="A1040" s="11" t="n">
        <v>43763</v>
      </c>
      <c r="B1040" s="22" t="n">
        <v>-0.225</v>
      </c>
      <c r="C1040" s="22" t="n">
        <v>-0.243</v>
      </c>
      <c r="D1040" s="22" t="n">
        <v>-0.271</v>
      </c>
      <c r="E1040" s="22" t="n">
        <v>-0.145</v>
      </c>
      <c r="F1040" s="22" t="n">
        <v>0.249</v>
      </c>
      <c r="G1040" s="22" t="n">
        <v>0.392</v>
      </c>
      <c r="H1040" s="22" t="n">
        <v>0.426</v>
      </c>
      <c r="I1040" s="22" t="n">
        <v>2.29</v>
      </c>
      <c r="J1040" s="22" t="n">
        <v>1.6</v>
      </c>
      <c r="K1040" s="22" t="n">
        <v>1.8</v>
      </c>
      <c r="L1040" s="17">
        <f>$J1040-$B1040</f>
        <v/>
      </c>
      <c r="M1040" s="17">
        <f>$I1040-$L1040</f>
        <v/>
      </c>
      <c r="N1040" s="23">
        <f>($G1040-$M1040)*100</f>
        <v/>
      </c>
      <c r="O1040" s="15">
        <f>($E1040-$C1040)*100</f>
        <v/>
      </c>
      <c r="P1040" s="15">
        <f>($G1040-$E1040)*100</f>
        <v/>
      </c>
      <c r="Q1040" s="15">
        <f>($G1040-$C1040)*100</f>
        <v/>
      </c>
      <c r="R1040" s="15">
        <f>IF($H1040="","",($H1040-$F1040)*100)</f>
        <v/>
      </c>
      <c r="S1040" s="15">
        <f>IF($H1040="","",($H1040-$G1040)*100)</f>
        <v/>
      </c>
    </row>
    <row r="1041">
      <c r="A1041" s="11" t="n">
        <v>43770</v>
      </c>
      <c r="B1041" s="22" t="n">
        <v>-0.239</v>
      </c>
      <c r="C1041" s="22" t="n">
        <v>-0.274</v>
      </c>
      <c r="D1041" s="22" t="n">
        <v>-0.313</v>
      </c>
      <c r="E1041" s="22" t="n">
        <v>-0.179</v>
      </c>
      <c r="F1041" s="22" t="n">
        <v>0.194</v>
      </c>
      <c r="G1041" s="22" t="n">
        <v>0.343</v>
      </c>
      <c r="H1041" s="22" t="n">
        <v>0.379</v>
      </c>
      <c r="I1041" s="22" t="n">
        <v>2.21</v>
      </c>
      <c r="J1041" s="22" t="n">
        <v>1.53</v>
      </c>
      <c r="K1041" s="22" t="n">
        <v>1.73</v>
      </c>
      <c r="L1041" s="17">
        <f>$J1041-$B1041</f>
        <v/>
      </c>
      <c r="M1041" s="17">
        <f>$I1041-$L1041</f>
        <v/>
      </c>
      <c r="N1041" s="23">
        <f>($G1041-$M1041)*100</f>
        <v/>
      </c>
      <c r="O1041" s="15">
        <f>($E1041-$C1041)*100</f>
        <v/>
      </c>
      <c r="P1041" s="15">
        <f>($G1041-$E1041)*100</f>
        <v/>
      </c>
      <c r="Q1041" s="15">
        <f>($G1041-$C1041)*100</f>
        <v/>
      </c>
      <c r="R1041" s="15">
        <f>IF($H1041="","",($H1041-$F1041)*100)</f>
        <v/>
      </c>
      <c r="S1041" s="15">
        <f>IF($H1041="","",($H1041-$G1041)*100)</f>
        <v/>
      </c>
    </row>
    <row r="1042">
      <c r="A1042" s="11" t="n">
        <v>43777</v>
      </c>
      <c r="B1042" s="22" t="n">
        <v>-0.174</v>
      </c>
      <c r="C1042" s="22" t="n">
        <v>-0.177</v>
      </c>
      <c r="D1042" s="22" t="n">
        <v>-0.185</v>
      </c>
      <c r="E1042" s="22" t="n">
        <v>-0.058</v>
      </c>
      <c r="F1042" s="22" t="n">
        <v>0.299</v>
      </c>
      <c r="G1042" s="22" t="n">
        <v>0.444</v>
      </c>
      <c r="H1042" s="22" t="n">
        <v>0.474</v>
      </c>
      <c r="I1042" s="22" t="n">
        <v>2.43</v>
      </c>
      <c r="J1042" s="22" t="n">
        <v>1.58</v>
      </c>
      <c r="K1042" s="22" t="n">
        <v>1.94</v>
      </c>
      <c r="L1042" s="17">
        <f>$J1042-$B1042</f>
        <v/>
      </c>
      <c r="M1042" s="17">
        <f>$I1042-$L1042</f>
        <v/>
      </c>
      <c r="N1042" s="23">
        <f>($G1042-$M1042)*100</f>
        <v/>
      </c>
      <c r="O1042" s="15">
        <f>($E1042-$C1042)*100</f>
        <v/>
      </c>
      <c r="P1042" s="15">
        <f>($G1042-$E1042)*100</f>
        <v/>
      </c>
      <c r="Q1042" s="15">
        <f>($G1042-$C1042)*100</f>
        <v/>
      </c>
      <c r="R1042" s="15">
        <f>IF($H1042="","",($H1042-$F1042)*100)</f>
        <v/>
      </c>
      <c r="S1042" s="15">
        <f>IF($H1042="","",($H1042-$G1042)*100)</f>
        <v/>
      </c>
    </row>
    <row r="1043">
      <c r="A1043" s="11" t="n">
        <v>43784</v>
      </c>
      <c r="B1043" s="22" t="n">
        <v>-0.199</v>
      </c>
      <c r="C1043" s="22" t="n">
        <v>-0.2</v>
      </c>
      <c r="D1043" s="22" t="n">
        <v>-0.188</v>
      </c>
      <c r="E1043" s="22" t="n">
        <v>-0.066</v>
      </c>
      <c r="F1043" s="22" t="n">
        <v>0.302</v>
      </c>
      <c r="G1043" s="22" t="n">
        <v>0.451</v>
      </c>
      <c r="H1043" s="22" t="n">
        <v>0.487</v>
      </c>
      <c r="I1043" s="22" t="n">
        <v>2.31</v>
      </c>
      <c r="J1043" s="22" t="n">
        <v>1.54</v>
      </c>
      <c r="K1043" s="22" t="n">
        <v>1.84</v>
      </c>
      <c r="L1043" s="17">
        <f>$J1043-$B1043</f>
        <v/>
      </c>
      <c r="M1043" s="17">
        <f>$I1043-$L1043</f>
        <v/>
      </c>
      <c r="N1043" s="23">
        <f>($G1043-$M1043)*100</f>
        <v/>
      </c>
      <c r="O1043" s="15">
        <f>($E1043-$C1043)*100</f>
        <v/>
      </c>
      <c r="P1043" s="15">
        <f>($G1043-$E1043)*100</f>
        <v/>
      </c>
      <c r="Q1043" s="15">
        <f>($G1043-$C1043)*100</f>
        <v/>
      </c>
      <c r="R1043" s="15">
        <f>IF($H1043="","",($H1043-$F1043)*100)</f>
        <v/>
      </c>
      <c r="S1043" s="15">
        <f>IF($H1043="","",($H1043-$G1043)*100)</f>
        <v/>
      </c>
    </row>
    <row r="1044">
      <c r="A1044" s="11" t="n">
        <v>43791</v>
      </c>
      <c r="B1044" s="22" t="n">
        <v>-0.187</v>
      </c>
      <c r="C1044" s="22" t="n">
        <v>-0.191</v>
      </c>
      <c r="D1044" s="22" t="n">
        <v>-0.192</v>
      </c>
      <c r="E1044" s="22" t="n">
        <v>-0.077</v>
      </c>
      <c r="F1044" s="22" t="n">
        <v>0.278</v>
      </c>
      <c r="G1044" s="22" t="n">
        <v>0.425</v>
      </c>
      <c r="H1044" s="22" t="n">
        <v>0.46</v>
      </c>
      <c r="I1044" s="22" t="n">
        <v>2.22</v>
      </c>
      <c r="J1044" s="22" t="n">
        <v>1.56</v>
      </c>
      <c r="K1044" s="22" t="n">
        <v>1.77</v>
      </c>
      <c r="L1044" s="17">
        <f>$J1044-$B1044</f>
        <v/>
      </c>
      <c r="M1044" s="17">
        <f>$I1044-$L1044</f>
        <v/>
      </c>
      <c r="N1044" s="23">
        <f>($G1044-$M1044)*100</f>
        <v/>
      </c>
      <c r="O1044" s="15">
        <f>($E1044-$C1044)*100</f>
        <v/>
      </c>
      <c r="P1044" s="15">
        <f>($G1044-$E1044)*100</f>
        <v/>
      </c>
      <c r="Q1044" s="15">
        <f>($G1044-$C1044)*100</f>
        <v/>
      </c>
      <c r="R1044" s="15">
        <f>IF($H1044="","",($H1044-$F1044)*100)</f>
        <v/>
      </c>
      <c r="S1044" s="15">
        <f>IF($H1044="","",($H1044-$G1044)*100)</f>
        <v/>
      </c>
    </row>
    <row r="1045">
      <c r="A1045" s="11" t="n">
        <v>43798</v>
      </c>
      <c r="B1045" s="22" t="n">
        <v>-0.158</v>
      </c>
      <c r="C1045" s="22" t="n">
        <v>-0.179</v>
      </c>
      <c r="D1045" s="22" t="n">
        <v>-0.187</v>
      </c>
      <c r="E1045" s="22" t="n">
        <v>-0.075</v>
      </c>
      <c r="F1045" s="22" t="n">
        <v>0.255</v>
      </c>
      <c r="G1045" s="22" t="n">
        <v>0.406</v>
      </c>
      <c r="H1045" s="22" t="n">
        <v>0.453</v>
      </c>
      <c r="I1045" s="22" t="n">
        <v>2.21</v>
      </c>
      <c r="J1045" s="22" t="n">
        <v>1.6</v>
      </c>
      <c r="K1045" s="22" t="n">
        <v>1.78</v>
      </c>
      <c r="L1045" s="17">
        <f>$J1045-$B1045</f>
        <v/>
      </c>
      <c r="M1045" s="17">
        <f>$I1045-$L1045</f>
        <v/>
      </c>
      <c r="N1045" s="23">
        <f>($G1045-$M1045)*100</f>
        <v/>
      </c>
      <c r="O1045" s="15">
        <f>($E1045-$C1045)*100</f>
        <v/>
      </c>
      <c r="P1045" s="15">
        <f>($G1045-$E1045)*100</f>
        <v/>
      </c>
      <c r="Q1045" s="15">
        <f>($G1045-$C1045)*100</f>
        <v/>
      </c>
      <c r="R1045" s="15">
        <f>IF($H1045="","",($H1045-$F1045)*100)</f>
        <v/>
      </c>
      <c r="S1045" s="15">
        <f>IF($H1045="","",($H1045-$G1045)*100)</f>
        <v/>
      </c>
    </row>
    <row r="1046">
      <c r="A1046" s="11" t="n">
        <v>43805</v>
      </c>
      <c r="B1046" s="22" t="n">
        <v>-0.143</v>
      </c>
      <c r="C1046" s="22" t="n">
        <v>-0.132</v>
      </c>
      <c r="D1046" s="22" t="n">
        <v>-0.121</v>
      </c>
      <c r="E1046" s="22" t="n">
        <v>-0.008999999999999999</v>
      </c>
      <c r="F1046" s="22" t="n">
        <v>0.293</v>
      </c>
      <c r="G1046" s="22" t="n">
        <v>0.434</v>
      </c>
      <c r="H1046" s="22" t="n">
        <v>0.466</v>
      </c>
      <c r="I1046" s="22" t="n">
        <v>2.29</v>
      </c>
      <c r="J1046" s="22" t="n">
        <v>1.57</v>
      </c>
      <c r="K1046" s="22" t="n">
        <v>1.84</v>
      </c>
      <c r="L1046" s="17">
        <f>$J1046-$B1046</f>
        <v/>
      </c>
      <c r="M1046" s="17">
        <f>$I1046-$L1046</f>
        <v/>
      </c>
      <c r="N1046" s="23">
        <f>($G1046-$M1046)*100</f>
        <v/>
      </c>
      <c r="O1046" s="15">
        <f>($E1046-$C1046)*100</f>
        <v/>
      </c>
      <c r="P1046" s="15">
        <f>($G1046-$E1046)*100</f>
        <v/>
      </c>
      <c r="Q1046" s="15">
        <f>($G1046-$C1046)*100</f>
        <v/>
      </c>
      <c r="R1046" s="15">
        <f>IF($H1046="","",($H1046-$F1046)*100)</f>
        <v/>
      </c>
      <c r="S1046" s="15">
        <f>IF($H1046="","",($H1046-$G1046)*100)</f>
        <v/>
      </c>
    </row>
    <row r="1047">
      <c r="A1047" s="11" t="n">
        <v>43812</v>
      </c>
      <c r="B1047" s="22" t="n">
        <v>-0.137</v>
      </c>
      <c r="C1047" s="22" t="n">
        <v>-0.13</v>
      </c>
      <c r="D1047" s="22" t="n">
        <v>-0.131</v>
      </c>
      <c r="E1047" s="22" t="n">
        <v>-0.014</v>
      </c>
      <c r="F1047" s="22" t="n">
        <v>0.293</v>
      </c>
      <c r="G1047" s="22" t="n">
        <v>0.425</v>
      </c>
      <c r="H1047" s="22" t="n">
        <v>0.453</v>
      </c>
      <c r="I1047" s="22" t="n">
        <v>2.26</v>
      </c>
      <c r="J1047" s="22" t="n">
        <v>1.54</v>
      </c>
      <c r="K1047" s="22" t="n">
        <v>1.82</v>
      </c>
      <c r="L1047" s="17">
        <f>$J1047-$B1047</f>
        <v/>
      </c>
      <c r="M1047" s="17">
        <f>$I1047-$L1047</f>
        <v/>
      </c>
      <c r="N1047" s="23">
        <f>($G1047-$M1047)*100</f>
        <v/>
      </c>
      <c r="O1047" s="15">
        <f>($E1047-$C1047)*100</f>
        <v/>
      </c>
      <c r="P1047" s="15">
        <f>($G1047-$E1047)*100</f>
        <v/>
      </c>
      <c r="Q1047" s="15">
        <f>($G1047-$C1047)*100</f>
        <v/>
      </c>
      <c r="R1047" s="15">
        <f>IF($H1047="","",($H1047-$F1047)*100)</f>
        <v/>
      </c>
      <c r="S1047" s="15">
        <f>IF($H1047="","",($H1047-$G1047)*100)</f>
        <v/>
      </c>
    </row>
    <row r="1048">
      <c r="A1048" s="11" t="n">
        <v>43819</v>
      </c>
      <c r="B1048" s="22" t="n">
        <v>-0.121</v>
      </c>
      <c r="C1048" s="22" t="n">
        <v>-0.103</v>
      </c>
      <c r="D1048" s="22" t="n">
        <v>-0.08</v>
      </c>
      <c r="E1048" s="22" t="n">
        <v>0.014</v>
      </c>
      <c r="F1048" s="22" t="n">
        <v>0.312</v>
      </c>
      <c r="G1048" s="22" t="n">
        <v>0.439</v>
      </c>
      <c r="H1048" s="22" t="n">
        <v>0.466</v>
      </c>
      <c r="I1048" s="22" t="n">
        <v>2.34</v>
      </c>
      <c r="J1048" s="22" t="n">
        <v>1.52</v>
      </c>
      <c r="K1048" s="22" t="n">
        <v>1.92</v>
      </c>
      <c r="L1048" s="17">
        <f>$J1048-$B1048</f>
        <v/>
      </c>
      <c r="M1048" s="17">
        <f>$I1048-$L1048</f>
        <v/>
      </c>
      <c r="N1048" s="23">
        <f>($G1048-$M1048)*100</f>
        <v/>
      </c>
      <c r="O1048" s="15">
        <f>($E1048-$C1048)*100</f>
        <v/>
      </c>
      <c r="P1048" s="15">
        <f>($G1048-$E1048)*100</f>
        <v/>
      </c>
      <c r="Q1048" s="15">
        <f>($G1048-$C1048)*100</f>
        <v/>
      </c>
      <c r="R1048" s="15">
        <f>IF($H1048="","",($H1048-$F1048)*100)</f>
        <v/>
      </c>
      <c r="S1048" s="15">
        <f>IF($H1048="","",($H1048-$G1048)*100)</f>
        <v/>
      </c>
    </row>
    <row r="1049">
      <c r="A1049" s="11" t="n">
        <v>43826</v>
      </c>
      <c r="B1049" s="22" t="n">
        <v>-0.128</v>
      </c>
      <c r="C1049" s="22" t="n">
        <v>-0.124</v>
      </c>
      <c r="D1049" s="22" t="n">
        <v>-0.12</v>
      </c>
      <c r="E1049" s="22" t="n">
        <v>-0.007</v>
      </c>
      <c r="F1049" s="22" t="n">
        <v>0.293</v>
      </c>
      <c r="G1049" s="22" t="n">
        <v>0.426</v>
      </c>
      <c r="H1049" s="22" t="n">
        <v>0.449</v>
      </c>
      <c r="I1049" s="22" t="n">
        <v>2.32</v>
      </c>
      <c r="J1049" s="22" t="n">
        <v>1.51</v>
      </c>
      <c r="K1049" s="22" t="n">
        <v>1.88</v>
      </c>
      <c r="L1049" s="17">
        <f>$J1049-$B1049</f>
        <v/>
      </c>
      <c r="M1049" s="17">
        <f>$I1049-$L1049</f>
        <v/>
      </c>
      <c r="N1049" s="23">
        <f>($G1049-$M1049)*100</f>
        <v/>
      </c>
      <c r="O1049" s="15">
        <f>($E1049-$C1049)*100</f>
        <v/>
      </c>
      <c r="P1049" s="15">
        <f>($G1049-$E1049)*100</f>
        <v/>
      </c>
      <c r="Q1049" s="15">
        <f>($G1049-$C1049)*100</f>
        <v/>
      </c>
      <c r="R1049" s="15">
        <f>IF($H1049="","",($H1049-$F1049)*100)</f>
        <v/>
      </c>
      <c r="S1049" s="15">
        <f>IF($H1049="","",($H1049-$G1049)*100)</f>
        <v/>
      </c>
    </row>
    <row r="1050">
      <c r="A1050" s="11" t="n">
        <v>43833</v>
      </c>
      <c r="B1050" s="22" t="n">
        <v>-0.129</v>
      </c>
      <c r="C1050" s="22" t="n">
        <v>-0.134</v>
      </c>
      <c r="D1050" s="22" t="n">
        <v>-0.13</v>
      </c>
      <c r="E1050" s="22" t="n">
        <v>-0.015</v>
      </c>
      <c r="F1050" s="22" t="n">
        <v>0.279</v>
      </c>
      <c r="G1050" s="22" t="n">
        <v>0.41</v>
      </c>
      <c r="H1050" s="22" t="n">
        <v>0.436</v>
      </c>
      <c r="I1050" s="22" t="n">
        <v>2.26</v>
      </c>
      <c r="J1050" s="22" t="n">
        <v>1.55</v>
      </c>
      <c r="K1050" s="22" t="n">
        <v>1.8</v>
      </c>
      <c r="L1050" s="17">
        <f>$J1050-$B1050</f>
        <v/>
      </c>
      <c r="M1050" s="17">
        <f>$I1050-$L1050</f>
        <v/>
      </c>
      <c r="N1050" s="23">
        <f>($G1050-$M1050)*100</f>
        <v/>
      </c>
      <c r="O1050" s="15">
        <f>($E1050-$C1050)*100</f>
        <v/>
      </c>
      <c r="P1050" s="15">
        <f>($G1050-$E1050)*100</f>
        <v/>
      </c>
      <c r="Q1050" s="15">
        <f>($G1050-$C1050)*100</f>
        <v/>
      </c>
      <c r="R1050" s="15">
        <f>IF($H1050="","",($H1050-$F1050)*100)</f>
        <v/>
      </c>
      <c r="S1050" s="15">
        <f>IF($H1050="","",($H1050-$G1050)*100)</f>
        <v/>
      </c>
    </row>
    <row r="1051">
      <c r="A1051" s="11" t="n">
        <v>43840</v>
      </c>
      <c r="B1051" s="22" t="n">
        <v>-0.118</v>
      </c>
      <c r="C1051" s="22" t="n">
        <v>-0.137</v>
      </c>
      <c r="D1051" s="22" t="n">
        <v>-0.109</v>
      </c>
      <c r="E1051" s="22" t="n">
        <v>-0.003</v>
      </c>
      <c r="F1051" s="22" t="n">
        <v>0.296</v>
      </c>
      <c r="G1051" s="22" t="n">
        <v>0.438</v>
      </c>
      <c r="H1051" s="22" t="n">
        <v>0.48</v>
      </c>
      <c r="I1051" s="22" t="n">
        <v>2.28</v>
      </c>
      <c r="J1051" s="22" t="n">
        <v>1.53</v>
      </c>
      <c r="K1051" s="22" t="n">
        <v>1.83</v>
      </c>
      <c r="L1051" s="17">
        <f>$J1051-$B1051</f>
        <v/>
      </c>
      <c r="M1051" s="17">
        <f>$I1051-$L1051</f>
        <v/>
      </c>
      <c r="N1051" s="23">
        <f>($G1051-$M1051)*100</f>
        <v/>
      </c>
      <c r="O1051" s="15">
        <f>($E1051-$C1051)*100</f>
        <v/>
      </c>
      <c r="P1051" s="15">
        <f>($G1051-$E1051)*100</f>
        <v/>
      </c>
      <c r="Q1051" s="15">
        <f>($G1051-$C1051)*100</f>
        <v/>
      </c>
      <c r="R1051" s="15">
        <f>IF($H1051="","",($H1051-$F1051)*100)</f>
        <v/>
      </c>
      <c r="S1051" s="15">
        <f>IF($H1051="","",($H1051-$G1051)*100)</f>
        <v/>
      </c>
    </row>
    <row r="1052">
      <c r="A1052" s="11" t="n">
        <v>43847</v>
      </c>
      <c r="B1052" s="22" t="n">
        <v>-0.13</v>
      </c>
      <c r="C1052" s="22" t="n">
        <v>-0.135</v>
      </c>
      <c r="D1052" s="22" t="n">
        <v>-0.104</v>
      </c>
      <c r="E1052" s="22" t="n">
        <v>-0.002</v>
      </c>
      <c r="F1052" s="22" t="n">
        <v>0.308</v>
      </c>
      <c r="G1052" s="22" t="n">
        <v>0.453</v>
      </c>
      <c r="H1052" s="22" t="n">
        <v>0.489</v>
      </c>
      <c r="I1052" s="22" t="n">
        <v>2.29</v>
      </c>
      <c r="J1052" s="22" t="n">
        <v>1.56</v>
      </c>
      <c r="K1052" s="22" t="n">
        <v>1.84</v>
      </c>
      <c r="L1052" s="17">
        <f>$J1052-$B1052</f>
        <v/>
      </c>
      <c r="M1052" s="17">
        <f>$I1052-$L1052</f>
        <v/>
      </c>
      <c r="N1052" s="23">
        <f>($G1052-$M1052)*100</f>
        <v/>
      </c>
      <c r="O1052" s="15">
        <f>($E1052-$C1052)*100</f>
        <v/>
      </c>
      <c r="P1052" s="15">
        <f>($G1052-$E1052)*100</f>
        <v/>
      </c>
      <c r="Q1052" s="15">
        <f>($G1052-$C1052)*100</f>
        <v/>
      </c>
      <c r="R1052" s="15">
        <f>IF($H1052="","",($H1052-$F1052)*100)</f>
        <v/>
      </c>
      <c r="S1052" s="15">
        <f>IF($H1052="","",($H1052-$G1052)*100)</f>
        <v/>
      </c>
    </row>
    <row r="1053">
      <c r="A1053" s="11" t="n">
        <v>43854</v>
      </c>
      <c r="B1053" s="22" t="n">
        <v>-0.135</v>
      </c>
      <c r="C1053" s="22" t="n">
        <v>-0.133</v>
      </c>
      <c r="D1053" s="22" t="n">
        <v>-0.125</v>
      </c>
      <c r="E1053" s="22" t="n">
        <v>-0.022</v>
      </c>
      <c r="F1053" s="22" t="n">
        <v>0.267</v>
      </c>
      <c r="G1053" s="22" t="n">
        <v>0.406</v>
      </c>
      <c r="H1053" s="22" t="n">
        <v>0.444</v>
      </c>
      <c r="I1053" s="22" t="n">
        <v>2.14</v>
      </c>
      <c r="J1053" s="22" t="n">
        <v>1.55</v>
      </c>
      <c r="K1053" s="22" t="n">
        <v>1.7</v>
      </c>
      <c r="L1053" s="17">
        <f>$J1053-$B1053</f>
        <v/>
      </c>
      <c r="M1053" s="17">
        <f>$I1053-$L1053</f>
        <v/>
      </c>
      <c r="N1053" s="23">
        <f>($G1053-$M1053)*100</f>
        <v/>
      </c>
      <c r="O1053" s="15">
        <f>($E1053-$C1053)*100</f>
        <v/>
      </c>
      <c r="P1053" s="15">
        <f>($G1053-$E1053)*100</f>
        <v/>
      </c>
      <c r="Q1053" s="15">
        <f>($G1053-$C1053)*100</f>
        <v/>
      </c>
      <c r="R1053" s="15">
        <f>IF($H1053="","",($H1053-$F1053)*100)</f>
        <v/>
      </c>
      <c r="S1053" s="15">
        <f>IF($H1053="","",($H1053-$G1053)*100)</f>
        <v/>
      </c>
    </row>
    <row r="1054">
      <c r="A1054" s="11" t="n">
        <v>43861</v>
      </c>
      <c r="B1054" s="22" t="n">
        <v>-0.14</v>
      </c>
      <c r="C1054" s="22" t="n">
        <v>-0.159</v>
      </c>
      <c r="D1054" s="22" t="n">
        <v>-0.167</v>
      </c>
      <c r="E1054" s="22" t="n">
        <v>-0.061</v>
      </c>
      <c r="F1054" s="22" t="n">
        <v>0.233</v>
      </c>
      <c r="G1054" s="22" t="n">
        <v>0.368</v>
      </c>
      <c r="H1054" s="22" t="n">
        <v>0.395</v>
      </c>
      <c r="I1054" s="22" t="n">
        <v>1.99</v>
      </c>
      <c r="J1054" s="22" t="n">
        <v>1.45</v>
      </c>
      <c r="K1054" s="22" t="n">
        <v>1.51</v>
      </c>
      <c r="L1054" s="17">
        <f>$J1054-$B1054</f>
        <v/>
      </c>
      <c r="M1054" s="17">
        <f>$I1054-$L1054</f>
        <v/>
      </c>
      <c r="N1054" s="23">
        <f>($G1054-$M1054)*100</f>
        <v/>
      </c>
      <c r="O1054" s="15">
        <f>($E1054-$C1054)*100</f>
        <v/>
      </c>
      <c r="P1054" s="15">
        <f>($G1054-$E1054)*100</f>
        <v/>
      </c>
      <c r="Q1054" s="15">
        <f>($G1054-$C1054)*100</f>
        <v/>
      </c>
      <c r="R1054" s="15">
        <f>IF($H1054="","",($H1054-$F1054)*100)</f>
        <v/>
      </c>
      <c r="S1054" s="15">
        <f>IF($H1054="","",($H1054-$G1054)*100)</f>
        <v/>
      </c>
    </row>
    <row r="1055">
      <c r="A1055" s="11" t="n">
        <v>43868</v>
      </c>
      <c r="B1055" s="22" t="n">
        <v>-0.154</v>
      </c>
      <c r="C1055" s="22" t="n">
        <v>-0.147</v>
      </c>
      <c r="D1055" s="22" t="n">
        <v>-0.141</v>
      </c>
      <c r="E1055" s="22" t="n">
        <v>-0.035</v>
      </c>
      <c r="F1055" s="22" t="n">
        <v>0.253</v>
      </c>
      <c r="G1055" s="22" t="n">
        <v>0.392</v>
      </c>
      <c r="H1055" s="22" t="n">
        <v>0.422</v>
      </c>
      <c r="I1055" s="22" t="n">
        <v>2.05</v>
      </c>
      <c r="J1055" s="22" t="n">
        <v>1.49</v>
      </c>
      <c r="K1055" s="22" t="n">
        <v>1.59</v>
      </c>
      <c r="L1055" s="17">
        <f>$J1055-$B1055</f>
        <v/>
      </c>
      <c r="M1055" s="17">
        <f>$I1055-$L1055</f>
        <v/>
      </c>
      <c r="N1055" s="23">
        <f>($G1055-$M1055)*100</f>
        <v/>
      </c>
      <c r="O1055" s="15">
        <f>($E1055-$C1055)*100</f>
        <v/>
      </c>
      <c r="P1055" s="15">
        <f>($G1055-$E1055)*100</f>
        <v/>
      </c>
      <c r="Q1055" s="15">
        <f>($G1055-$C1055)*100</f>
        <v/>
      </c>
      <c r="R1055" s="15">
        <f>IF($H1055="","",($H1055-$F1055)*100)</f>
        <v/>
      </c>
      <c r="S1055" s="15">
        <f>IF($H1055="","",($H1055-$G1055)*100)</f>
        <v/>
      </c>
    </row>
    <row r="1056">
      <c r="A1056" s="11" t="n">
        <v>43875</v>
      </c>
      <c r="B1056" s="22" t="n">
        <v>-0.149</v>
      </c>
      <c r="C1056" s="22" t="n">
        <v>-0.144</v>
      </c>
      <c r="D1056" s="22" t="n">
        <v>-0.132</v>
      </c>
      <c r="E1056" s="22" t="n">
        <v>-0.03</v>
      </c>
      <c r="F1056" s="22" t="n">
        <v>0.258</v>
      </c>
      <c r="G1056" s="22" t="n">
        <v>0.387</v>
      </c>
      <c r="H1056" s="22" t="n">
        <v>0.418</v>
      </c>
      <c r="I1056" s="22" t="n">
        <v>2.04</v>
      </c>
      <c r="J1056" s="22" t="n">
        <v>1.49</v>
      </c>
      <c r="K1056" s="22" t="n">
        <v>1.59</v>
      </c>
      <c r="L1056" s="17">
        <f>$J1056-$B1056</f>
        <v/>
      </c>
      <c r="M1056" s="17">
        <f>$I1056-$L1056</f>
        <v/>
      </c>
      <c r="N1056" s="23">
        <f>($G1056-$M1056)*100</f>
        <v/>
      </c>
      <c r="O1056" s="15">
        <f>($E1056-$C1056)*100</f>
        <v/>
      </c>
      <c r="P1056" s="15">
        <f>($G1056-$E1056)*100</f>
        <v/>
      </c>
      <c r="Q1056" s="15">
        <f>($G1056-$C1056)*100</f>
        <v/>
      </c>
      <c r="R1056" s="15">
        <f>IF($H1056="","",($H1056-$F1056)*100)</f>
        <v/>
      </c>
      <c r="S1056" s="15">
        <f>IF($H1056="","",($H1056-$G1056)*100)</f>
        <v/>
      </c>
    </row>
    <row r="1057">
      <c r="A1057" s="11" t="n">
        <v>43882</v>
      </c>
      <c r="B1057" s="22" t="n">
        <v>-0.157</v>
      </c>
      <c r="C1057" s="22" t="n">
        <v>-0.165</v>
      </c>
      <c r="D1057" s="22" t="n">
        <v>-0.167</v>
      </c>
      <c r="E1057" s="22" t="n">
        <v>-0.06</v>
      </c>
      <c r="F1057" s="22" t="n">
        <v>0.224</v>
      </c>
      <c r="G1057" s="22" t="n">
        <v>0.343</v>
      </c>
      <c r="H1057" s="22" t="n">
        <v>0.372</v>
      </c>
      <c r="I1057" s="22" t="n">
        <v>1.9</v>
      </c>
      <c r="J1057" s="22" t="n">
        <v>1.43</v>
      </c>
      <c r="K1057" s="22" t="n">
        <v>1.46</v>
      </c>
      <c r="L1057" s="17">
        <f>$J1057-$B1057</f>
        <v/>
      </c>
      <c r="M1057" s="17">
        <f>$I1057-$L1057</f>
        <v/>
      </c>
      <c r="N1057" s="23">
        <f>($G1057-$M1057)*100</f>
        <v/>
      </c>
      <c r="O1057" s="15">
        <f>($E1057-$C1057)*100</f>
        <v/>
      </c>
      <c r="P1057" s="15">
        <f>($G1057-$E1057)*100</f>
        <v/>
      </c>
      <c r="Q1057" s="15">
        <f>($G1057-$C1057)*100</f>
        <v/>
      </c>
      <c r="R1057" s="15">
        <f>IF($H1057="","",($H1057-$F1057)*100)</f>
        <v/>
      </c>
      <c r="S1057" s="15">
        <f>IF($H1057="","",($H1057-$G1057)*100)</f>
        <v/>
      </c>
    </row>
    <row r="1058">
      <c r="A1058" s="11" t="n">
        <v>43889</v>
      </c>
      <c r="B1058" s="22" t="n">
        <v>-0.218</v>
      </c>
      <c r="C1058" s="22" t="n">
        <v>-0.258</v>
      </c>
      <c r="D1058" s="22" t="n">
        <v>-0.268</v>
      </c>
      <c r="E1058" s="22" t="n">
        <v>-0.153</v>
      </c>
      <c r="F1058" s="22" t="n">
        <v>0.157</v>
      </c>
      <c r="G1058" s="22" t="n">
        <v>0.286</v>
      </c>
      <c r="H1058" s="22" t="n">
        <v>0.315</v>
      </c>
      <c r="I1058" s="22" t="n">
        <v>1.65</v>
      </c>
      <c r="J1058" s="22" t="n">
        <v>0.97</v>
      </c>
      <c r="K1058" s="22" t="n">
        <v>1.13</v>
      </c>
      <c r="L1058" s="17">
        <f>$J1058-$B1058</f>
        <v/>
      </c>
      <c r="M1058" s="17">
        <f>$I1058-$L1058</f>
        <v/>
      </c>
      <c r="N1058" s="23">
        <f>($G1058-$M1058)*100</f>
        <v/>
      </c>
      <c r="O1058" s="15">
        <f>($E1058-$C1058)*100</f>
        <v/>
      </c>
      <c r="P1058" s="15">
        <f>($G1058-$E1058)*100</f>
        <v/>
      </c>
      <c r="Q1058" s="15">
        <f>($G1058-$C1058)*100</f>
        <v/>
      </c>
      <c r="R1058" s="15">
        <f>IF($H1058="","",($H1058-$F1058)*100)</f>
        <v/>
      </c>
      <c r="S1058" s="15">
        <f>IF($H1058="","",($H1058-$G1058)*100)</f>
        <v/>
      </c>
    </row>
    <row r="1059">
      <c r="A1059" s="11" t="n">
        <v>43896</v>
      </c>
      <c r="B1059" s="22" t="n">
        <v>-0.264</v>
      </c>
      <c r="C1059" s="22" t="n">
        <v>-0.287</v>
      </c>
      <c r="D1059" s="22" t="n">
        <v>-0.281</v>
      </c>
      <c r="E1059" s="22" t="n">
        <v>-0.128</v>
      </c>
      <c r="F1059" s="22" t="n">
        <v>0.185</v>
      </c>
      <c r="G1059" s="22" t="n">
        <v>0.314</v>
      </c>
      <c r="H1059" s="22" t="n">
        <v>0.34</v>
      </c>
      <c r="I1059" s="22" t="n">
        <v>1.25</v>
      </c>
      <c r="J1059" s="22" t="n">
        <v>0.39</v>
      </c>
      <c r="K1059" s="22" t="n">
        <v>0.74</v>
      </c>
      <c r="L1059" s="17">
        <f>$J1059-$B1059</f>
        <v/>
      </c>
      <c r="M1059" s="17">
        <f>$I1059-$L1059</f>
        <v/>
      </c>
      <c r="N1059" s="23">
        <f>($G1059-$M1059)*100</f>
        <v/>
      </c>
      <c r="O1059" s="15">
        <f>($E1059-$C1059)*100</f>
        <v/>
      </c>
      <c r="P1059" s="15">
        <f>($G1059-$E1059)*100</f>
        <v/>
      </c>
      <c r="Q1059" s="15">
        <f>($G1059-$C1059)*100</f>
        <v/>
      </c>
      <c r="R1059" s="15">
        <f>IF($H1059="","",($H1059-$F1059)*100)</f>
        <v/>
      </c>
      <c r="S1059" s="15">
        <f>IF($H1059="","",($H1059-$G1059)*100)</f>
        <v/>
      </c>
    </row>
    <row r="1060">
      <c r="A1060" s="11" t="n">
        <v>43903</v>
      </c>
      <c r="B1060" s="22" t="n">
        <v>-0.225</v>
      </c>
      <c r="C1060" s="22" t="n">
        <v>-0.205</v>
      </c>
      <c r="D1060" s="22" t="n">
        <v>-0.134</v>
      </c>
      <c r="E1060" s="22" t="n">
        <v>0.007</v>
      </c>
      <c r="F1060" s="22" t="n">
        <v>0.29</v>
      </c>
      <c r="G1060" s="22" t="n">
        <v>0.325</v>
      </c>
      <c r="H1060" s="22" t="n">
        <v>0.318</v>
      </c>
      <c r="I1060" s="22" t="n">
        <v>1.56</v>
      </c>
      <c r="J1060" s="22" t="n">
        <v>0.38</v>
      </c>
      <c r="K1060" s="22" t="n">
        <v>0.9399999999999999</v>
      </c>
      <c r="L1060" s="17">
        <f>$J1060-$B1060</f>
        <v/>
      </c>
      <c r="M1060" s="17">
        <f>$I1060-$L1060</f>
        <v/>
      </c>
      <c r="N1060" s="23">
        <f>($G1060-$M1060)*100</f>
        <v/>
      </c>
      <c r="O1060" s="15">
        <f>($E1060-$C1060)*100</f>
        <v/>
      </c>
      <c r="P1060" s="15">
        <f>($G1060-$E1060)*100</f>
        <v/>
      </c>
      <c r="Q1060" s="15">
        <f>($G1060-$C1060)*100</f>
        <v/>
      </c>
      <c r="R1060" s="15">
        <f>IF($H1060="","",($H1060-$F1060)*100)</f>
        <v/>
      </c>
      <c r="S1060" s="15">
        <f>IF($H1060="","",($H1060-$G1060)*100)</f>
        <v/>
      </c>
    </row>
    <row r="1061">
      <c r="A1061" s="11" t="n">
        <v>43910</v>
      </c>
      <c r="B1061" s="22" t="n">
        <v>-0.226</v>
      </c>
      <c r="C1061" s="22" t="n">
        <v>-0.165</v>
      </c>
      <c r="D1061" s="22" t="n">
        <v>-0.049</v>
      </c>
      <c r="E1061" s="22" t="n">
        <v>0.104</v>
      </c>
      <c r="F1061" s="22" t="n">
        <v>0.332</v>
      </c>
      <c r="G1061" s="22" t="n">
        <v>0.437</v>
      </c>
      <c r="H1061" s="22" t="n">
        <v>0.44</v>
      </c>
      <c r="I1061" s="22" t="n">
        <v>1.55</v>
      </c>
      <c r="J1061" s="22" t="n">
        <v>0.15</v>
      </c>
      <c r="K1061" s="22" t="n">
        <v>0.92</v>
      </c>
      <c r="L1061" s="17">
        <f>$J1061-$B1061</f>
        <v/>
      </c>
      <c r="M1061" s="17">
        <f>$I1061-$L1061</f>
        <v/>
      </c>
      <c r="N1061" s="23">
        <f>($G1061-$M1061)*100</f>
        <v/>
      </c>
      <c r="O1061" s="15">
        <f>($E1061-$C1061)*100</f>
        <v/>
      </c>
      <c r="P1061" s="15">
        <f>($G1061-$E1061)*100</f>
        <v/>
      </c>
      <c r="Q1061" s="15">
        <f>($G1061-$C1061)*100</f>
        <v/>
      </c>
      <c r="R1061" s="15">
        <f>IF($H1061="","",($H1061-$F1061)*100)</f>
        <v/>
      </c>
      <c r="S1061" s="15">
        <f>IF($H1061="","",($H1061-$G1061)*100)</f>
        <v/>
      </c>
    </row>
    <row r="1062">
      <c r="A1062" s="11" t="n">
        <v>43917</v>
      </c>
      <c r="B1062" s="22" t="n">
        <v>-0.189</v>
      </c>
      <c r="C1062" s="22" t="n">
        <v>-0.177</v>
      </c>
      <c r="D1062" s="22" t="n">
        <v>-0.101</v>
      </c>
      <c r="E1062" s="22" t="n">
        <v>0.024</v>
      </c>
      <c r="F1062" s="22" t="n">
        <v>0.298</v>
      </c>
      <c r="G1062" s="22" t="n">
        <v>0.419</v>
      </c>
      <c r="H1062" s="22" t="n">
        <v>0.45</v>
      </c>
      <c r="I1062" s="22" t="n">
        <v>1.29</v>
      </c>
      <c r="J1062" s="22" t="n">
        <v>0.11</v>
      </c>
      <c r="K1062" s="22" t="n">
        <v>0.72</v>
      </c>
      <c r="L1062" s="17">
        <f>$J1062-$B1062</f>
        <v/>
      </c>
      <c r="M1062" s="17">
        <f>$I1062-$L1062</f>
        <v/>
      </c>
      <c r="N1062" s="23">
        <f>($G1062-$M1062)*100</f>
        <v/>
      </c>
      <c r="O1062" s="15">
        <f>($E1062-$C1062)*100</f>
        <v/>
      </c>
      <c r="P1062" s="15">
        <f>($G1062-$E1062)*100</f>
        <v/>
      </c>
      <c r="Q1062" s="15">
        <f>($G1062-$C1062)*100</f>
        <v/>
      </c>
      <c r="R1062" s="15">
        <f>IF($H1062="","",($H1062-$F1062)*100)</f>
        <v/>
      </c>
      <c r="S1062" s="15">
        <f>IF($H1062="","",($H1062-$G1062)*100)</f>
        <v/>
      </c>
    </row>
    <row r="1063">
      <c r="A1063" s="11" t="n">
        <v>43924</v>
      </c>
      <c r="B1063" s="22" t="n">
        <v>-0.141</v>
      </c>
      <c r="C1063" s="22" t="n">
        <v>-0.14</v>
      </c>
      <c r="D1063" s="22" t="n">
        <v>-0.122</v>
      </c>
      <c r="E1063" s="22" t="n">
        <v>-0.011</v>
      </c>
      <c r="F1063" s="22" t="n">
        <v>0.278</v>
      </c>
      <c r="G1063" s="22" t="n">
        <v>0.391</v>
      </c>
      <c r="H1063" s="22" t="n">
        <v>0.409</v>
      </c>
      <c r="I1063" s="22" t="n">
        <v>1.24</v>
      </c>
      <c r="J1063" s="22" t="n">
        <v>0.15</v>
      </c>
      <c r="K1063" s="22" t="n">
        <v>0.62</v>
      </c>
      <c r="L1063" s="17">
        <f>$J1063-$B1063</f>
        <v/>
      </c>
      <c r="M1063" s="17">
        <f>$I1063-$L1063</f>
        <v/>
      </c>
      <c r="N1063" s="23">
        <f>($G1063-$M1063)*100</f>
        <v/>
      </c>
      <c r="O1063" s="15">
        <f>($E1063-$C1063)*100</f>
        <v/>
      </c>
      <c r="P1063" s="15">
        <f>($G1063-$E1063)*100</f>
        <v/>
      </c>
      <c r="Q1063" s="15">
        <f>($G1063-$C1063)*100</f>
        <v/>
      </c>
      <c r="R1063" s="15">
        <f>IF($H1063="","",($H1063-$F1063)*100)</f>
        <v/>
      </c>
      <c r="S1063" s="15">
        <f>IF($H1063="","",($H1063-$G1063)*100)</f>
        <v/>
      </c>
    </row>
    <row r="1064">
      <c r="A1064" s="11" t="n">
        <v>43931</v>
      </c>
      <c r="B1064" s="22" t="n">
        <v>-0.178</v>
      </c>
      <c r="C1064" s="22" t="n">
        <v>-0.177</v>
      </c>
      <c r="D1064" s="22" t="n">
        <v>-0.13</v>
      </c>
      <c r="E1064" s="22" t="n">
        <v>-0.001</v>
      </c>
      <c r="F1064" s="22" t="n">
        <v>0.324</v>
      </c>
      <c r="G1064" s="22" t="n">
        <v>0.438</v>
      </c>
      <c r="H1064" s="22" t="n">
        <v>0.463</v>
      </c>
      <c r="I1064" s="22" t="n">
        <v>1.35</v>
      </c>
      <c r="J1064" s="22" t="n">
        <v>0.25</v>
      </c>
      <c r="K1064" s="22" t="n">
        <v>0.73</v>
      </c>
      <c r="L1064" s="17">
        <f>$J1064-$B1064</f>
        <v/>
      </c>
      <c r="M1064" s="17">
        <f>$I1064-$L1064</f>
        <v/>
      </c>
      <c r="N1064" s="23">
        <f>($G1064-$M1064)*100</f>
        <v/>
      </c>
      <c r="O1064" s="15">
        <f>($E1064-$C1064)*100</f>
        <v/>
      </c>
      <c r="P1064" s="15">
        <f>($G1064-$E1064)*100</f>
        <v/>
      </c>
      <c r="Q1064" s="15">
        <f>($G1064-$C1064)*100</f>
        <v/>
      </c>
      <c r="R1064" s="15">
        <f>IF($H1064="","",($H1064-$F1064)*100)</f>
        <v/>
      </c>
      <c r="S1064" s="15">
        <f>IF($H1064="","",($H1064-$G1064)*100)</f>
        <v/>
      </c>
    </row>
    <row r="1065">
      <c r="A1065" s="11" t="n">
        <v>43938</v>
      </c>
      <c r="B1065" s="22" t="n">
        <v>-0.155</v>
      </c>
      <c r="C1065" s="22" t="n">
        <v>-0.146</v>
      </c>
      <c r="D1065" s="22" t="n">
        <v>-0.105</v>
      </c>
      <c r="E1065" s="22" t="n">
        <v>0.013</v>
      </c>
      <c r="F1065" s="22" t="n">
        <v>0.361</v>
      </c>
      <c r="G1065" s="22" t="n">
        <v>0.489</v>
      </c>
      <c r="H1065" s="22" t="n">
        <v>0.509</v>
      </c>
      <c r="I1065" s="22" t="n">
        <v>1.27</v>
      </c>
      <c r="J1065" s="22" t="n">
        <v>0.16</v>
      </c>
      <c r="K1065" s="22" t="n">
        <v>0.65</v>
      </c>
      <c r="L1065" s="17">
        <f>$J1065-$B1065</f>
        <v/>
      </c>
      <c r="M1065" s="17">
        <f>$I1065-$L1065</f>
        <v/>
      </c>
      <c r="N1065" s="23">
        <f>($G1065-$M1065)*100</f>
        <v/>
      </c>
      <c r="O1065" s="15">
        <f>($E1065-$C1065)*100</f>
        <v/>
      </c>
      <c r="P1065" s="15">
        <f>($G1065-$E1065)*100</f>
        <v/>
      </c>
      <c r="Q1065" s="15">
        <f>($G1065-$C1065)*100</f>
        <v/>
      </c>
      <c r="R1065" s="15">
        <f>IF($H1065="","",($H1065-$F1065)*100)</f>
        <v/>
      </c>
      <c r="S1065" s="15">
        <f>IF($H1065="","",($H1065-$G1065)*100)</f>
        <v/>
      </c>
    </row>
    <row r="1066">
      <c r="A1066" s="11" t="n">
        <v>43945</v>
      </c>
      <c r="B1066" s="22" t="n">
        <v>-0.182</v>
      </c>
      <c r="C1066" s="22" t="n">
        <v>-0.168</v>
      </c>
      <c r="D1066" s="22" t="n">
        <v>-0.154</v>
      </c>
      <c r="E1066" s="22" t="n">
        <v>-0.02</v>
      </c>
      <c r="F1066" s="22" t="n">
        <v>0.307</v>
      </c>
      <c r="G1066" s="22" t="n">
        <v>0.417</v>
      </c>
      <c r="H1066" s="22" t="n">
        <v>0.432</v>
      </c>
      <c r="I1066" s="22" t="n">
        <v>1.17</v>
      </c>
      <c r="J1066" s="22" t="n">
        <v>0.18</v>
      </c>
      <c r="K1066" s="22" t="n">
        <v>0.6</v>
      </c>
      <c r="L1066" s="17">
        <f>$J1066-$B1066</f>
        <v/>
      </c>
      <c r="M1066" s="17">
        <f>$I1066-$L1066</f>
        <v/>
      </c>
      <c r="N1066" s="23">
        <f>($G1066-$M1066)*100</f>
        <v/>
      </c>
      <c r="O1066" s="15">
        <f>($E1066-$C1066)*100</f>
        <v/>
      </c>
      <c r="P1066" s="15">
        <f>($G1066-$E1066)*100</f>
        <v/>
      </c>
      <c r="Q1066" s="15">
        <f>($G1066-$C1066)*100</f>
        <v/>
      </c>
      <c r="R1066" s="15">
        <f>IF($H1066="","",($H1066-$F1066)*100)</f>
        <v/>
      </c>
      <c r="S1066" s="15">
        <f>IF($H1066="","",($H1066-$G1066)*100)</f>
        <v/>
      </c>
    </row>
    <row r="1067">
      <c r="A1067" s="11" t="n">
        <v>43952</v>
      </c>
      <c r="B1067" s="22" t="n">
        <v>-0.18</v>
      </c>
      <c r="C1067" s="22" t="n">
        <v>-0.164</v>
      </c>
      <c r="D1067" s="22" t="n">
        <v>-0.144</v>
      </c>
      <c r="E1067" s="22" t="n">
        <v>-0.024</v>
      </c>
      <c r="F1067" s="22" t="n">
        <v>0.314</v>
      </c>
      <c r="G1067" s="22" t="n">
        <v>0.429</v>
      </c>
      <c r="H1067" s="22" t="n">
        <v>0.445</v>
      </c>
      <c r="I1067" s="22" t="n">
        <v>1.27</v>
      </c>
      <c r="J1067" s="22" t="n">
        <v>0.17</v>
      </c>
      <c r="K1067" s="22" t="n">
        <v>0.64</v>
      </c>
      <c r="L1067" s="17">
        <f>$J1067-$B1067</f>
        <v/>
      </c>
      <c r="M1067" s="17">
        <f>$I1067-$L1067</f>
        <v/>
      </c>
      <c r="N1067" s="23">
        <f>($G1067-$M1067)*100</f>
        <v/>
      </c>
      <c r="O1067" s="15">
        <f>($E1067-$C1067)*100</f>
        <v/>
      </c>
      <c r="P1067" s="15">
        <f>($G1067-$E1067)*100</f>
        <v/>
      </c>
      <c r="Q1067" s="15">
        <f>($G1067-$C1067)*100</f>
        <v/>
      </c>
      <c r="R1067" s="15">
        <f>IF($H1067="","",($H1067-$F1067)*100)</f>
        <v/>
      </c>
      <c r="S1067" s="15">
        <f>IF($H1067="","",($H1067-$G1067)*100)</f>
        <v/>
      </c>
    </row>
    <row r="1068">
      <c r="A1068" s="11" t="n">
        <v>43959</v>
      </c>
      <c r="B1068" s="22" t="n">
        <v>-0.176</v>
      </c>
      <c r="C1068" s="22" t="n">
        <v>-0.172</v>
      </c>
      <c r="D1068" s="22" t="n">
        <v>-0.133</v>
      </c>
      <c r="E1068" s="22" t="n">
        <v>0.002</v>
      </c>
      <c r="F1068" s="22" t="n">
        <v>0.339</v>
      </c>
      <c r="G1068" s="22" t="n">
        <v>0.454</v>
      </c>
      <c r="H1068" s="22" t="n">
        <v>0.467</v>
      </c>
      <c r="I1068" s="22" t="n">
        <v>1.39</v>
      </c>
      <c r="J1068" s="22" t="n">
        <v>0.15</v>
      </c>
      <c r="K1068" s="22" t="n">
        <v>0.6899999999999999</v>
      </c>
      <c r="L1068" s="17">
        <f>$J1068-$B1068</f>
        <v/>
      </c>
      <c r="M1068" s="17">
        <f>$I1068-$L1068</f>
        <v/>
      </c>
      <c r="N1068" s="23">
        <f>($G1068-$M1068)*100</f>
        <v/>
      </c>
      <c r="O1068" s="15">
        <f>($E1068-$C1068)*100</f>
        <v/>
      </c>
      <c r="P1068" s="15">
        <f>($G1068-$E1068)*100</f>
        <v/>
      </c>
      <c r="Q1068" s="15">
        <f>($G1068-$C1068)*100</f>
        <v/>
      </c>
      <c r="R1068" s="15">
        <f>IF($H1068="","",($H1068-$F1068)*100)</f>
        <v/>
      </c>
      <c r="S1068" s="15">
        <f>IF($H1068="","",($H1068-$G1068)*100)</f>
        <v/>
      </c>
    </row>
    <row r="1069">
      <c r="A1069" s="11" t="n">
        <v>43966</v>
      </c>
      <c r="B1069" s="22" t="n">
        <v>-0.173</v>
      </c>
      <c r="C1069" s="22" t="n">
        <v>-0.169</v>
      </c>
      <c r="D1069" s="22" t="n">
        <v>-0.118</v>
      </c>
      <c r="E1069" s="22" t="n">
        <v>0.001</v>
      </c>
      <c r="F1069" s="22" t="n">
        <v>0.347</v>
      </c>
      <c r="G1069" s="22" t="n">
        <v>0.471</v>
      </c>
      <c r="H1069" s="22" t="n">
        <v>0.494</v>
      </c>
      <c r="I1069" s="22" t="n">
        <v>1.32</v>
      </c>
      <c r="J1069" s="22" t="n">
        <v>0.15</v>
      </c>
      <c r="K1069" s="22" t="n">
        <v>0.64</v>
      </c>
      <c r="L1069" s="17">
        <f>$J1069-$B1069</f>
        <v/>
      </c>
      <c r="M1069" s="17">
        <f>$I1069-$L1069</f>
        <v/>
      </c>
      <c r="N1069" s="23">
        <f>($G1069-$M1069)*100</f>
        <v/>
      </c>
      <c r="O1069" s="15">
        <f>($E1069-$C1069)*100</f>
        <v/>
      </c>
      <c r="P1069" s="15">
        <f>($G1069-$E1069)*100</f>
        <v/>
      </c>
      <c r="Q1069" s="15">
        <f>($G1069-$C1069)*100</f>
        <v/>
      </c>
      <c r="R1069" s="15">
        <f>IF($H1069="","",($H1069-$F1069)*100)</f>
        <v/>
      </c>
      <c r="S1069" s="15">
        <f>IF($H1069="","",($H1069-$G1069)*100)</f>
        <v/>
      </c>
    </row>
    <row r="1070">
      <c r="A1070" s="11" t="n">
        <v>43973</v>
      </c>
      <c r="B1070" s="22" t="n">
        <v>-0.19</v>
      </c>
      <c r="C1070" s="22" t="n">
        <v>-0.181</v>
      </c>
      <c r="D1070" s="22" t="n">
        <v>-0.143</v>
      </c>
      <c r="E1070" s="22" t="n">
        <v>-0.001</v>
      </c>
      <c r="F1070" s="22" t="n">
        <v>0.32</v>
      </c>
      <c r="G1070" s="22" t="n">
        <v>0.442</v>
      </c>
      <c r="H1070" s="22" t="n">
        <v>0.465</v>
      </c>
      <c r="I1070" s="22" t="n">
        <v>1.37</v>
      </c>
      <c r="J1070" s="22" t="n">
        <v>0.17</v>
      </c>
      <c r="K1070" s="22" t="n">
        <v>0.66</v>
      </c>
      <c r="L1070" s="17">
        <f>$J1070-$B1070</f>
        <v/>
      </c>
      <c r="M1070" s="17">
        <f>$I1070-$L1070</f>
        <v/>
      </c>
      <c r="N1070" s="23">
        <f>($G1070-$M1070)*100</f>
        <v/>
      </c>
      <c r="O1070" s="15">
        <f>($E1070-$C1070)*100</f>
        <v/>
      </c>
      <c r="P1070" s="15">
        <f>($G1070-$E1070)*100</f>
        <v/>
      </c>
      <c r="Q1070" s="15">
        <f>($G1070-$C1070)*100</f>
        <v/>
      </c>
      <c r="R1070" s="15">
        <f>IF($H1070="","",($H1070-$F1070)*100)</f>
        <v/>
      </c>
      <c r="S1070" s="15">
        <f>IF($H1070="","",($H1070-$G1070)*100)</f>
        <v/>
      </c>
    </row>
    <row r="1071">
      <c r="A1071" s="11" t="n">
        <v>43980</v>
      </c>
      <c r="B1071" s="22" t="n">
        <v>-0.158</v>
      </c>
      <c r="C1071" s="22" t="n">
        <v>-0.164</v>
      </c>
      <c r="D1071" s="22" t="n">
        <v>-0.128</v>
      </c>
      <c r="E1071" s="22" t="n">
        <v>0.008999999999999999</v>
      </c>
      <c r="F1071" s="22" t="n">
        <v>0.354</v>
      </c>
      <c r="G1071" s="22" t="n">
        <v>0.495</v>
      </c>
      <c r="H1071" s="22" t="n">
        <v>0.529</v>
      </c>
      <c r="I1071" s="22" t="n">
        <v>1.41</v>
      </c>
      <c r="J1071" s="22" t="n">
        <v>0.17</v>
      </c>
      <c r="K1071" s="22" t="n">
        <v>0.65</v>
      </c>
      <c r="L1071" s="17">
        <f>$J1071-$B1071</f>
        <v/>
      </c>
      <c r="M1071" s="17">
        <f>$I1071-$L1071</f>
        <v/>
      </c>
      <c r="N1071" s="23">
        <f>($G1071-$M1071)*100</f>
        <v/>
      </c>
      <c r="O1071" s="15">
        <f>($E1071-$C1071)*100</f>
        <v/>
      </c>
      <c r="P1071" s="15">
        <f>($G1071-$E1071)*100</f>
        <v/>
      </c>
      <c r="Q1071" s="15">
        <f>($G1071-$C1071)*100</f>
        <v/>
      </c>
      <c r="R1071" s="15">
        <f>IF($H1071="","",($H1071-$F1071)*100)</f>
        <v/>
      </c>
      <c r="S1071" s="15">
        <f>IF($H1071="","",($H1071-$G1071)*100)</f>
        <v/>
      </c>
    </row>
    <row r="1072">
      <c r="A1072" s="11" t="n">
        <v>43987</v>
      </c>
      <c r="B1072" s="22" t="n">
        <v>-0.162</v>
      </c>
      <c r="C1072" s="22" t="n">
        <v>-0.151</v>
      </c>
      <c r="D1072" s="22" t="n">
        <v>-0.083</v>
      </c>
      <c r="E1072" s="22" t="n">
        <v>0.049</v>
      </c>
      <c r="F1072" s="22" t="n">
        <v>0.4</v>
      </c>
      <c r="G1072" s="22" t="n">
        <v>0.551</v>
      </c>
      <c r="H1072" s="22" t="n">
        <v>0.583</v>
      </c>
      <c r="I1072" s="22" t="n">
        <v>1.68</v>
      </c>
      <c r="J1072" s="22" t="n">
        <v>0.18</v>
      </c>
      <c r="K1072" s="22" t="n">
        <v>0.91</v>
      </c>
      <c r="L1072" s="17">
        <f>$J1072-$B1072</f>
        <v/>
      </c>
      <c r="M1072" s="17">
        <f>$I1072-$L1072</f>
        <v/>
      </c>
      <c r="N1072" s="23">
        <f>($G1072-$M1072)*100</f>
        <v/>
      </c>
      <c r="O1072" s="15">
        <f>($E1072-$C1072)*100</f>
        <v/>
      </c>
      <c r="P1072" s="15">
        <f>($G1072-$E1072)*100</f>
        <v/>
      </c>
      <c r="Q1072" s="15">
        <f>($G1072-$C1072)*100</f>
        <v/>
      </c>
      <c r="R1072" s="15">
        <f>IF($H1072="","",($H1072-$F1072)*100)</f>
        <v/>
      </c>
      <c r="S1072" s="15">
        <f>IF($H1072="","",($H1072-$G1072)*100)</f>
        <v/>
      </c>
    </row>
    <row r="1073">
      <c r="A1073" s="11" t="n">
        <v>43994</v>
      </c>
      <c r="B1073" s="22" t="n">
        <v>-0.167</v>
      </c>
      <c r="C1073" s="22" t="n">
        <v>-0.158</v>
      </c>
      <c r="D1073" s="22" t="n">
        <v>-0.106</v>
      </c>
      <c r="E1073" s="22" t="n">
        <v>0.021</v>
      </c>
      <c r="F1073" s="22" t="n">
        <v>0.376</v>
      </c>
      <c r="G1073" s="22" t="n">
        <v>0.523</v>
      </c>
      <c r="H1073" s="22" t="n">
        <v>0.547</v>
      </c>
      <c r="I1073" s="22" t="n">
        <v>1.45</v>
      </c>
      <c r="J1073" s="22" t="n">
        <v>0.18</v>
      </c>
      <c r="K1073" s="22" t="n">
        <v>0.71</v>
      </c>
      <c r="L1073" s="17">
        <f>$J1073-$B1073</f>
        <v/>
      </c>
      <c r="M1073" s="17">
        <f>$I1073-$L1073</f>
        <v/>
      </c>
      <c r="N1073" s="23">
        <f>($G1073-$M1073)*100</f>
        <v/>
      </c>
      <c r="O1073" s="15">
        <f>($E1073-$C1073)*100</f>
        <v/>
      </c>
      <c r="P1073" s="15">
        <f>($G1073-$E1073)*100</f>
        <v/>
      </c>
      <c r="Q1073" s="15">
        <f>($G1073-$C1073)*100</f>
        <v/>
      </c>
      <c r="R1073" s="15">
        <f>IF($H1073="","",($H1073-$F1073)*100)</f>
        <v/>
      </c>
      <c r="S1073" s="15">
        <f>IF($H1073="","",($H1073-$G1073)*100)</f>
        <v/>
      </c>
    </row>
    <row r="1074">
      <c r="A1074" s="11" t="n">
        <v>44001</v>
      </c>
      <c r="B1074" s="22" t="n">
        <v>-0.161</v>
      </c>
      <c r="C1074" s="22" t="n">
        <v>-0.161</v>
      </c>
      <c r="D1074" s="22" t="n">
        <v>-0.107</v>
      </c>
      <c r="E1074" s="22" t="n">
        <v>0.022</v>
      </c>
      <c r="F1074" s="22" t="n">
        <v>0.397</v>
      </c>
      <c r="G1074" s="22" t="n">
        <v>0.555</v>
      </c>
      <c r="H1074" s="22" t="n">
        <v>0.583</v>
      </c>
      <c r="I1074" s="22" t="n">
        <v>1.47</v>
      </c>
      <c r="J1074" s="22" t="n">
        <v>0.18</v>
      </c>
      <c r="K1074" s="22" t="n">
        <v>0.7</v>
      </c>
      <c r="L1074" s="17">
        <f>$J1074-$B1074</f>
        <v/>
      </c>
      <c r="M1074" s="17">
        <f>$I1074-$L1074</f>
        <v/>
      </c>
      <c r="N1074" s="23">
        <f>($G1074-$M1074)*100</f>
        <v/>
      </c>
      <c r="O1074" s="15">
        <f>($E1074-$C1074)*100</f>
        <v/>
      </c>
      <c r="P1074" s="15">
        <f>($G1074-$E1074)*100</f>
        <v/>
      </c>
      <c r="Q1074" s="15">
        <f>($G1074-$C1074)*100</f>
        <v/>
      </c>
      <c r="R1074" s="15">
        <f>IF($H1074="","",($H1074-$F1074)*100)</f>
        <v/>
      </c>
      <c r="S1074" s="15">
        <f>IF($H1074="","",($H1074-$G1074)*100)</f>
        <v/>
      </c>
    </row>
    <row r="1075">
      <c r="A1075" s="11" t="n">
        <v>44008</v>
      </c>
      <c r="B1075" s="22" t="n">
        <v>-0.176</v>
      </c>
      <c r="C1075" s="22" t="n">
        <v>-0.142</v>
      </c>
      <c r="D1075" s="22" t="n">
        <v>-0.106</v>
      </c>
      <c r="E1075" s="22" t="n">
        <v>0.02</v>
      </c>
      <c r="F1075" s="22" t="n">
        <v>0.398</v>
      </c>
      <c r="G1075" s="22" t="n">
        <v>0.574</v>
      </c>
      <c r="H1075" s="22" t="n">
        <v>0.604</v>
      </c>
      <c r="I1075" s="22" t="n">
        <v>1.37</v>
      </c>
      <c r="J1075" s="22" t="n">
        <v>0.17</v>
      </c>
      <c r="K1075" s="22" t="n">
        <v>0.64</v>
      </c>
      <c r="L1075" s="17">
        <f>$J1075-$B1075</f>
        <v/>
      </c>
      <c r="M1075" s="17">
        <f>$I1075-$L1075</f>
        <v/>
      </c>
      <c r="N1075" s="23">
        <f>($G1075-$M1075)*100</f>
        <v/>
      </c>
      <c r="O1075" s="15">
        <f>($E1075-$C1075)*100</f>
        <v/>
      </c>
      <c r="P1075" s="15">
        <f>($G1075-$E1075)*100</f>
        <v/>
      </c>
      <c r="Q1075" s="15">
        <f>($G1075-$C1075)*100</f>
        <v/>
      </c>
      <c r="R1075" s="15">
        <f>IF($H1075="","",($H1075-$F1075)*100)</f>
        <v/>
      </c>
      <c r="S1075" s="15">
        <f>IF($H1075="","",($H1075-$G1075)*100)</f>
        <v/>
      </c>
    </row>
    <row r="1076">
      <c r="A1076" s="11" t="n">
        <v>44015</v>
      </c>
      <c r="B1076" s="22" t="n">
        <v>-0.181</v>
      </c>
      <c r="C1076" s="22" t="n">
        <v>-0.145</v>
      </c>
      <c r="D1076" s="22" t="n">
        <v>-0.099</v>
      </c>
      <c r="E1076" s="22" t="n">
        <v>0.022</v>
      </c>
      <c r="F1076" s="22" t="n">
        <v>0.425</v>
      </c>
      <c r="G1076" s="22" t="n">
        <v>0.606</v>
      </c>
      <c r="H1076" s="22" t="n">
        <v>0.642</v>
      </c>
      <c r="I1076" s="22" t="n">
        <v>1.43</v>
      </c>
      <c r="J1076" s="22" t="n">
        <v>0.16</v>
      </c>
      <c r="K1076" s="22" t="n">
        <v>0.68</v>
      </c>
      <c r="L1076" s="17">
        <f>$J1076-$B1076</f>
        <v/>
      </c>
      <c r="M1076" s="17">
        <f>$I1076-$L1076</f>
        <v/>
      </c>
      <c r="N1076" s="23">
        <f>($G1076-$M1076)*100</f>
        <v/>
      </c>
      <c r="O1076" s="15">
        <f>($E1076-$C1076)*100</f>
        <v/>
      </c>
      <c r="P1076" s="15">
        <f>($G1076-$E1076)*100</f>
        <v/>
      </c>
      <c r="Q1076" s="15">
        <f>($G1076-$C1076)*100</f>
        <v/>
      </c>
      <c r="R1076" s="15">
        <f>IF($H1076="","",($H1076-$F1076)*100)</f>
        <v/>
      </c>
      <c r="S1076" s="15">
        <f>IF($H1076="","",($H1076-$G1076)*100)</f>
        <v/>
      </c>
    </row>
    <row r="1077">
      <c r="A1077" s="11" t="n">
        <v>44022</v>
      </c>
      <c r="B1077" s="22" t="n">
        <v>-0.173</v>
      </c>
      <c r="C1077" s="22" t="n">
        <v>-0.143</v>
      </c>
      <c r="D1077" s="22" t="n">
        <v>-0.113</v>
      </c>
      <c r="E1077" s="22" t="n">
        <v>0.018</v>
      </c>
      <c r="F1077" s="22" t="n">
        <v>0.403</v>
      </c>
      <c r="G1077" s="22" t="n">
        <v>0.5629999999999999</v>
      </c>
      <c r="H1077" s="22" t="n">
        <v>0.585</v>
      </c>
      <c r="I1077" s="22" t="n">
        <v>1.33</v>
      </c>
      <c r="J1077" s="22" t="n">
        <v>0.15</v>
      </c>
      <c r="K1077" s="22" t="n">
        <v>0.65</v>
      </c>
      <c r="L1077" s="17">
        <f>$J1077-$B1077</f>
        <v/>
      </c>
      <c r="M1077" s="17">
        <f>$I1077-$L1077</f>
        <v/>
      </c>
      <c r="N1077" s="23">
        <f>($G1077-$M1077)*100</f>
        <v/>
      </c>
      <c r="O1077" s="15">
        <f>($E1077-$C1077)*100</f>
        <v/>
      </c>
      <c r="P1077" s="15">
        <f>($G1077-$E1077)*100</f>
        <v/>
      </c>
      <c r="Q1077" s="15">
        <f>($G1077-$C1077)*100</f>
        <v/>
      </c>
      <c r="R1077" s="15">
        <f>IF($H1077="","",($H1077-$F1077)*100)</f>
        <v/>
      </c>
      <c r="S1077" s="15">
        <f>IF($H1077="","",($H1077-$G1077)*100)</f>
        <v/>
      </c>
    </row>
    <row r="1078">
      <c r="A1078" s="11" t="n">
        <v>44029</v>
      </c>
      <c r="B1078" s="22" t="n">
        <v>-0.17</v>
      </c>
      <c r="C1078" s="22" t="n">
        <v>-0.15</v>
      </c>
      <c r="D1078" s="22" t="n">
        <v>-0.124</v>
      </c>
      <c r="E1078" s="22" t="n">
        <v>0.014</v>
      </c>
      <c r="F1078" s="22" t="n">
        <v>0.413</v>
      </c>
      <c r="G1078" s="22" t="n">
        <v>0.582</v>
      </c>
      <c r="H1078" s="22" t="n">
        <v>0.609</v>
      </c>
      <c r="I1078" s="22" t="n">
        <v>1.33</v>
      </c>
      <c r="J1078" s="22" t="n">
        <v>0.14</v>
      </c>
      <c r="K1078" s="22" t="n">
        <v>0.64</v>
      </c>
      <c r="L1078" s="17">
        <f>$J1078-$B1078</f>
        <v/>
      </c>
      <c r="M1078" s="17">
        <f>$I1078-$L1078</f>
        <v/>
      </c>
      <c r="N1078" s="23">
        <f>($G1078-$M1078)*100</f>
        <v/>
      </c>
      <c r="O1078" s="15">
        <f>($E1078-$C1078)*100</f>
        <v/>
      </c>
      <c r="P1078" s="15">
        <f>($G1078-$E1078)*100</f>
        <v/>
      </c>
      <c r="Q1078" s="15">
        <f>($G1078-$C1078)*100</f>
        <v/>
      </c>
      <c r="R1078" s="15">
        <f>IF($H1078="","",($H1078-$F1078)*100)</f>
        <v/>
      </c>
      <c r="S1078" s="15">
        <f>IF($H1078="","",($H1078-$G1078)*100)</f>
        <v/>
      </c>
    </row>
    <row r="1079">
      <c r="A1079" s="11" t="n">
        <v>44036</v>
      </c>
      <c r="B1079" s="22" t="n">
        <v>-0.163</v>
      </c>
      <c r="C1079" s="22" t="n">
        <v>-0.136</v>
      </c>
      <c r="D1079" s="22" t="n">
        <v>-0.125</v>
      </c>
      <c r="E1079" s="22" t="n">
        <v>0.016</v>
      </c>
      <c r="F1079" s="22" t="n">
        <v>0.407</v>
      </c>
      <c r="G1079" s="22" t="n">
        <v>0.573</v>
      </c>
      <c r="H1079" s="22" t="n">
        <v>0.591</v>
      </c>
      <c r="I1079" s="22" t="n">
        <v>1.23</v>
      </c>
      <c r="J1079" s="22" t="n">
        <v>0.16</v>
      </c>
      <c r="K1079" s="22" t="n">
        <v>0.59</v>
      </c>
      <c r="L1079" s="17">
        <f>$J1079-$B1079</f>
        <v/>
      </c>
      <c r="M1079" s="17">
        <f>$I1079-$L1079</f>
        <v/>
      </c>
      <c r="N1079" s="23">
        <f>($G1079-$M1079)*100</f>
        <v/>
      </c>
      <c r="O1079" s="15">
        <f>($E1079-$C1079)*100</f>
        <v/>
      </c>
      <c r="P1079" s="15">
        <f>($G1079-$E1079)*100</f>
        <v/>
      </c>
      <c r="Q1079" s="15">
        <f>($G1079-$C1079)*100</f>
        <v/>
      </c>
      <c r="R1079" s="15">
        <f>IF($H1079="","",($H1079-$F1079)*100)</f>
        <v/>
      </c>
      <c r="S1079" s="15">
        <f>IF($H1079="","",($H1079-$G1079)*100)</f>
        <v/>
      </c>
    </row>
    <row r="1080">
      <c r="A1080" s="11" t="n">
        <v>44043</v>
      </c>
      <c r="B1080" s="22" t="n">
        <v>-0.159</v>
      </c>
      <c r="C1080" s="22" t="n">
        <v>-0.144</v>
      </c>
      <c r="D1080" s="22" t="n">
        <v>-0.129</v>
      </c>
      <c r="E1080" s="22" t="n">
        <v>0.018</v>
      </c>
      <c r="F1080" s="22" t="n">
        <v>0.383</v>
      </c>
      <c r="G1080" s="22" t="n">
        <v>0.529</v>
      </c>
      <c r="H1080" s="22" t="n">
        <v>0.541</v>
      </c>
      <c r="I1080" s="22" t="n">
        <v>1.2</v>
      </c>
      <c r="J1080" s="22" t="n">
        <v>0.11</v>
      </c>
      <c r="K1080" s="22" t="n">
        <v>0.55</v>
      </c>
      <c r="L1080" s="17">
        <f>$J1080-$B1080</f>
        <v/>
      </c>
      <c r="M1080" s="17">
        <f>$I1080-$L1080</f>
        <v/>
      </c>
      <c r="N1080" s="23">
        <f>($G1080-$M1080)*100</f>
        <v/>
      </c>
      <c r="O1080" s="15">
        <f>($E1080-$C1080)*100</f>
        <v/>
      </c>
      <c r="P1080" s="15">
        <f>($G1080-$E1080)*100</f>
        <v/>
      </c>
      <c r="Q1080" s="15">
        <f>($G1080-$C1080)*100</f>
        <v/>
      </c>
      <c r="R1080" s="15">
        <f>IF($H1080="","",($H1080-$F1080)*100)</f>
        <v/>
      </c>
      <c r="S1080" s="15">
        <f>IF($H1080="","",($H1080-$G1080)*100)</f>
        <v/>
      </c>
    </row>
    <row r="1081">
      <c r="A1081" s="11" t="n">
        <v>44050</v>
      </c>
      <c r="B1081" s="22" t="n">
        <v>-0.144</v>
      </c>
      <c r="C1081" s="22" t="n">
        <v>-0.126</v>
      </c>
      <c r="D1081" s="22" t="n">
        <v>-0.106</v>
      </c>
      <c r="E1081" s="22" t="n">
        <v>0.014</v>
      </c>
      <c r="F1081" s="22" t="n">
        <v>0.384</v>
      </c>
      <c r="G1081" s="22" t="n">
        <v>0.549</v>
      </c>
      <c r="H1081" s="22" t="n">
        <v>0.5659999999999999</v>
      </c>
      <c r="I1081" s="22" t="n">
        <v>1.23</v>
      </c>
      <c r="J1081" s="22" t="n">
        <v>0.14</v>
      </c>
      <c r="K1081" s="22" t="n">
        <v>0.57</v>
      </c>
      <c r="L1081" s="17">
        <f>$J1081-$B1081</f>
        <v/>
      </c>
      <c r="M1081" s="17">
        <f>$I1081-$L1081</f>
        <v/>
      </c>
      <c r="N1081" s="23">
        <f>($G1081-$M1081)*100</f>
        <v/>
      </c>
      <c r="O1081" s="15">
        <f>($E1081-$C1081)*100</f>
        <v/>
      </c>
      <c r="P1081" s="15">
        <f>($G1081-$E1081)*100</f>
        <v/>
      </c>
      <c r="Q1081" s="15">
        <f>($G1081-$C1081)*100</f>
        <v/>
      </c>
      <c r="R1081" s="15">
        <f>IF($H1081="","",($H1081-$F1081)*100)</f>
        <v/>
      </c>
      <c r="S1081" s="15">
        <f>IF($H1081="","",($H1081-$G1081)*100)</f>
        <v/>
      </c>
    </row>
    <row r="1082">
      <c r="A1082" s="11" t="n">
        <v>44057</v>
      </c>
      <c r="B1082" s="22" t="n">
        <v>-0.122</v>
      </c>
      <c r="C1082" s="22" t="n">
        <v>-0.117</v>
      </c>
      <c r="D1082" s="22" t="n">
        <v>-0.07099999999999999</v>
      </c>
      <c r="E1082" s="22" t="n">
        <v>0.054</v>
      </c>
      <c r="F1082" s="22" t="n">
        <v>0.437</v>
      </c>
      <c r="G1082" s="22" t="n">
        <v>0.615</v>
      </c>
      <c r="H1082" s="22" t="n">
        <v>0.631</v>
      </c>
      <c r="I1082" s="22" t="n">
        <v>1.45</v>
      </c>
      <c r="J1082" s="22" t="n">
        <v>0.13</v>
      </c>
      <c r="K1082" s="22" t="n">
        <v>0.71</v>
      </c>
      <c r="L1082" s="17">
        <f>$J1082-$B1082</f>
        <v/>
      </c>
      <c r="M1082" s="17">
        <f>$I1082-$L1082</f>
        <v/>
      </c>
      <c r="N1082" s="23">
        <f>($G1082-$M1082)*100</f>
        <v/>
      </c>
      <c r="O1082" s="15">
        <f>($E1082-$C1082)*100</f>
        <v/>
      </c>
      <c r="P1082" s="15">
        <f>($G1082-$E1082)*100</f>
        <v/>
      </c>
      <c r="Q1082" s="15">
        <f>($G1082-$C1082)*100</f>
        <v/>
      </c>
      <c r="R1082" s="15">
        <f>IF($H1082="","",($H1082-$F1082)*100)</f>
        <v/>
      </c>
      <c r="S1082" s="15">
        <f>IF($H1082="","",($H1082-$G1082)*100)</f>
        <v/>
      </c>
    </row>
    <row r="1083">
      <c r="A1083" s="11" t="n">
        <v>44064</v>
      </c>
      <c r="B1083" s="22" t="n">
        <v>-0.123</v>
      </c>
      <c r="C1083" s="22" t="n">
        <v>-0.115</v>
      </c>
      <c r="D1083" s="22" t="n">
        <v>-0.08</v>
      </c>
      <c r="E1083" s="22" t="n">
        <v>0.039</v>
      </c>
      <c r="F1083" s="22" t="n">
        <v>0.433</v>
      </c>
      <c r="G1083" s="22" t="n">
        <v>0.615</v>
      </c>
      <c r="H1083" s="22" t="n">
        <v>0.631</v>
      </c>
      <c r="I1083" s="22" t="n">
        <v>1.35</v>
      </c>
      <c r="J1083" s="22" t="n">
        <v>0.13</v>
      </c>
      <c r="K1083" s="22" t="n">
        <v>0.64</v>
      </c>
      <c r="L1083" s="17">
        <f>$J1083-$B1083</f>
        <v/>
      </c>
      <c r="M1083" s="17">
        <f>$I1083-$L1083</f>
        <v/>
      </c>
      <c r="N1083" s="23">
        <f>($G1083-$M1083)*100</f>
        <v/>
      </c>
      <c r="O1083" s="15">
        <f>($E1083-$C1083)*100</f>
        <v/>
      </c>
      <c r="P1083" s="15">
        <f>($G1083-$E1083)*100</f>
        <v/>
      </c>
      <c r="Q1083" s="15">
        <f>($G1083-$C1083)*100</f>
        <v/>
      </c>
      <c r="R1083" s="15">
        <f>IF($H1083="","",($H1083-$F1083)*100)</f>
        <v/>
      </c>
      <c r="S1083" s="15">
        <f>IF($H1083="","",($H1083-$G1083)*100)</f>
        <v/>
      </c>
    </row>
    <row r="1084">
      <c r="A1084" s="11" t="n">
        <v>44071</v>
      </c>
      <c r="B1084" s="22" t="n">
        <v>-0.127</v>
      </c>
      <c r="C1084" s="22" t="n">
        <v>-0.115</v>
      </c>
      <c r="D1084" s="22" t="n">
        <v>-0.067</v>
      </c>
      <c r="E1084" s="22" t="n">
        <v>0.065</v>
      </c>
      <c r="F1084" s="22" t="n">
        <v>0.439</v>
      </c>
      <c r="G1084" s="22" t="n">
        <v>0.619</v>
      </c>
      <c r="H1084" s="22" t="n">
        <v>0.631</v>
      </c>
      <c r="I1084" s="22" t="n">
        <v>1.52</v>
      </c>
      <c r="J1084" s="22" t="n">
        <v>0.12</v>
      </c>
      <c r="K1084" s="22" t="n">
        <v>0.74</v>
      </c>
      <c r="L1084" s="17">
        <f>$J1084-$B1084</f>
        <v/>
      </c>
      <c r="M1084" s="17">
        <f>$I1084-$L1084</f>
        <v/>
      </c>
      <c r="N1084" s="23">
        <f>($G1084-$M1084)*100</f>
        <v/>
      </c>
      <c r="O1084" s="15">
        <f>($E1084-$C1084)*100</f>
        <v/>
      </c>
      <c r="P1084" s="15">
        <f>($G1084-$E1084)*100</f>
        <v/>
      </c>
      <c r="Q1084" s="15">
        <f>($G1084-$C1084)*100</f>
        <v/>
      </c>
      <c r="R1084" s="15">
        <f>IF($H1084="","",($H1084-$F1084)*100)</f>
        <v/>
      </c>
      <c r="S1084" s="15">
        <f>IF($H1084="","",($H1084-$G1084)*100)</f>
        <v/>
      </c>
    </row>
    <row r="1085">
      <c r="A1085" s="11" t="n">
        <v>44078</v>
      </c>
      <c r="B1085" s="22" t="n">
        <v>-0.133</v>
      </c>
      <c r="C1085" s="22" t="n">
        <v>-0.125</v>
      </c>
      <c r="D1085" s="22" t="n">
        <v>-0.081</v>
      </c>
      <c r="E1085" s="22" t="n">
        <v>0.045</v>
      </c>
      <c r="F1085" s="22" t="n">
        <v>0.425</v>
      </c>
      <c r="G1085" s="22" t="n">
        <v>0.607</v>
      </c>
      <c r="H1085" s="22" t="n">
        <v>0.617</v>
      </c>
      <c r="I1085" s="22" t="n">
        <v>1.46</v>
      </c>
      <c r="J1085" s="22" t="n">
        <v>0.13</v>
      </c>
      <c r="K1085" s="22" t="n">
        <v>0.72</v>
      </c>
      <c r="L1085" s="17">
        <f>$J1085-$B1085</f>
        <v/>
      </c>
      <c r="M1085" s="17">
        <f>$I1085-$L1085</f>
        <v/>
      </c>
      <c r="N1085" s="23">
        <f>($G1085-$M1085)*100</f>
        <v/>
      </c>
      <c r="O1085" s="15">
        <f>($E1085-$C1085)*100</f>
        <v/>
      </c>
      <c r="P1085" s="15">
        <f>($G1085-$E1085)*100</f>
        <v/>
      </c>
      <c r="Q1085" s="15">
        <f>($G1085-$C1085)*100</f>
        <v/>
      </c>
      <c r="R1085" s="15">
        <f>IF($H1085="","",($H1085-$F1085)*100)</f>
        <v/>
      </c>
      <c r="S1085" s="15">
        <f>IF($H1085="","",($H1085-$G1085)*100)</f>
        <v/>
      </c>
    </row>
    <row r="1086">
      <c r="A1086" s="11" t="n">
        <v>44085</v>
      </c>
      <c r="B1086" s="22" t="n">
        <v>-0.139</v>
      </c>
      <c r="C1086" s="22" t="n">
        <v>-0.142</v>
      </c>
      <c r="D1086" s="22" t="n">
        <v>-0.094</v>
      </c>
      <c r="E1086" s="22" t="n">
        <v>0.029</v>
      </c>
      <c r="F1086" s="22" t="n">
        <v>0.398</v>
      </c>
      <c r="G1086" s="22" t="n">
        <v>0.578</v>
      </c>
      <c r="H1086" s="22" t="n">
        <v>0.586</v>
      </c>
      <c r="I1086" s="22" t="n">
        <v>1.42</v>
      </c>
      <c r="J1086" s="22" t="n">
        <v>0.13</v>
      </c>
      <c r="K1086" s="22" t="n">
        <v>0.67</v>
      </c>
      <c r="L1086" s="17">
        <f>$J1086-$B1086</f>
        <v/>
      </c>
      <c r="M1086" s="17">
        <f>$I1086-$L1086</f>
        <v/>
      </c>
      <c r="N1086" s="23">
        <f>($G1086-$M1086)*100</f>
        <v/>
      </c>
      <c r="O1086" s="15">
        <f>($E1086-$C1086)*100</f>
        <v/>
      </c>
      <c r="P1086" s="15">
        <f>($G1086-$E1086)*100</f>
        <v/>
      </c>
      <c r="Q1086" s="15">
        <f>($G1086-$C1086)*100</f>
        <v/>
      </c>
      <c r="R1086" s="15">
        <f>IF($H1086="","",($H1086-$F1086)*100)</f>
        <v/>
      </c>
      <c r="S1086" s="15">
        <f>IF($H1086="","",($H1086-$G1086)*100)</f>
        <v/>
      </c>
    </row>
    <row r="1087">
      <c r="A1087" s="11" t="n">
        <v>44092</v>
      </c>
      <c r="B1087" s="22" t="n">
        <v>-0.146</v>
      </c>
      <c r="C1087" s="22" t="n">
        <v>-0.144</v>
      </c>
      <c r="D1087" s="22" t="n">
        <v>-0.116</v>
      </c>
      <c r="E1087" s="22" t="n">
        <v>0.023</v>
      </c>
      <c r="F1087" s="22" t="n">
        <v>0.396</v>
      </c>
      <c r="G1087" s="22" t="n">
        <v>0.588</v>
      </c>
      <c r="H1087" s="22" t="n">
        <v>0.604</v>
      </c>
      <c r="I1087" s="22" t="n">
        <v>1.45</v>
      </c>
      <c r="J1087" s="22" t="n">
        <v>0.13</v>
      </c>
      <c r="K1087" s="22" t="n">
        <v>0.7</v>
      </c>
      <c r="L1087" s="17">
        <f>$J1087-$B1087</f>
        <v/>
      </c>
      <c r="M1087" s="17">
        <f>$I1087-$L1087</f>
        <v/>
      </c>
      <c r="N1087" s="23">
        <f>($G1087-$M1087)*100</f>
        <v/>
      </c>
      <c r="O1087" s="15">
        <f>($E1087-$C1087)*100</f>
        <v/>
      </c>
      <c r="P1087" s="15">
        <f>($G1087-$E1087)*100</f>
        <v/>
      </c>
      <c r="Q1087" s="15">
        <f>($G1087-$C1087)*100</f>
        <v/>
      </c>
      <c r="R1087" s="15">
        <f>IF($H1087="","",($H1087-$F1087)*100)</f>
        <v/>
      </c>
      <c r="S1087" s="15">
        <f>IF($H1087="","",($H1087-$G1087)*100)</f>
        <v/>
      </c>
    </row>
    <row r="1088">
      <c r="A1088" s="11" t="n">
        <v>44099</v>
      </c>
      <c r="B1088" s="22" t="n">
        <v>-0.154</v>
      </c>
      <c r="C1088" s="22" t="n">
        <v>-0.156</v>
      </c>
      <c r="D1088" s="22" t="n">
        <v>-0.118</v>
      </c>
      <c r="E1088" s="22" t="n">
        <v>0.02</v>
      </c>
      <c r="F1088" s="22" t="n">
        <v>0.398</v>
      </c>
      <c r="G1088" s="22" t="n">
        <v>0.606</v>
      </c>
      <c r="H1088" s="22" t="n">
        <v>0.622</v>
      </c>
      <c r="I1088" s="22" t="n">
        <v>1.4</v>
      </c>
      <c r="J1088" s="22" t="n">
        <v>0.12</v>
      </c>
      <c r="K1088" s="22" t="n">
        <v>0.66</v>
      </c>
      <c r="L1088" s="17">
        <f>$J1088-$B1088</f>
        <v/>
      </c>
      <c r="M1088" s="17">
        <f>$I1088-$L1088</f>
        <v/>
      </c>
      <c r="N1088" s="23">
        <f>($G1088-$M1088)*100</f>
        <v/>
      </c>
      <c r="O1088" s="15">
        <f>($E1088-$C1088)*100</f>
        <v/>
      </c>
      <c r="P1088" s="15">
        <f>($G1088-$E1088)*100</f>
        <v/>
      </c>
      <c r="Q1088" s="15">
        <f>($G1088-$C1088)*100</f>
        <v/>
      </c>
      <c r="R1088" s="15">
        <f>IF($H1088="","",($H1088-$F1088)*100)</f>
        <v/>
      </c>
      <c r="S1088" s="15">
        <f>IF($H1088="","",($H1088-$G1088)*100)</f>
        <v/>
      </c>
    </row>
    <row r="1089">
      <c r="A1089" s="11" t="n">
        <v>44106</v>
      </c>
      <c r="B1089" s="22" t="n">
        <v>-0.141</v>
      </c>
      <c r="C1089" s="22" t="n">
        <v>-0.14</v>
      </c>
      <c r="D1089" s="22" t="n">
        <v>-0.114</v>
      </c>
      <c r="E1089" s="22" t="n">
        <v>0.017</v>
      </c>
      <c r="F1089" s="22" t="n">
        <v>0.398</v>
      </c>
      <c r="G1089" s="22" t="n">
        <v>0.606</v>
      </c>
      <c r="H1089" s="22" t="n">
        <v>0.624</v>
      </c>
      <c r="I1089" s="22" t="n">
        <v>1.48</v>
      </c>
      <c r="J1089" s="22" t="n">
        <v>0.12</v>
      </c>
      <c r="K1089" s="22" t="n">
        <v>0.7</v>
      </c>
      <c r="L1089" s="17">
        <f>$J1089-$B1089</f>
        <v/>
      </c>
      <c r="M1089" s="17">
        <f>$I1089-$L1089</f>
        <v/>
      </c>
      <c r="N1089" s="23">
        <f>($G1089-$M1089)*100</f>
        <v/>
      </c>
      <c r="O1089" s="15">
        <f>($E1089-$C1089)*100</f>
        <v/>
      </c>
      <c r="P1089" s="15">
        <f>($G1089-$E1089)*100</f>
        <v/>
      </c>
      <c r="Q1089" s="15">
        <f>($G1089-$C1089)*100</f>
        <v/>
      </c>
      <c r="R1089" s="15">
        <f>IF($H1089="","",($H1089-$F1089)*100)</f>
        <v/>
      </c>
      <c r="S1089" s="15">
        <f>IF($H1089="","",($H1089-$G1089)*100)</f>
        <v/>
      </c>
    </row>
    <row r="1090">
      <c r="A1090" s="11" t="n">
        <v>44113</v>
      </c>
      <c r="B1090" s="22" t="n">
        <v>-0.135</v>
      </c>
      <c r="C1090" s="22" t="n">
        <v>-0.127</v>
      </c>
      <c r="D1090" s="22" t="n">
        <v>-0.099</v>
      </c>
      <c r="E1090" s="22" t="n">
        <v>0.032</v>
      </c>
      <c r="F1090" s="22" t="n">
        <v>0.409</v>
      </c>
      <c r="G1090" s="22" t="n">
        <v>0.629</v>
      </c>
      <c r="H1090" s="22" t="n">
        <v>0.644</v>
      </c>
      <c r="I1090" s="22" t="n">
        <v>1.58</v>
      </c>
      <c r="J1090" s="22" t="n">
        <v>0.15</v>
      </c>
      <c r="K1090" s="22" t="n">
        <v>0.79</v>
      </c>
      <c r="L1090" s="17">
        <f>$J1090-$B1090</f>
        <v/>
      </c>
      <c r="M1090" s="17">
        <f>$I1090-$L1090</f>
        <v/>
      </c>
      <c r="N1090" s="23">
        <f>($G1090-$M1090)*100</f>
        <v/>
      </c>
      <c r="O1090" s="15">
        <f>($E1090-$C1090)*100</f>
        <v/>
      </c>
      <c r="P1090" s="15">
        <f>($G1090-$E1090)*100</f>
        <v/>
      </c>
      <c r="Q1090" s="15">
        <f>($G1090-$C1090)*100</f>
        <v/>
      </c>
      <c r="R1090" s="15">
        <f>IF($H1090="","",($H1090-$F1090)*100)</f>
        <v/>
      </c>
      <c r="S1090" s="15">
        <f>IF($H1090="","",($H1090-$G1090)*100)</f>
        <v/>
      </c>
    </row>
    <row r="1091">
      <c r="A1091" s="11" t="n">
        <v>44120</v>
      </c>
      <c r="B1091" s="22" t="n">
        <v>-0.14</v>
      </c>
      <c r="C1091" s="22" t="n">
        <v>-0.145</v>
      </c>
      <c r="D1091" s="22" t="n">
        <v>-0.113</v>
      </c>
      <c r="E1091" s="22" t="n">
        <v>0.024</v>
      </c>
      <c r="F1091" s="22" t="n">
        <v>0.411</v>
      </c>
      <c r="G1091" s="22" t="n">
        <v>0.619</v>
      </c>
      <c r="H1091" s="22" t="n">
        <v>0.631</v>
      </c>
      <c r="I1091" s="22" t="n">
        <v>1.52</v>
      </c>
      <c r="J1091" s="22" t="n">
        <v>0.12</v>
      </c>
      <c r="K1091" s="22" t="n">
        <v>0.76</v>
      </c>
      <c r="L1091" s="17">
        <f>$J1091-$B1091</f>
        <v/>
      </c>
      <c r="M1091" s="17">
        <f>$I1091-$L1091</f>
        <v/>
      </c>
      <c r="N1091" s="23">
        <f>($G1091-$M1091)*100</f>
        <v/>
      </c>
      <c r="O1091" s="15">
        <f>($E1091-$C1091)*100</f>
        <v/>
      </c>
      <c r="P1091" s="15">
        <f>($G1091-$E1091)*100</f>
        <v/>
      </c>
      <c r="Q1091" s="15">
        <f>($G1091-$C1091)*100</f>
        <v/>
      </c>
      <c r="R1091" s="15">
        <f>IF($H1091="","",($H1091-$F1091)*100)</f>
        <v/>
      </c>
      <c r="S1091" s="15">
        <f>IF($H1091="","",($H1091-$G1091)*100)</f>
        <v/>
      </c>
    </row>
    <row r="1092">
      <c r="A1092" s="11" t="n">
        <v>44127</v>
      </c>
      <c r="B1092" s="22" t="n">
        <v>-0.134</v>
      </c>
      <c r="C1092" s="22" t="n">
        <v>-0.131</v>
      </c>
      <c r="D1092" s="22" t="n">
        <v>-0.097</v>
      </c>
      <c r="E1092" s="22" t="n">
        <v>0.04</v>
      </c>
      <c r="F1092" s="22" t="n">
        <v>0.412</v>
      </c>
      <c r="G1092" s="22" t="n">
        <v>0.639</v>
      </c>
      <c r="H1092" s="22" t="n">
        <v>0.653</v>
      </c>
      <c r="I1092" s="22" t="n">
        <v>1.64</v>
      </c>
      <c r="J1092" s="22" t="n">
        <v>0.12</v>
      </c>
      <c r="K1092" s="22" t="n">
        <v>0.85</v>
      </c>
      <c r="L1092" s="17">
        <f>$J1092-$B1092</f>
        <v/>
      </c>
      <c r="M1092" s="17">
        <f>$I1092-$L1092</f>
        <v/>
      </c>
      <c r="N1092" s="23">
        <f>($G1092-$M1092)*100</f>
        <v/>
      </c>
      <c r="O1092" s="15">
        <f>($E1092-$C1092)*100</f>
        <v/>
      </c>
      <c r="P1092" s="15">
        <f>($G1092-$E1092)*100</f>
        <v/>
      </c>
      <c r="Q1092" s="15">
        <f>($G1092-$C1092)*100</f>
        <v/>
      </c>
      <c r="R1092" s="15">
        <f>IF($H1092="","",($H1092-$F1092)*100)</f>
        <v/>
      </c>
      <c r="S1092" s="15">
        <f>IF($H1092="","",($H1092-$G1092)*100)</f>
        <v/>
      </c>
    </row>
    <row r="1093">
      <c r="A1093" s="11" t="n">
        <v>44134</v>
      </c>
      <c r="B1093" s="22" t="n">
        <v>-0.138</v>
      </c>
      <c r="C1093" s="22" t="n">
        <v>-0.125</v>
      </c>
      <c r="D1093" s="22" t="n">
        <v>-0.098</v>
      </c>
      <c r="E1093" s="22" t="n">
        <v>0.041</v>
      </c>
      <c r="F1093" s="22" t="n">
        <v>0.417</v>
      </c>
      <c r="G1093" s="22" t="n">
        <v>0.64</v>
      </c>
      <c r="H1093" s="22" t="n">
        <v>0.656</v>
      </c>
      <c r="I1093" s="22" t="n">
        <v>1.65</v>
      </c>
      <c r="J1093" s="22" t="n">
        <v>0.13</v>
      </c>
      <c r="K1093" s="22" t="n">
        <v>0.88</v>
      </c>
      <c r="L1093" s="17">
        <f>$J1093-$B1093</f>
        <v/>
      </c>
      <c r="M1093" s="17">
        <f>$I1093-$L1093</f>
        <v/>
      </c>
      <c r="N1093" s="23">
        <f>($G1093-$M1093)*100</f>
        <v/>
      </c>
      <c r="O1093" s="15">
        <f>($E1093-$C1093)*100</f>
        <v/>
      </c>
      <c r="P1093" s="15">
        <f>($G1093-$E1093)*100</f>
        <v/>
      </c>
      <c r="Q1093" s="15">
        <f>($G1093-$C1093)*100</f>
        <v/>
      </c>
      <c r="R1093" s="15">
        <f>IF($H1093="","",($H1093-$F1093)*100)</f>
        <v/>
      </c>
      <c r="S1093" s="15">
        <f>IF($H1093="","",($H1093-$G1093)*100)</f>
        <v/>
      </c>
    </row>
    <row r="1094">
      <c r="A1094" s="11" t="n">
        <v>44141</v>
      </c>
      <c r="B1094" s="22" t="n">
        <v>-0.143</v>
      </c>
      <c r="C1094" s="22" t="n">
        <v>-0.146</v>
      </c>
      <c r="D1094" s="22" t="n">
        <v>-0.118</v>
      </c>
      <c r="E1094" s="22" t="n">
        <v>0.022</v>
      </c>
      <c r="F1094" s="22" t="n">
        <v>0.394</v>
      </c>
      <c r="G1094" s="22" t="n">
        <v>0.626</v>
      </c>
      <c r="H1094" s="22" t="n">
        <v>0.644</v>
      </c>
      <c r="I1094" s="22" t="n">
        <v>1.6</v>
      </c>
      <c r="J1094" s="22" t="n">
        <v>0.12</v>
      </c>
      <c r="K1094" s="22" t="n">
        <v>0.83</v>
      </c>
      <c r="L1094" s="17">
        <f>$J1094-$B1094</f>
        <v/>
      </c>
      <c r="M1094" s="17">
        <f>$I1094-$L1094</f>
        <v/>
      </c>
      <c r="N1094" s="23">
        <f>($G1094-$M1094)*100</f>
        <v/>
      </c>
      <c r="O1094" s="15">
        <f>($E1094-$C1094)*100</f>
        <v/>
      </c>
      <c r="P1094" s="15">
        <f>($G1094-$E1094)*100</f>
        <v/>
      </c>
      <c r="Q1094" s="15">
        <f>($G1094-$C1094)*100</f>
        <v/>
      </c>
      <c r="R1094" s="15">
        <f>IF($H1094="","",($H1094-$F1094)*100)</f>
        <v/>
      </c>
      <c r="S1094" s="15">
        <f>IF($H1094="","",($H1094-$G1094)*100)</f>
        <v/>
      </c>
    </row>
    <row r="1095">
      <c r="A1095" s="11" t="n">
        <v>44148</v>
      </c>
      <c r="B1095" s="22" t="n">
        <v>-0.147</v>
      </c>
      <c r="C1095" s="22" t="n">
        <v>-0.149</v>
      </c>
      <c r="D1095" s="22" t="n">
        <v>-0.11</v>
      </c>
      <c r="E1095" s="22" t="n">
        <v>0.027</v>
      </c>
      <c r="F1095" s="22" t="n">
        <v>0.41</v>
      </c>
      <c r="G1095" s="22" t="n">
        <v>0.654</v>
      </c>
      <c r="H1095" s="22" t="n">
        <v>0.674</v>
      </c>
      <c r="I1095" s="22" t="n">
        <v>1.65</v>
      </c>
      <c r="J1095" s="22" t="n">
        <v>0.12</v>
      </c>
      <c r="K1095" s="22" t="n">
        <v>0.89</v>
      </c>
      <c r="L1095" s="17">
        <f>$J1095-$B1095</f>
        <v/>
      </c>
      <c r="M1095" s="17">
        <f>$I1095-$L1095</f>
        <v/>
      </c>
      <c r="N1095" s="23">
        <f>($G1095-$M1095)*100</f>
        <v/>
      </c>
      <c r="O1095" s="15">
        <f>($E1095-$C1095)*100</f>
        <v/>
      </c>
      <c r="P1095" s="15">
        <f>($G1095-$E1095)*100</f>
        <v/>
      </c>
      <c r="Q1095" s="15">
        <f>($G1095-$C1095)*100</f>
        <v/>
      </c>
      <c r="R1095" s="15">
        <f>IF($H1095="","",($H1095-$F1095)*100)</f>
        <v/>
      </c>
      <c r="S1095" s="15">
        <f>IF($H1095="","",($H1095-$G1095)*100)</f>
        <v/>
      </c>
    </row>
    <row r="1096">
      <c r="A1096" s="11" t="n">
        <v>44155</v>
      </c>
      <c r="B1096" s="22" t="n">
        <v>-0.152</v>
      </c>
      <c r="C1096" s="22" t="n">
        <v>-0.151</v>
      </c>
      <c r="D1096" s="22" t="n">
        <v>-0.127</v>
      </c>
      <c r="E1096" s="22" t="n">
        <v>0.018</v>
      </c>
      <c r="F1096" s="22" t="n">
        <v>0.38</v>
      </c>
      <c r="G1096" s="22" t="n">
        <v>0.625</v>
      </c>
      <c r="H1096" s="22" t="n">
        <v>0.644</v>
      </c>
      <c r="I1096" s="22" t="n">
        <v>1.53</v>
      </c>
      <c r="J1096" s="22" t="n">
        <v>0.11</v>
      </c>
      <c r="K1096" s="22" t="n">
        <v>0.83</v>
      </c>
      <c r="L1096" s="17">
        <f>$J1096-$B1096</f>
        <v/>
      </c>
      <c r="M1096" s="17">
        <f>$I1096-$L1096</f>
        <v/>
      </c>
      <c r="N1096" s="23">
        <f>($G1096-$M1096)*100</f>
        <v/>
      </c>
      <c r="O1096" s="15">
        <f>($E1096-$C1096)*100</f>
        <v/>
      </c>
      <c r="P1096" s="15">
        <f>($G1096-$E1096)*100</f>
        <v/>
      </c>
      <c r="Q1096" s="15">
        <f>($G1096-$C1096)*100</f>
        <v/>
      </c>
      <c r="R1096" s="15">
        <f>IF($H1096="","",($H1096-$F1096)*100)</f>
        <v/>
      </c>
      <c r="S1096" s="15">
        <f>IF($H1096="","",($H1096-$G1096)*100)</f>
        <v/>
      </c>
    </row>
    <row r="1097">
      <c r="A1097" s="11" t="n">
        <v>44162</v>
      </c>
      <c r="B1097" s="22" t="n">
        <v>-0.137</v>
      </c>
      <c r="C1097" s="22" t="n">
        <v>-0.13</v>
      </c>
      <c r="D1097" s="22" t="n">
        <v>-0.105</v>
      </c>
      <c r="E1097" s="22" t="n">
        <v>0.035</v>
      </c>
      <c r="F1097" s="22" t="n">
        <v>0.401</v>
      </c>
      <c r="G1097" s="22" t="n">
        <v>0.651</v>
      </c>
      <c r="H1097" s="22" t="n">
        <v>0.678</v>
      </c>
      <c r="I1097" s="22" t="n">
        <v>1.57</v>
      </c>
      <c r="J1097" s="22" t="n">
        <v>0.11</v>
      </c>
      <c r="K1097" s="22" t="n">
        <v>0.84</v>
      </c>
      <c r="L1097" s="17">
        <f>$J1097-$B1097</f>
        <v/>
      </c>
      <c r="M1097" s="17">
        <f>$I1097-$L1097</f>
        <v/>
      </c>
      <c r="N1097" s="23">
        <f>($G1097-$M1097)*100</f>
        <v/>
      </c>
      <c r="O1097" s="15">
        <f>($E1097-$C1097)*100</f>
        <v/>
      </c>
      <c r="P1097" s="15">
        <f>($G1097-$E1097)*100</f>
        <v/>
      </c>
      <c r="Q1097" s="15">
        <f>($G1097-$C1097)*100</f>
        <v/>
      </c>
      <c r="R1097" s="15">
        <f>IF($H1097="","",($H1097-$F1097)*100)</f>
        <v/>
      </c>
      <c r="S1097" s="15">
        <f>IF($H1097="","",($H1097-$G1097)*100)</f>
        <v/>
      </c>
    </row>
    <row r="1098">
      <c r="A1098" s="11" t="n">
        <v>44169</v>
      </c>
      <c r="B1098" s="22" t="n">
        <v>-0.132</v>
      </c>
      <c r="C1098" s="22" t="n">
        <v>-0.131</v>
      </c>
      <c r="D1098" s="22" t="n">
        <v>-0.105</v>
      </c>
      <c r="E1098" s="22" t="n">
        <v>0.029</v>
      </c>
      <c r="F1098" s="22" t="n">
        <v>0.398</v>
      </c>
      <c r="G1098" s="22" t="n">
        <v>0.651</v>
      </c>
      <c r="H1098" s="22" t="n">
        <v>0.679</v>
      </c>
      <c r="I1098" s="22" t="n">
        <v>1.73</v>
      </c>
      <c r="J1098" s="22" t="n">
        <v>0.11</v>
      </c>
      <c r="K1098" s="22" t="n">
        <v>0.97</v>
      </c>
      <c r="L1098" s="17">
        <f>$J1098-$B1098</f>
        <v/>
      </c>
      <c r="M1098" s="17">
        <f>$I1098-$L1098</f>
        <v/>
      </c>
      <c r="N1098" s="23">
        <f>($G1098-$M1098)*100</f>
        <v/>
      </c>
      <c r="O1098" s="15">
        <f>($E1098-$C1098)*100</f>
        <v/>
      </c>
      <c r="P1098" s="15">
        <f>($G1098-$E1098)*100</f>
        <v/>
      </c>
      <c r="Q1098" s="15">
        <f>($G1098-$C1098)*100</f>
        <v/>
      </c>
      <c r="R1098" s="15">
        <f>IF($H1098="","",($H1098-$F1098)*100)</f>
        <v/>
      </c>
      <c r="S1098" s="15">
        <f>IF($H1098="","",($H1098-$G1098)*100)</f>
        <v/>
      </c>
    </row>
    <row r="1099">
      <c r="A1099" s="11" t="n">
        <v>44176</v>
      </c>
      <c r="B1099" s="22" t="n">
        <v>-0.129</v>
      </c>
      <c r="C1099" s="22" t="n">
        <v>-0.142</v>
      </c>
      <c r="D1099" s="22" t="n">
        <v>-0.125</v>
      </c>
      <c r="E1099" s="22" t="n">
        <v>0.022</v>
      </c>
      <c r="F1099" s="22" t="n">
        <v>0.382</v>
      </c>
      <c r="G1099" s="22" t="n">
        <v>0.614</v>
      </c>
      <c r="H1099" s="22" t="n">
        <v>0.638</v>
      </c>
      <c r="I1099" s="22" t="n">
        <v>1.63</v>
      </c>
      <c r="J1099" s="22" t="n">
        <v>0.1</v>
      </c>
      <c r="K1099" s="22" t="n">
        <v>0.9</v>
      </c>
      <c r="L1099" s="17">
        <f>$J1099-$B1099</f>
        <v/>
      </c>
      <c r="M1099" s="17">
        <f>$I1099-$L1099</f>
        <v/>
      </c>
      <c r="N1099" s="23">
        <f>($G1099-$M1099)*100</f>
        <v/>
      </c>
      <c r="O1099" s="15">
        <f>($E1099-$C1099)*100</f>
        <v/>
      </c>
      <c r="P1099" s="15">
        <f>($G1099-$E1099)*100</f>
        <v/>
      </c>
      <c r="Q1099" s="15">
        <f>($G1099-$C1099)*100</f>
        <v/>
      </c>
      <c r="R1099" s="15">
        <f>IF($H1099="","",($H1099-$F1099)*100)</f>
        <v/>
      </c>
      <c r="S1099" s="15">
        <f>IF($H1099="","",($H1099-$G1099)*100)</f>
        <v/>
      </c>
    </row>
    <row r="1100">
      <c r="A1100" s="11" t="n">
        <v>44183</v>
      </c>
      <c r="B1100" s="22" t="n">
        <v>-0.126</v>
      </c>
      <c r="C1100" s="22" t="n">
        <v>-0.139</v>
      </c>
      <c r="D1100" s="22" t="n">
        <v>-0.124</v>
      </c>
      <c r="E1100" s="22" t="n">
        <v>0.017</v>
      </c>
      <c r="F1100" s="22" t="n">
        <v>0.387</v>
      </c>
      <c r="G1100" s="22" t="n">
        <v>0.624</v>
      </c>
      <c r="H1100" s="22" t="n">
        <v>0.654</v>
      </c>
      <c r="I1100" s="22" t="n">
        <v>1.7</v>
      </c>
      <c r="J1100" s="22" t="n">
        <v>0.09</v>
      </c>
      <c r="K1100" s="22" t="n">
        <v>0.95</v>
      </c>
      <c r="L1100" s="17">
        <f>$J1100-$B1100</f>
        <v/>
      </c>
      <c r="M1100" s="17">
        <f>$I1100-$L1100</f>
        <v/>
      </c>
      <c r="N1100" s="23">
        <f>($G1100-$M1100)*100</f>
        <v/>
      </c>
      <c r="O1100" s="15">
        <f>($E1100-$C1100)*100</f>
        <v/>
      </c>
      <c r="P1100" s="15">
        <f>($G1100-$E1100)*100</f>
        <v/>
      </c>
      <c r="Q1100" s="15">
        <f>($G1100-$C1100)*100</f>
        <v/>
      </c>
      <c r="R1100" s="15">
        <f>IF($H1100="","",($H1100-$F1100)*100)</f>
        <v/>
      </c>
      <c r="S1100" s="15">
        <f>IF($H1100="","",($H1100-$G1100)*100)</f>
        <v/>
      </c>
    </row>
    <row r="1101">
      <c r="A1101" s="11" t="n">
        <v>44190</v>
      </c>
      <c r="B1101" s="22" t="n">
        <v>-0.126</v>
      </c>
      <c r="C1101" s="22" t="n">
        <v>-0.13</v>
      </c>
      <c r="D1101" s="22" t="n">
        <v>-0.109</v>
      </c>
      <c r="E1101" s="22" t="n">
        <v>0.027</v>
      </c>
      <c r="F1101" s="22" t="n">
        <v>0.4</v>
      </c>
      <c r="G1101" s="22" t="n">
        <v>0.637</v>
      </c>
      <c r="H1101" s="22" t="n">
        <v>0.653</v>
      </c>
      <c r="I1101" s="22" t="n">
        <v>1.66</v>
      </c>
      <c r="J1101" s="22" t="n">
        <v>0.1</v>
      </c>
      <c r="K1101" s="22" t="n">
        <v>0.9399999999999999</v>
      </c>
      <c r="L1101" s="17">
        <f>$J1101-$B1101</f>
        <v/>
      </c>
      <c r="M1101" s="17">
        <f>$I1101-$L1101</f>
        <v/>
      </c>
      <c r="N1101" s="23">
        <f>($G1101-$M1101)*100</f>
        <v/>
      </c>
      <c r="O1101" s="15">
        <f>($E1101-$C1101)*100</f>
        <v/>
      </c>
      <c r="P1101" s="15">
        <f>($G1101-$E1101)*100</f>
        <v/>
      </c>
      <c r="Q1101" s="15">
        <f>($G1101-$C1101)*100</f>
        <v/>
      </c>
      <c r="R1101" s="15">
        <f>IF($H1101="","",($H1101-$F1101)*100)</f>
        <v/>
      </c>
      <c r="S1101" s="15">
        <f>IF($H1101="","",($H1101-$G1101)*100)</f>
        <v/>
      </c>
    </row>
    <row r="1102">
      <c r="A1102" s="11" t="n">
        <v>44197</v>
      </c>
      <c r="B1102" s="22" t="n">
        <v>-0.119</v>
      </c>
      <c r="C1102" s="22" t="n">
        <v>-0.125</v>
      </c>
      <c r="D1102" s="22" t="n">
        <v>-0.102</v>
      </c>
      <c r="E1102" s="22" t="n">
        <v>0.035</v>
      </c>
      <c r="F1102" s="22" t="n">
        <v>0.402</v>
      </c>
      <c r="G1102" s="22" t="n">
        <v>0.647</v>
      </c>
      <c r="H1102" s="22" t="n">
        <v>0.666</v>
      </c>
      <c r="I1102" s="22" t="n">
        <v>1.65</v>
      </c>
      <c r="J1102" s="22" t="n">
        <v>0.1</v>
      </c>
      <c r="K1102" s="22" t="n">
        <v>0.93</v>
      </c>
      <c r="L1102" s="17">
        <f>$J1102-$B1102</f>
        <v/>
      </c>
      <c r="M1102" s="17">
        <f>$I1102-$L1102</f>
        <v/>
      </c>
      <c r="N1102" s="23">
        <f>($G1102-$M1102)*100</f>
        <v/>
      </c>
      <c r="O1102" s="15">
        <f>($E1102-$C1102)*100</f>
        <v/>
      </c>
      <c r="P1102" s="15">
        <f>($G1102-$E1102)*100</f>
        <v/>
      </c>
      <c r="Q1102" s="15">
        <f>($G1102-$C1102)*100</f>
        <v/>
      </c>
      <c r="R1102" s="15">
        <f>IF($H1102="","",($H1102-$F1102)*100)</f>
        <v/>
      </c>
      <c r="S1102" s="15">
        <f>IF($H1102="","",($H1102-$G1102)*100)</f>
        <v/>
      </c>
    </row>
    <row r="1103">
      <c r="A1103" s="11" t="n">
        <v>44204</v>
      </c>
      <c r="B1103" s="22" t="n">
        <v>-0.114</v>
      </c>
      <c r="C1103" s="22" t="n">
        <v>-0.122</v>
      </c>
      <c r="D1103" s="22" t="n">
        <v>-0.106</v>
      </c>
      <c r="E1103" s="22" t="n">
        <v>0.038</v>
      </c>
      <c r="F1103" s="22" t="n">
        <v>0.423</v>
      </c>
      <c r="G1103" s="22" t="n">
        <v>0.65</v>
      </c>
      <c r="H1103" s="22" t="n">
        <v>0.662</v>
      </c>
      <c r="I1103" s="22" t="n">
        <v>1.87</v>
      </c>
      <c r="J1103" s="22" t="n">
        <v>0.1</v>
      </c>
      <c r="K1103" s="22" t="n">
        <v>1.13</v>
      </c>
      <c r="L1103" s="17">
        <f>$J1103-$B1103</f>
        <v/>
      </c>
      <c r="M1103" s="17">
        <f>$I1103-$L1103</f>
        <v/>
      </c>
      <c r="N1103" s="23">
        <f>($G1103-$M1103)*100</f>
        <v/>
      </c>
      <c r="O1103" s="15">
        <f>($E1103-$C1103)*100</f>
        <v/>
      </c>
      <c r="P1103" s="15">
        <f>($G1103-$E1103)*100</f>
        <v/>
      </c>
      <c r="Q1103" s="15">
        <f>($G1103-$C1103)*100</f>
        <v/>
      </c>
      <c r="R1103" s="15">
        <f>IF($H1103="","",($H1103-$F1103)*100)</f>
        <v/>
      </c>
      <c r="S1103" s="15">
        <f>IF($H1103="","",($H1103-$G1103)*100)</f>
        <v/>
      </c>
    </row>
    <row r="1104">
      <c r="A1104" s="11" t="n">
        <v>44211</v>
      </c>
      <c r="B1104" s="22" t="n">
        <v>-0.129</v>
      </c>
      <c r="C1104" s="22" t="n">
        <v>-0.129</v>
      </c>
      <c r="D1104" s="22" t="n">
        <v>-0.104</v>
      </c>
      <c r="E1104" s="22" t="n">
        <v>0.033</v>
      </c>
      <c r="F1104" s="22" t="n">
        <v>0.425</v>
      </c>
      <c r="G1104" s="22" t="n">
        <v>0.65</v>
      </c>
      <c r="H1104" s="22" t="n">
        <v>0.67</v>
      </c>
      <c r="I1104" s="22" t="n">
        <v>1.85</v>
      </c>
      <c r="J1104" s="22" t="n">
        <v>0.1</v>
      </c>
      <c r="K1104" s="22" t="n">
        <v>1.11</v>
      </c>
      <c r="L1104" s="17">
        <f>$J1104-$B1104</f>
        <v/>
      </c>
      <c r="M1104" s="17">
        <f>$I1104-$L1104</f>
        <v/>
      </c>
      <c r="N1104" s="23">
        <f>($G1104-$M1104)*100</f>
        <v/>
      </c>
      <c r="O1104" s="15">
        <f>($E1104-$C1104)*100</f>
        <v/>
      </c>
      <c r="P1104" s="15">
        <f>($G1104-$E1104)*100</f>
        <v/>
      </c>
      <c r="Q1104" s="15">
        <f>($G1104-$C1104)*100</f>
        <v/>
      </c>
      <c r="R1104" s="15">
        <f>IF($H1104="","",($H1104-$F1104)*100)</f>
        <v/>
      </c>
      <c r="S1104" s="15">
        <f>IF($H1104="","",($H1104-$G1104)*100)</f>
        <v/>
      </c>
    </row>
    <row r="1105">
      <c r="A1105" s="11" t="n">
        <v>44218</v>
      </c>
      <c r="B1105" s="22" t="n">
        <v>-0.134</v>
      </c>
      <c r="C1105" s="22" t="n">
        <v>-0.137</v>
      </c>
      <c r="D1105" s="22" t="n">
        <v>-0.114</v>
      </c>
      <c r="E1105" s="22" t="n">
        <v>0.04</v>
      </c>
      <c r="F1105" s="22" t="n">
        <v>0.45</v>
      </c>
      <c r="G1105" s="22" t="n">
        <v>0.655</v>
      </c>
      <c r="H1105" s="22" t="n">
        <v>0.674</v>
      </c>
      <c r="I1105" s="22" t="n">
        <v>1.85</v>
      </c>
      <c r="J1105" s="22" t="n">
        <v>0.1</v>
      </c>
      <c r="K1105" s="22" t="n">
        <v>1.1</v>
      </c>
      <c r="L1105" s="17">
        <f>$J1105-$B1105</f>
        <v/>
      </c>
      <c r="M1105" s="17">
        <f>$I1105-$L1105</f>
        <v/>
      </c>
      <c r="N1105" s="23">
        <f>($G1105-$M1105)*100</f>
        <v/>
      </c>
      <c r="O1105" s="15">
        <f>($E1105-$C1105)*100</f>
        <v/>
      </c>
      <c r="P1105" s="15">
        <f>($G1105-$E1105)*100</f>
        <v/>
      </c>
      <c r="Q1105" s="15">
        <f>($G1105-$C1105)*100</f>
        <v/>
      </c>
      <c r="R1105" s="15">
        <f>IF($H1105="","",($H1105-$F1105)*100)</f>
        <v/>
      </c>
      <c r="S1105" s="15">
        <f>IF($H1105="","",($H1105-$G1105)*100)</f>
        <v/>
      </c>
    </row>
    <row r="1106">
      <c r="A1106" s="11" t="n">
        <v>44225</v>
      </c>
      <c r="B1106" s="22" t="n">
        <v>-0.118</v>
      </c>
      <c r="C1106" s="22" t="n">
        <v>-0.129</v>
      </c>
      <c r="D1106" s="22" t="n">
        <v>-0.113</v>
      </c>
      <c r="E1106" s="22" t="n">
        <v>0.056</v>
      </c>
      <c r="F1106" s="22" t="n">
        <v>0.459</v>
      </c>
      <c r="G1106" s="22" t="n">
        <v>0.66</v>
      </c>
      <c r="H1106" s="22" t="n">
        <v>0.6830000000000001</v>
      </c>
      <c r="I1106" s="22" t="n">
        <v>1.87</v>
      </c>
      <c r="J1106" s="22" t="n">
        <v>0.1</v>
      </c>
      <c r="K1106" s="22" t="n">
        <v>1.11</v>
      </c>
      <c r="L1106" s="17">
        <f>$J1106-$B1106</f>
        <v/>
      </c>
      <c r="M1106" s="17">
        <f>$I1106-$L1106</f>
        <v/>
      </c>
      <c r="N1106" s="23">
        <f>($G1106-$M1106)*100</f>
        <v/>
      </c>
      <c r="O1106" s="15">
        <f>($E1106-$C1106)*100</f>
        <v/>
      </c>
      <c r="P1106" s="15">
        <f>($G1106-$E1106)*100</f>
        <v/>
      </c>
      <c r="Q1106" s="15">
        <f>($G1106-$C1106)*100</f>
        <v/>
      </c>
      <c r="R1106" s="15">
        <f>IF($H1106="","",($H1106-$F1106)*100)</f>
        <v/>
      </c>
      <c r="S1106" s="15">
        <f>IF($H1106="","",($H1106-$G1106)*100)</f>
        <v/>
      </c>
    </row>
    <row r="1107">
      <c r="A1107" s="11" t="n">
        <v>44232</v>
      </c>
      <c r="B1107" s="22" t="n">
        <v>-0.123</v>
      </c>
      <c r="C1107" s="22" t="n">
        <v>-0.131</v>
      </c>
      <c r="D1107" s="22" t="n">
        <v>-0.106</v>
      </c>
      <c r="E1107" s="22" t="n">
        <v>0.061</v>
      </c>
      <c r="F1107" s="22" t="n">
        <v>0.45</v>
      </c>
      <c r="G1107" s="22" t="n">
        <v>0.656</v>
      </c>
      <c r="H1107" s="22" t="n">
        <v>0.674</v>
      </c>
      <c r="I1107" s="22" t="n">
        <v>1.97</v>
      </c>
      <c r="J1107" s="22" t="n">
        <v>0.06</v>
      </c>
      <c r="K1107" s="22" t="n">
        <v>1.19</v>
      </c>
      <c r="L1107" s="17">
        <f>$J1107-$B1107</f>
        <v/>
      </c>
      <c r="M1107" s="17">
        <f>$I1107-$L1107</f>
        <v/>
      </c>
      <c r="N1107" s="23">
        <f>($G1107-$M1107)*100</f>
        <v/>
      </c>
      <c r="O1107" s="15">
        <f>($E1107-$C1107)*100</f>
        <v/>
      </c>
      <c r="P1107" s="15">
        <f>($G1107-$E1107)*100</f>
        <v/>
      </c>
      <c r="Q1107" s="15">
        <f>($G1107-$C1107)*100</f>
        <v/>
      </c>
      <c r="R1107" s="15">
        <f>IF($H1107="","",($H1107-$F1107)*100)</f>
        <v/>
      </c>
      <c r="S1107" s="15">
        <f>IF($H1107="","",($H1107-$G1107)*100)</f>
        <v/>
      </c>
    </row>
    <row r="1108">
      <c r="A1108" s="11" t="n">
        <v>44239</v>
      </c>
      <c r="B1108" s="22" t="n">
        <v>-0.127</v>
      </c>
      <c r="C1108" s="22" t="n">
        <v>-0.133</v>
      </c>
      <c r="D1108" s="22" t="n">
        <v>-0.11</v>
      </c>
      <c r="E1108" s="22" t="n">
        <v>0.067</v>
      </c>
      <c r="F1108" s="22" t="n">
        <v>0.466</v>
      </c>
      <c r="G1108" s="22" t="n">
        <v>0.67</v>
      </c>
      <c r="H1108" s="22" t="n">
        <v>0.6870000000000001</v>
      </c>
      <c r="I1108" s="22" t="n">
        <v>2.01</v>
      </c>
      <c r="J1108" s="22" t="n">
        <v>0.06</v>
      </c>
      <c r="K1108" s="22" t="n">
        <v>1.2</v>
      </c>
      <c r="L1108" s="17">
        <f>$J1108-$B1108</f>
        <v/>
      </c>
      <c r="M1108" s="17">
        <f>$I1108-$L1108</f>
        <v/>
      </c>
      <c r="N1108" s="23">
        <f>($G1108-$M1108)*100</f>
        <v/>
      </c>
      <c r="O1108" s="15">
        <f>($E1108-$C1108)*100</f>
        <v/>
      </c>
      <c r="P1108" s="15">
        <f>($G1108-$E1108)*100</f>
        <v/>
      </c>
      <c r="Q1108" s="15">
        <f>($G1108-$C1108)*100</f>
        <v/>
      </c>
      <c r="R1108" s="15">
        <f>IF($H1108="","",($H1108-$F1108)*100)</f>
        <v/>
      </c>
      <c r="S1108" s="15">
        <f>IF($H1108="","",($H1108-$G1108)*100)</f>
        <v/>
      </c>
    </row>
    <row r="1109">
      <c r="A1109" s="11" t="n">
        <v>44246</v>
      </c>
      <c r="B1109" s="22" t="n">
        <v>-0.122</v>
      </c>
      <c r="C1109" s="22" t="n">
        <v>-0.12</v>
      </c>
      <c r="D1109" s="22" t="n">
        <v>-0.076</v>
      </c>
      <c r="E1109" s="22" t="n">
        <v>0.108</v>
      </c>
      <c r="F1109" s="22" t="n">
        <v>0.499</v>
      </c>
      <c r="G1109" s="22" t="n">
        <v>0.68</v>
      </c>
      <c r="H1109" s="22" t="n">
        <v>0.696</v>
      </c>
      <c r="I1109" s="22" t="n">
        <v>2.14</v>
      </c>
      <c r="J1109" s="22" t="n">
        <v>0.07000000000000001</v>
      </c>
      <c r="K1109" s="22" t="n">
        <v>1.34</v>
      </c>
      <c r="L1109" s="17">
        <f>$J1109-$B1109</f>
        <v/>
      </c>
      <c r="M1109" s="17">
        <f>$I1109-$L1109</f>
        <v/>
      </c>
      <c r="N1109" s="23">
        <f>($G1109-$M1109)*100</f>
        <v/>
      </c>
      <c r="O1109" s="15">
        <f>($E1109-$C1109)*100</f>
        <v/>
      </c>
      <c r="P1109" s="15">
        <f>($G1109-$E1109)*100</f>
        <v/>
      </c>
      <c r="Q1109" s="15">
        <f>($G1109-$C1109)*100</f>
        <v/>
      </c>
      <c r="R1109" s="15">
        <f>IF($H1109="","",($H1109-$F1109)*100)</f>
        <v/>
      </c>
      <c r="S1109" s="15">
        <f>IF($H1109="","",($H1109-$G1109)*100)</f>
        <v/>
      </c>
    </row>
    <row r="1110">
      <c r="A1110" s="11" t="n">
        <v>44253</v>
      </c>
      <c r="B1110" s="22" t="n">
        <v>-0.117</v>
      </c>
      <c r="C1110" s="22" t="n">
        <v>-0.114</v>
      </c>
      <c r="D1110" s="22" t="n">
        <v>-0.047</v>
      </c>
      <c r="E1110" s="22" t="n">
        <v>0.168</v>
      </c>
      <c r="F1110" s="22" t="n">
        <v>0.5570000000000001</v>
      </c>
      <c r="G1110" s="22" t="n">
        <v>0.751</v>
      </c>
      <c r="H1110" s="22" t="n">
        <v>0.776</v>
      </c>
      <c r="I1110" s="22" t="n">
        <v>2.17</v>
      </c>
      <c r="J1110" s="22" t="n">
        <v>0.08</v>
      </c>
      <c r="K1110" s="22" t="n">
        <v>1.44</v>
      </c>
      <c r="L1110" s="17">
        <f>$J1110-$B1110</f>
        <v/>
      </c>
      <c r="M1110" s="17">
        <f>$I1110-$L1110</f>
        <v/>
      </c>
      <c r="N1110" s="23">
        <f>($G1110-$M1110)*100</f>
        <v/>
      </c>
      <c r="O1110" s="15">
        <f>($E1110-$C1110)*100</f>
        <v/>
      </c>
      <c r="P1110" s="15">
        <f>($G1110-$E1110)*100</f>
        <v/>
      </c>
      <c r="Q1110" s="15">
        <f>($G1110-$C1110)*100</f>
        <v/>
      </c>
      <c r="R1110" s="15">
        <f>IF($H1110="","",($H1110-$F1110)*100)</f>
        <v/>
      </c>
      <c r="S1110" s="15">
        <f>IF($H1110="","",($H1110-$G1110)*100)</f>
        <v/>
      </c>
    </row>
    <row r="1111">
      <c r="A1111" s="11" t="n">
        <v>44260</v>
      </c>
      <c r="B1111" s="22" t="n">
        <v>-0.132</v>
      </c>
      <c r="C1111" s="22" t="n">
        <v>-0.131</v>
      </c>
      <c r="D1111" s="22" t="n">
        <v>-0.08799999999999999</v>
      </c>
      <c r="E1111" s="22" t="n">
        <v>0.095</v>
      </c>
      <c r="F1111" s="22" t="n">
        <v>0.476</v>
      </c>
      <c r="G1111" s="22" t="n">
        <v>0.673</v>
      </c>
      <c r="H1111" s="22" t="n">
        <v>0.6919999999999999</v>
      </c>
      <c r="I1111" s="22" t="n">
        <v>2.28</v>
      </c>
      <c r="J1111" s="22" t="n">
        <v>0.08</v>
      </c>
      <c r="K1111" s="22" t="n">
        <v>1.56</v>
      </c>
      <c r="L1111" s="17">
        <f>$J1111-$B1111</f>
        <v/>
      </c>
      <c r="M1111" s="17">
        <f>$I1111-$L1111</f>
        <v/>
      </c>
      <c r="N1111" s="23">
        <f>($G1111-$M1111)*100</f>
        <v/>
      </c>
      <c r="O1111" s="15">
        <f>($E1111-$C1111)*100</f>
        <v/>
      </c>
      <c r="P1111" s="15">
        <f>($G1111-$E1111)*100</f>
        <v/>
      </c>
      <c r="Q1111" s="15">
        <f>($G1111-$C1111)*100</f>
        <v/>
      </c>
      <c r="R1111" s="15">
        <f>IF($H1111="","",($H1111-$F1111)*100)</f>
        <v/>
      </c>
      <c r="S1111" s="15">
        <f>IF($H1111="","",($H1111-$G1111)*100)</f>
        <v/>
      </c>
    </row>
    <row r="1112">
      <c r="A1112" s="11" t="n">
        <v>44267</v>
      </c>
      <c r="B1112" s="22" t="n">
        <v>-0.127</v>
      </c>
      <c r="C1112" s="22" t="n">
        <v>-0.128</v>
      </c>
      <c r="D1112" s="22" t="n">
        <v>-0.075</v>
      </c>
      <c r="E1112" s="22" t="n">
        <v>0.121</v>
      </c>
      <c r="F1112" s="22" t="n">
        <v>0.496</v>
      </c>
      <c r="G1112" s="22" t="n">
        <v>0.669</v>
      </c>
      <c r="H1112" s="22" t="n">
        <v>0.679</v>
      </c>
      <c r="I1112" s="22" t="n">
        <v>2.4</v>
      </c>
      <c r="J1112" s="22" t="n">
        <v>0.09</v>
      </c>
      <c r="K1112" s="22" t="n">
        <v>1.64</v>
      </c>
      <c r="L1112" s="17">
        <f>$J1112-$B1112</f>
        <v/>
      </c>
      <c r="M1112" s="17">
        <f>$I1112-$L1112</f>
        <v/>
      </c>
      <c r="N1112" s="23">
        <f>($G1112-$M1112)*100</f>
        <v/>
      </c>
      <c r="O1112" s="15">
        <f>($E1112-$C1112)*100</f>
        <v/>
      </c>
      <c r="P1112" s="15">
        <f>($G1112-$E1112)*100</f>
        <v/>
      </c>
      <c r="Q1112" s="15">
        <f>($G1112-$C1112)*100</f>
        <v/>
      </c>
      <c r="R1112" s="15">
        <f>IF($H1112="","",($H1112-$F1112)*100)</f>
        <v/>
      </c>
      <c r="S1112" s="15">
        <f>IF($H1112="","",($H1112-$G1112)*100)</f>
        <v/>
      </c>
    </row>
    <row r="1113">
      <c r="A1113" s="11" t="n">
        <v>44274</v>
      </c>
      <c r="B1113" s="22" t="n">
        <v>-0.121</v>
      </c>
      <c r="C1113" s="22" t="n">
        <v>-0.136</v>
      </c>
      <c r="D1113" s="22" t="n">
        <v>-0.079</v>
      </c>
      <c r="E1113" s="22" t="n">
        <v>0.123</v>
      </c>
      <c r="F1113" s="22" t="n">
        <v>0.511</v>
      </c>
      <c r="G1113" s="22" t="n">
        <v>0.674</v>
      </c>
      <c r="H1113" s="22" t="n">
        <v>0.6879999999999999</v>
      </c>
      <c r="I1113" s="22" t="n">
        <v>2.45</v>
      </c>
      <c r="J1113" s="22" t="n">
        <v>0.07000000000000001</v>
      </c>
      <c r="K1113" s="22" t="n">
        <v>1.74</v>
      </c>
      <c r="L1113" s="17">
        <f>$J1113-$B1113</f>
        <v/>
      </c>
      <c r="M1113" s="17">
        <f>$I1113-$L1113</f>
        <v/>
      </c>
      <c r="N1113" s="23">
        <f>($G1113-$M1113)*100</f>
        <v/>
      </c>
      <c r="O1113" s="15">
        <f>($E1113-$C1113)*100</f>
        <v/>
      </c>
      <c r="P1113" s="15">
        <f>($G1113-$E1113)*100</f>
        <v/>
      </c>
      <c r="Q1113" s="15">
        <f>($G1113-$C1113)*100</f>
        <v/>
      </c>
      <c r="R1113" s="15">
        <f>IF($H1113="","",($H1113-$F1113)*100)</f>
        <v/>
      </c>
      <c r="S1113" s="15">
        <f>IF($H1113="","",($H1113-$G1113)*100)</f>
        <v/>
      </c>
    </row>
    <row r="1114">
      <c r="A1114" s="11" t="n">
        <v>44281</v>
      </c>
      <c r="B1114" s="22" t="n">
        <v>-0.116</v>
      </c>
      <c r="C1114" s="22" t="n">
        <v>-0.138</v>
      </c>
      <c r="D1114" s="22" t="n">
        <v>-0.096</v>
      </c>
      <c r="E1114" s="22" t="n">
        <v>0.08799999999999999</v>
      </c>
      <c r="F1114" s="22" t="n">
        <v>0.463</v>
      </c>
      <c r="G1114" s="22" t="n">
        <v>0.656</v>
      </c>
      <c r="H1114" s="22" t="n">
        <v>0.67</v>
      </c>
      <c r="I1114" s="22" t="n">
        <v>2.37</v>
      </c>
      <c r="J1114" s="22" t="n">
        <v>0.06</v>
      </c>
      <c r="K1114" s="22" t="n">
        <v>1.67</v>
      </c>
      <c r="L1114" s="17">
        <f>$J1114-$B1114</f>
        <v/>
      </c>
      <c r="M1114" s="17">
        <f>$I1114-$L1114</f>
        <v/>
      </c>
      <c r="N1114" s="23">
        <f>($G1114-$M1114)*100</f>
        <v/>
      </c>
      <c r="O1114" s="15">
        <f>($E1114-$C1114)*100</f>
        <v/>
      </c>
      <c r="P1114" s="15">
        <f>($G1114-$E1114)*100</f>
        <v/>
      </c>
      <c r="Q1114" s="15">
        <f>($G1114-$C1114)*100</f>
        <v/>
      </c>
      <c r="R1114" s="15">
        <f>IF($H1114="","",($H1114-$F1114)*100)</f>
        <v/>
      </c>
      <c r="S1114" s="15">
        <f>IF($H1114="","",($H1114-$G1114)*100)</f>
        <v/>
      </c>
    </row>
    <row r="1115">
      <c r="A1115" s="11" t="n">
        <v>44288</v>
      </c>
      <c r="B1115" s="22" t="n">
        <v>-0.12</v>
      </c>
      <c r="C1115" s="22" t="n">
        <v>-0.125</v>
      </c>
      <c r="D1115" s="22" t="n">
        <v>-0.07199999999999999</v>
      </c>
      <c r="E1115" s="22" t="n">
        <v>0.117</v>
      </c>
      <c r="F1115" s="22" t="n">
        <v>0.498</v>
      </c>
      <c r="G1115" s="22" t="n">
        <v>0.697</v>
      </c>
      <c r="H1115" s="22" t="n">
        <v>0.718</v>
      </c>
      <c r="I1115" s="22" t="n">
        <v>2.35</v>
      </c>
      <c r="J1115" s="22" t="n">
        <v>0.07000000000000001</v>
      </c>
      <c r="K1115" s="22" t="n">
        <v>1.72</v>
      </c>
      <c r="L1115" s="17">
        <f>$J1115-$B1115</f>
        <v/>
      </c>
      <c r="M1115" s="17">
        <f>$I1115-$L1115</f>
        <v/>
      </c>
      <c r="N1115" s="23">
        <f>($G1115-$M1115)*100</f>
        <v/>
      </c>
      <c r="O1115" s="15">
        <f>($E1115-$C1115)*100</f>
        <v/>
      </c>
      <c r="P1115" s="15">
        <f>($G1115-$E1115)*100</f>
        <v/>
      </c>
      <c r="Q1115" s="15">
        <f>($G1115-$C1115)*100</f>
        <v/>
      </c>
      <c r="R1115" s="15">
        <f>IF($H1115="","",($H1115-$F1115)*100)</f>
        <v/>
      </c>
      <c r="S1115" s="15">
        <f>IF($H1115="","",($H1115-$G1115)*100)</f>
        <v/>
      </c>
    </row>
    <row r="1116">
      <c r="A1116" s="11" t="n">
        <v>44295</v>
      </c>
      <c r="B1116" s="22" t="n">
        <v>-0.125</v>
      </c>
      <c r="C1116" s="22" t="n">
        <v>-0.126</v>
      </c>
      <c r="D1116" s="22" t="n">
        <v>-0.092</v>
      </c>
      <c r="E1116" s="22" t="n">
        <v>0.102</v>
      </c>
      <c r="F1116" s="22" t="n">
        <v>0.477</v>
      </c>
      <c r="G1116" s="22" t="n">
        <v>0.678</v>
      </c>
      <c r="H1116" s="22" t="n">
        <v>0.696</v>
      </c>
      <c r="I1116" s="22" t="n">
        <v>2.34</v>
      </c>
      <c r="J1116" s="22" t="n">
        <v>0.06</v>
      </c>
      <c r="K1116" s="22" t="n">
        <v>1.67</v>
      </c>
      <c r="L1116" s="17">
        <f>$J1116-$B1116</f>
        <v/>
      </c>
      <c r="M1116" s="17">
        <f>$I1116-$L1116</f>
        <v/>
      </c>
      <c r="N1116" s="23">
        <f>($G1116-$M1116)*100</f>
        <v/>
      </c>
      <c r="O1116" s="15">
        <f>($E1116-$C1116)*100</f>
        <v/>
      </c>
      <c r="P1116" s="15">
        <f>($G1116-$E1116)*100</f>
        <v/>
      </c>
      <c r="Q1116" s="15">
        <f>($G1116-$C1116)*100</f>
        <v/>
      </c>
      <c r="R1116" s="15">
        <f>IF($H1116="","",($H1116-$F1116)*100)</f>
        <v/>
      </c>
      <c r="S1116" s="15">
        <f>IF($H1116="","",($H1116-$G1116)*100)</f>
        <v/>
      </c>
    </row>
    <row r="1117">
      <c r="A1117" s="11" t="n">
        <v>44302</v>
      </c>
      <c r="B1117" s="22" t="n">
        <v>-0.13</v>
      </c>
      <c r="C1117" s="22" t="n">
        <v>-0.133</v>
      </c>
      <c r="D1117" s="22" t="n">
        <v>-0.102</v>
      </c>
      <c r="E1117" s="22" t="n">
        <v>0.089</v>
      </c>
      <c r="F1117" s="22" t="n">
        <v>0.458</v>
      </c>
      <c r="G1117" s="22" t="n">
        <v>0.655</v>
      </c>
      <c r="H1117" s="22" t="n">
        <v>0.67</v>
      </c>
      <c r="I1117" s="22" t="n">
        <v>2.26</v>
      </c>
      <c r="J1117" s="22" t="n">
        <v>0.06</v>
      </c>
      <c r="K1117" s="22" t="n">
        <v>1.59</v>
      </c>
      <c r="L1117" s="17">
        <f>$J1117-$B1117</f>
        <v/>
      </c>
      <c r="M1117" s="17">
        <f>$I1117-$L1117</f>
        <v/>
      </c>
      <c r="N1117" s="23">
        <f>($G1117-$M1117)*100</f>
        <v/>
      </c>
      <c r="O1117" s="15">
        <f>($E1117-$C1117)*100</f>
        <v/>
      </c>
      <c r="P1117" s="15">
        <f>($G1117-$E1117)*100</f>
        <v/>
      </c>
      <c r="Q1117" s="15">
        <f>($G1117-$C1117)*100</f>
        <v/>
      </c>
      <c r="R1117" s="15">
        <f>IF($H1117="","",($H1117-$F1117)*100)</f>
        <v/>
      </c>
      <c r="S1117" s="15">
        <f>IF($H1117="","",($H1117-$G1117)*100)</f>
        <v/>
      </c>
    </row>
    <row r="1118">
      <c r="A1118" s="11" t="n">
        <v>44309</v>
      </c>
      <c r="B1118" s="22" t="n">
        <v>-0.134</v>
      </c>
      <c r="C1118" s="22" t="n">
        <v>-0.135</v>
      </c>
      <c r="D1118" s="22" t="n">
        <v>-0.106</v>
      </c>
      <c r="E1118" s="22" t="n">
        <v>0.07000000000000001</v>
      </c>
      <c r="F1118" s="22" t="n">
        <v>0.434</v>
      </c>
      <c r="G1118" s="22" t="n">
        <v>0.641</v>
      </c>
      <c r="H1118" s="22" t="n">
        <v>0.657</v>
      </c>
      <c r="I1118" s="22" t="n">
        <v>2.25</v>
      </c>
      <c r="J1118" s="22" t="n">
        <v>0.07000000000000001</v>
      </c>
      <c r="K1118" s="22" t="n">
        <v>1.58</v>
      </c>
      <c r="L1118" s="17">
        <f>$J1118-$B1118</f>
        <v/>
      </c>
      <c r="M1118" s="17">
        <f>$I1118-$L1118</f>
        <v/>
      </c>
      <c r="N1118" s="23">
        <f>($G1118-$M1118)*100</f>
        <v/>
      </c>
      <c r="O1118" s="15">
        <f>($E1118-$C1118)*100</f>
        <v/>
      </c>
      <c r="P1118" s="15">
        <f>($G1118-$E1118)*100</f>
        <v/>
      </c>
      <c r="Q1118" s="15">
        <f>($G1118-$C1118)*100</f>
        <v/>
      </c>
      <c r="R1118" s="15">
        <f>IF($H1118="","",($H1118-$F1118)*100)</f>
        <v/>
      </c>
      <c r="S1118" s="15">
        <f>IF($H1118="","",($H1118-$G1118)*100)</f>
        <v/>
      </c>
    </row>
    <row r="1119">
      <c r="A1119" s="11" t="n">
        <v>44316</v>
      </c>
      <c r="B1119" s="22" t="n">
        <v>-0.119</v>
      </c>
      <c r="C1119" s="22" t="n">
        <v>-0.13</v>
      </c>
      <c r="D1119" s="22" t="n">
        <v>-0.092</v>
      </c>
      <c r="E1119" s="22" t="n">
        <v>0.095</v>
      </c>
      <c r="F1119" s="22" t="n">
        <v>0.459</v>
      </c>
      <c r="G1119" s="22" t="n">
        <v>0.66</v>
      </c>
      <c r="H1119" s="22" t="n">
        <v>0.679</v>
      </c>
      <c r="I1119" s="22" t="n">
        <v>2.3</v>
      </c>
      <c r="J1119" s="22" t="n">
        <v>0.05</v>
      </c>
      <c r="K1119" s="22" t="n">
        <v>1.65</v>
      </c>
      <c r="L1119" s="17">
        <f>$J1119-$B1119</f>
        <v/>
      </c>
      <c r="M1119" s="17">
        <f>$I1119-$L1119</f>
        <v/>
      </c>
      <c r="N1119" s="23">
        <f>($G1119-$M1119)*100</f>
        <v/>
      </c>
      <c r="O1119" s="15">
        <f>($E1119-$C1119)*100</f>
        <v/>
      </c>
      <c r="P1119" s="15">
        <f>($G1119-$E1119)*100</f>
        <v/>
      </c>
      <c r="Q1119" s="15">
        <f>($G1119-$C1119)*100</f>
        <v/>
      </c>
      <c r="R1119" s="15">
        <f>IF($H1119="","",($H1119-$F1119)*100)</f>
        <v/>
      </c>
      <c r="S1119" s="15">
        <f>IF($H1119="","",($H1119-$G1119)*100)</f>
        <v/>
      </c>
    </row>
    <row r="1120">
      <c r="A1120" s="11" t="n">
        <v>44323</v>
      </c>
      <c r="B1120" s="22" t="n">
        <v>-0.124</v>
      </c>
      <c r="C1120" s="22" t="n">
        <v>-0.131</v>
      </c>
      <c r="D1120" s="22" t="n">
        <v>-0.095</v>
      </c>
      <c r="E1120" s="22" t="n">
        <v>0.08599999999999999</v>
      </c>
      <c r="F1120" s="22" t="n">
        <v>0.454</v>
      </c>
      <c r="G1120" s="22" t="n">
        <v>0.655</v>
      </c>
      <c r="H1120" s="22" t="n">
        <v>0.679</v>
      </c>
      <c r="I1120" s="22" t="n">
        <v>2.28</v>
      </c>
      <c r="J1120" s="22" t="n">
        <v>0.05</v>
      </c>
      <c r="K1120" s="22" t="n">
        <v>1.6</v>
      </c>
      <c r="L1120" s="17">
        <f>$J1120-$B1120</f>
        <v/>
      </c>
      <c r="M1120" s="17">
        <f>$I1120-$L1120</f>
        <v/>
      </c>
      <c r="N1120" s="23">
        <f>($G1120-$M1120)*100</f>
        <v/>
      </c>
      <c r="O1120" s="15">
        <f>($E1120-$C1120)*100</f>
        <v/>
      </c>
      <c r="P1120" s="15">
        <f>($G1120-$E1120)*100</f>
        <v/>
      </c>
      <c r="Q1120" s="15">
        <f>($G1120-$C1120)*100</f>
        <v/>
      </c>
      <c r="R1120" s="15">
        <f>IF($H1120="","",($H1120-$F1120)*100)</f>
        <v/>
      </c>
      <c r="S1120" s="15">
        <f>IF($H1120="","",($H1120-$G1120)*100)</f>
        <v/>
      </c>
    </row>
    <row r="1121">
      <c r="A1121" s="11" t="n">
        <v>44330</v>
      </c>
      <c r="B1121" s="22" t="n">
        <v>-0.128</v>
      </c>
      <c r="C1121" s="22" t="n">
        <v>-0.128</v>
      </c>
      <c r="D1121" s="22" t="n">
        <v>-0.096</v>
      </c>
      <c r="E1121" s="22" t="n">
        <v>0.08699999999999999</v>
      </c>
      <c r="F1121" s="22" t="n">
        <v>0.446</v>
      </c>
      <c r="G1121" s="22" t="n">
        <v>0.655</v>
      </c>
      <c r="H1121" s="22" t="n">
        <v>0.679</v>
      </c>
      <c r="I1121" s="22" t="n">
        <v>2.35</v>
      </c>
      <c r="J1121" s="22" t="n">
        <v>0.06</v>
      </c>
      <c r="K1121" s="22" t="n">
        <v>1.63</v>
      </c>
      <c r="L1121" s="17">
        <f>$J1121-$B1121</f>
        <v/>
      </c>
      <c r="M1121" s="17">
        <f>$I1121-$L1121</f>
        <v/>
      </c>
      <c r="N1121" s="23">
        <f>($G1121-$M1121)*100</f>
        <v/>
      </c>
      <c r="O1121" s="15">
        <f>($E1121-$C1121)*100</f>
        <v/>
      </c>
      <c r="P1121" s="15">
        <f>($G1121-$E1121)*100</f>
        <v/>
      </c>
      <c r="Q1121" s="15">
        <f>($G1121-$C1121)*100</f>
        <v/>
      </c>
      <c r="R1121" s="15">
        <f>IF($H1121="","",($H1121-$F1121)*100)</f>
        <v/>
      </c>
      <c r="S1121" s="15">
        <f>IF($H1121="","",($H1121-$G1121)*100)</f>
        <v/>
      </c>
    </row>
    <row r="1122">
      <c r="A1122" s="11" t="n">
        <v>44337</v>
      </c>
      <c r="B1122" s="22" t="n">
        <v>-0.123</v>
      </c>
      <c r="C1122" s="22" t="n">
        <v>-0.129</v>
      </c>
      <c r="D1122" s="22" t="n">
        <v>-0.089</v>
      </c>
      <c r="E1122" s="22" t="n">
        <v>0.08599999999999999</v>
      </c>
      <c r="F1122" s="22" t="n">
        <v>0.456</v>
      </c>
      <c r="G1122" s="22" t="n">
        <v>0.678</v>
      </c>
      <c r="H1122" s="22" t="n">
        <v>0.705</v>
      </c>
      <c r="I1122" s="22" t="n">
        <v>2.33</v>
      </c>
      <c r="J1122" s="22" t="n">
        <v>0.04</v>
      </c>
      <c r="K1122" s="22" t="n">
        <v>1.63</v>
      </c>
      <c r="L1122" s="17">
        <f>$J1122-$B1122</f>
        <v/>
      </c>
      <c r="M1122" s="17">
        <f>$I1122-$L1122</f>
        <v/>
      </c>
      <c r="N1122" s="23">
        <f>($G1122-$M1122)*100</f>
        <v/>
      </c>
      <c r="O1122" s="15">
        <f>($E1122-$C1122)*100</f>
        <v/>
      </c>
      <c r="P1122" s="15">
        <f>($G1122-$E1122)*100</f>
        <v/>
      </c>
      <c r="Q1122" s="15">
        <f>($G1122-$C1122)*100</f>
        <v/>
      </c>
      <c r="R1122" s="15">
        <f>IF($H1122="","",($H1122-$F1122)*100)</f>
        <v/>
      </c>
      <c r="S1122" s="15">
        <f>IF($H1122="","",($H1122-$G1122)*100)</f>
        <v/>
      </c>
    </row>
    <row r="1123">
      <c r="A1123" s="11" t="n">
        <v>44344</v>
      </c>
      <c r="B1123" s="22" t="n">
        <v>-0.127</v>
      </c>
      <c r="C1123" s="22" t="n">
        <v>-0.136</v>
      </c>
      <c r="D1123" s="22" t="n">
        <v>-0.089</v>
      </c>
      <c r="E1123" s="22" t="n">
        <v>0.089</v>
      </c>
      <c r="F1123" s="22" t="n">
        <v>0.457</v>
      </c>
      <c r="G1123" s="22" t="n">
        <v>0.675</v>
      </c>
      <c r="H1123" s="22" t="n">
        <v>0.711</v>
      </c>
      <c r="I1123" s="22" t="n">
        <v>2.26</v>
      </c>
      <c r="J1123" s="22" t="n">
        <v>0.05</v>
      </c>
      <c r="K1123" s="22" t="n">
        <v>1.58</v>
      </c>
      <c r="L1123" s="17">
        <f>$J1123-$B1123</f>
        <v/>
      </c>
      <c r="M1123" s="17">
        <f>$I1123-$L1123</f>
        <v/>
      </c>
      <c r="N1123" s="23">
        <f>($G1123-$M1123)*100</f>
        <v/>
      </c>
      <c r="O1123" s="15">
        <f>($E1123-$C1123)*100</f>
        <v/>
      </c>
      <c r="P1123" s="15">
        <f>($G1123-$E1123)*100</f>
        <v/>
      </c>
      <c r="Q1123" s="15">
        <f>($G1123-$C1123)*100</f>
        <v/>
      </c>
      <c r="R1123" s="15">
        <f>IF($H1123="","",($H1123-$F1123)*100)</f>
        <v/>
      </c>
      <c r="S1123" s="15">
        <f>IF($H1123="","",($H1123-$G1123)*100)</f>
        <v/>
      </c>
    </row>
    <row r="1124">
      <c r="A1124" s="11" t="n">
        <v>44351</v>
      </c>
      <c r="B1124" s="22" t="n">
        <v>-0.123</v>
      </c>
      <c r="C1124" s="22" t="n">
        <v>-0.12</v>
      </c>
      <c r="D1124" s="22" t="n">
        <v>-0.092</v>
      </c>
      <c r="E1124" s="22" t="n">
        <v>0.092</v>
      </c>
      <c r="F1124" s="22" t="n">
        <v>0.463</v>
      </c>
      <c r="G1124" s="22" t="n">
        <v>0.6919999999999999</v>
      </c>
      <c r="H1124" s="22" t="n">
        <v>0.725</v>
      </c>
      <c r="I1124" s="22" t="n">
        <v>2.24</v>
      </c>
      <c r="J1124" s="22" t="n">
        <v>0.05</v>
      </c>
      <c r="K1124" s="22" t="n">
        <v>1.56</v>
      </c>
      <c r="L1124" s="17">
        <f>$J1124-$B1124</f>
        <v/>
      </c>
      <c r="M1124" s="17">
        <f>$I1124-$L1124</f>
        <v/>
      </c>
      <c r="N1124" s="23">
        <f>($G1124-$M1124)*100</f>
        <v/>
      </c>
      <c r="O1124" s="15">
        <f>($E1124-$C1124)*100</f>
        <v/>
      </c>
      <c r="P1124" s="15">
        <f>($G1124-$E1124)*100</f>
        <v/>
      </c>
      <c r="Q1124" s="15">
        <f>($G1124-$C1124)*100</f>
        <v/>
      </c>
      <c r="R1124" s="15">
        <f>IF($H1124="","",($H1124-$F1124)*100)</f>
        <v/>
      </c>
      <c r="S1124" s="15">
        <f>IF($H1124="","",($H1124-$G1124)*100)</f>
        <v/>
      </c>
    </row>
    <row r="1125">
      <c r="A1125" s="11" t="n">
        <v>44358</v>
      </c>
      <c r="B1125" s="22" t="n">
        <v>-0.119</v>
      </c>
      <c r="C1125" s="22" t="n">
        <v>-0.126</v>
      </c>
      <c r="D1125" s="22" t="n">
        <v>-0.115</v>
      </c>
      <c r="E1125" s="22" t="n">
        <v>0.04</v>
      </c>
      <c r="F1125" s="22" t="n">
        <v>0.419</v>
      </c>
      <c r="G1125" s="22" t="n">
        <v>0.661</v>
      </c>
      <c r="H1125" s="22" t="n">
        <v>0.705</v>
      </c>
      <c r="I1125" s="22" t="n">
        <v>2.15</v>
      </c>
      <c r="J1125" s="22" t="n">
        <v>0.05</v>
      </c>
      <c r="K1125" s="22" t="n">
        <v>1.47</v>
      </c>
      <c r="L1125" s="17">
        <f>$J1125-$B1125</f>
        <v/>
      </c>
      <c r="M1125" s="17">
        <f>$I1125-$L1125</f>
        <v/>
      </c>
      <c r="N1125" s="23">
        <f>($G1125-$M1125)*100</f>
        <v/>
      </c>
      <c r="O1125" s="15">
        <f>($E1125-$C1125)*100</f>
        <v/>
      </c>
      <c r="P1125" s="15">
        <f>($G1125-$E1125)*100</f>
        <v/>
      </c>
      <c r="Q1125" s="15">
        <f>($G1125-$C1125)*100</f>
        <v/>
      </c>
      <c r="R1125" s="15">
        <f>IF($H1125="","",($H1125-$F1125)*100)</f>
        <v/>
      </c>
      <c r="S1125" s="15">
        <f>IF($H1125="","",($H1125-$G1125)*100)</f>
        <v/>
      </c>
    </row>
    <row r="1126">
      <c r="A1126" s="11" t="n">
        <v>44365</v>
      </c>
      <c r="B1126" s="22" t="n">
        <v>-0.121</v>
      </c>
      <c r="C1126" s="22" t="n">
        <v>-0.123</v>
      </c>
      <c r="D1126" s="22" t="n">
        <v>-0.099</v>
      </c>
      <c r="E1126" s="22" t="n">
        <v>0.066</v>
      </c>
      <c r="F1126" s="22" t="n">
        <v>0.441</v>
      </c>
      <c r="G1126" s="22" t="n">
        <v>0.677</v>
      </c>
      <c r="H1126" s="22" t="n">
        <v>0.733</v>
      </c>
      <c r="I1126" s="22" t="n">
        <v>2.01</v>
      </c>
      <c r="J1126" s="22" t="n">
        <v>0.09</v>
      </c>
      <c r="K1126" s="22" t="n">
        <v>1.45</v>
      </c>
      <c r="L1126" s="17">
        <f>$J1126-$B1126</f>
        <v/>
      </c>
      <c r="M1126" s="17">
        <f>$I1126-$L1126</f>
        <v/>
      </c>
      <c r="N1126" s="23">
        <f>($G1126-$M1126)*100</f>
        <v/>
      </c>
      <c r="O1126" s="15">
        <f>($E1126-$C1126)*100</f>
        <v/>
      </c>
      <c r="P1126" s="15">
        <f>($G1126-$E1126)*100</f>
        <v/>
      </c>
      <c r="Q1126" s="15">
        <f>($G1126-$C1126)*100</f>
        <v/>
      </c>
      <c r="R1126" s="15">
        <f>IF($H1126="","",($H1126-$F1126)*100)</f>
        <v/>
      </c>
      <c r="S1126" s="15">
        <f>IF($H1126="","",($H1126-$G1126)*100)</f>
        <v/>
      </c>
    </row>
    <row r="1127">
      <c r="A1127" s="11" t="n">
        <v>44372</v>
      </c>
      <c r="B1127" s="22" t="n">
        <v>-0.118</v>
      </c>
      <c r="C1127" s="22" t="n">
        <v>-0.116</v>
      </c>
      <c r="D1127" s="22" t="n">
        <v>-0.1</v>
      </c>
      <c r="E1127" s="22" t="n">
        <v>0.059</v>
      </c>
      <c r="F1127" s="22" t="n">
        <v>0.438</v>
      </c>
      <c r="G1127" s="22" t="n">
        <v>0.6820000000000001</v>
      </c>
      <c r="H1127" s="22" t="n">
        <v>0.743</v>
      </c>
      <c r="I1127" s="22" t="n">
        <v>2.16</v>
      </c>
      <c r="J1127" s="22" t="n">
        <v>0.09</v>
      </c>
      <c r="K1127" s="22" t="n">
        <v>1.54</v>
      </c>
      <c r="L1127" s="17">
        <f>$J1127-$B1127</f>
        <v/>
      </c>
      <c r="M1127" s="17">
        <f>$I1127-$L1127</f>
        <v/>
      </c>
      <c r="N1127" s="23">
        <f>($G1127-$M1127)*100</f>
        <v/>
      </c>
      <c r="O1127" s="15">
        <f>($E1127-$C1127)*100</f>
        <v/>
      </c>
      <c r="P1127" s="15">
        <f>($G1127-$E1127)*100</f>
        <v/>
      </c>
      <c r="Q1127" s="15">
        <f>($G1127-$C1127)*100</f>
        <v/>
      </c>
      <c r="R1127" s="15">
        <f>IF($H1127="","",($H1127-$F1127)*100)</f>
        <v/>
      </c>
      <c r="S1127" s="15">
        <f>IF($H1127="","",($H1127-$G1127)*100)</f>
        <v/>
      </c>
    </row>
    <row r="1128">
      <c r="A1128" s="11" t="n">
        <v>44379</v>
      </c>
      <c r="B1128" s="22" t="n">
        <v>-0.11</v>
      </c>
      <c r="C1128" s="22" t="n">
        <v>-0.12</v>
      </c>
      <c r="D1128" s="22" t="n">
        <v>-0.107</v>
      </c>
      <c r="E1128" s="22" t="n">
        <v>0.042</v>
      </c>
      <c r="F1128" s="22" t="n">
        <v>0.427</v>
      </c>
      <c r="G1128" s="22" t="n">
        <v>0.672</v>
      </c>
      <c r="H1128" s="22" t="n">
        <v>0.734</v>
      </c>
      <c r="I1128" s="22" t="n">
        <v>2.05</v>
      </c>
      <c r="J1128" s="22" t="n">
        <v>0.08</v>
      </c>
      <c r="K1128" s="22" t="n">
        <v>1.44</v>
      </c>
      <c r="L1128" s="17">
        <f>$J1128-$B1128</f>
        <v/>
      </c>
      <c r="M1128" s="17">
        <f>$I1128-$L1128</f>
        <v/>
      </c>
      <c r="N1128" s="23">
        <f>($G1128-$M1128)*100</f>
        <v/>
      </c>
      <c r="O1128" s="15">
        <f>($E1128-$C1128)*100</f>
        <v/>
      </c>
      <c r="P1128" s="15">
        <f>($G1128-$E1128)*100</f>
        <v/>
      </c>
      <c r="Q1128" s="15">
        <f>($G1128-$C1128)*100</f>
        <v/>
      </c>
      <c r="R1128" s="15">
        <f>IF($H1128="","",($H1128-$F1128)*100)</f>
        <v/>
      </c>
      <c r="S1128" s="15">
        <f>IF($H1128="","",($H1128-$G1128)*100)</f>
        <v/>
      </c>
    </row>
    <row r="1129">
      <c r="A1129" s="11" t="n">
        <v>44386</v>
      </c>
      <c r="B1129" s="22" t="n">
        <v>-0.113</v>
      </c>
      <c r="C1129" s="22" t="n">
        <v>-0.117</v>
      </c>
      <c r="D1129" s="22" t="n">
        <v>-0.119</v>
      </c>
      <c r="E1129" s="22" t="n">
        <v>0.029</v>
      </c>
      <c r="F1129" s="22" t="n">
        <v>0.426</v>
      </c>
      <c r="G1129" s="22" t="n">
        <v>0.669</v>
      </c>
      <c r="H1129" s="22" t="n">
        <v>0.734</v>
      </c>
      <c r="I1129" s="22" t="n">
        <v>1.99</v>
      </c>
      <c r="J1129" s="22" t="n">
        <v>0.08</v>
      </c>
      <c r="K1129" s="22" t="n">
        <v>1.37</v>
      </c>
      <c r="L1129" s="17">
        <f>$J1129-$B1129</f>
        <v/>
      </c>
      <c r="M1129" s="17">
        <f>$I1129-$L1129</f>
        <v/>
      </c>
      <c r="N1129" s="23">
        <f>($G1129-$M1129)*100</f>
        <v/>
      </c>
      <c r="O1129" s="15">
        <f>($E1129-$C1129)*100</f>
        <v/>
      </c>
      <c r="P1129" s="15">
        <f>($G1129-$E1129)*100</f>
        <v/>
      </c>
      <c r="Q1129" s="15">
        <f>($G1129-$C1129)*100</f>
        <v/>
      </c>
      <c r="R1129" s="15">
        <f>IF($H1129="","",($H1129-$F1129)*100)</f>
        <v/>
      </c>
      <c r="S1129" s="15">
        <f>IF($H1129="","",($H1129-$G1129)*100)</f>
        <v/>
      </c>
    </row>
    <row r="1130">
      <c r="A1130" s="11" t="n">
        <v>44393</v>
      </c>
      <c r="B1130" s="22" t="n">
        <v>-0.119</v>
      </c>
      <c r="C1130" s="22" t="n">
        <v>-0.128</v>
      </c>
      <c r="D1130" s="22" t="n">
        <v>-0.123</v>
      </c>
      <c r="E1130" s="22" t="n">
        <v>0.019</v>
      </c>
      <c r="F1130" s="22" t="n">
        <v>0.397</v>
      </c>
      <c r="G1130" s="22" t="n">
        <v>0.646</v>
      </c>
      <c r="H1130" s="22" t="n">
        <v>0.717</v>
      </c>
      <c r="I1130" s="22" t="n">
        <v>1.93</v>
      </c>
      <c r="J1130" s="22" t="n">
        <v>0.08</v>
      </c>
      <c r="K1130" s="22" t="n">
        <v>1.31</v>
      </c>
      <c r="L1130" s="17">
        <f>$J1130-$B1130</f>
        <v/>
      </c>
      <c r="M1130" s="17">
        <f>$I1130-$L1130</f>
        <v/>
      </c>
      <c r="N1130" s="23">
        <f>($G1130-$M1130)*100</f>
        <v/>
      </c>
      <c r="O1130" s="15">
        <f>($E1130-$C1130)*100</f>
        <v/>
      </c>
      <c r="P1130" s="15">
        <f>($G1130-$E1130)*100</f>
        <v/>
      </c>
      <c r="Q1130" s="15">
        <f>($G1130-$C1130)*100</f>
        <v/>
      </c>
      <c r="R1130" s="15">
        <f>IF($H1130="","",($H1130-$F1130)*100)</f>
        <v/>
      </c>
      <c r="S1130" s="15">
        <f>IF($H1130="","",($H1130-$G1130)*100)</f>
        <v/>
      </c>
    </row>
    <row r="1131">
      <c r="A1131" s="11" t="n">
        <v>44400</v>
      </c>
      <c r="B1131" s="22" t="n">
        <v>-0.132</v>
      </c>
      <c r="C1131" s="22" t="n">
        <v>-0.134</v>
      </c>
      <c r="D1131" s="22" t="n">
        <v>-0.134</v>
      </c>
      <c r="E1131" s="22" t="n">
        <v>0.015</v>
      </c>
      <c r="F1131" s="22" t="n">
        <v>0.402</v>
      </c>
      <c r="G1131" s="22" t="n">
        <v>0.661</v>
      </c>
      <c r="H1131" s="22" t="n">
        <v>0.734</v>
      </c>
      <c r="I1131" s="22" t="n">
        <v>1.92</v>
      </c>
      <c r="J1131" s="22" t="n">
        <v>0.07000000000000001</v>
      </c>
      <c r="K1131" s="22" t="n">
        <v>1.3</v>
      </c>
      <c r="L1131" s="17">
        <f>$J1131-$B1131</f>
        <v/>
      </c>
      <c r="M1131" s="17">
        <f>$I1131-$L1131</f>
        <v/>
      </c>
      <c r="N1131" s="23">
        <f>($G1131-$M1131)*100</f>
        <v/>
      </c>
      <c r="O1131" s="15">
        <f>($E1131-$C1131)*100</f>
        <v/>
      </c>
      <c r="P1131" s="15">
        <f>($G1131-$E1131)*100</f>
        <v/>
      </c>
      <c r="Q1131" s="15">
        <f>($G1131-$C1131)*100</f>
        <v/>
      </c>
      <c r="R1131" s="15">
        <f>IF($H1131="","",($H1131-$F1131)*100)</f>
        <v/>
      </c>
      <c r="S1131" s="15">
        <f>IF($H1131="","",($H1131-$G1131)*100)</f>
        <v/>
      </c>
    </row>
    <row r="1132">
      <c r="A1132" s="11" t="n">
        <v>44407</v>
      </c>
      <c r="B1132" s="22" t="n">
        <v>-0.128</v>
      </c>
      <c r="C1132" s="22" t="n">
        <v>-0.125</v>
      </c>
      <c r="D1132" s="22" t="n">
        <v>-0.123</v>
      </c>
      <c r="E1132" s="22" t="n">
        <v>0.022</v>
      </c>
      <c r="F1132" s="22" t="n">
        <v>0.393</v>
      </c>
      <c r="G1132" s="22" t="n">
        <v>0.642</v>
      </c>
      <c r="H1132" s="22" t="n">
        <v>0.72</v>
      </c>
      <c r="I1132" s="22" t="n">
        <v>1.89</v>
      </c>
      <c r="J1132" s="22" t="n">
        <v>0.07000000000000001</v>
      </c>
      <c r="K1132" s="22" t="n">
        <v>1.24</v>
      </c>
      <c r="L1132" s="17">
        <f>$J1132-$B1132</f>
        <v/>
      </c>
      <c r="M1132" s="17">
        <f>$I1132-$L1132</f>
        <v/>
      </c>
      <c r="N1132" s="23">
        <f>($G1132-$M1132)*100</f>
        <v/>
      </c>
      <c r="O1132" s="15">
        <f>($E1132-$C1132)*100</f>
        <v/>
      </c>
      <c r="P1132" s="15">
        <f>($G1132-$E1132)*100</f>
        <v/>
      </c>
      <c r="Q1132" s="15">
        <f>($G1132-$C1132)*100</f>
        <v/>
      </c>
      <c r="R1132" s="15">
        <f>IF($H1132="","",($H1132-$F1132)*100)</f>
        <v/>
      </c>
      <c r="S1132" s="15">
        <f>IF($H1132="","",($H1132-$G1132)*100)</f>
        <v/>
      </c>
    </row>
    <row r="1133">
      <c r="A1133" s="11" t="n">
        <v>44414</v>
      </c>
      <c r="B1133" s="22" t="n">
        <v>-0.133</v>
      </c>
      <c r="C1133" s="22" t="n">
        <v>-0.136</v>
      </c>
      <c r="D1133" s="22" t="n">
        <v>-0.128</v>
      </c>
      <c r="E1133" s="22" t="n">
        <v>0.017</v>
      </c>
      <c r="F1133" s="22" t="n">
        <v>0.394</v>
      </c>
      <c r="G1133" s="22" t="n">
        <v>0.643</v>
      </c>
      <c r="H1133" s="22" t="n">
        <v>0.728</v>
      </c>
      <c r="I1133" s="22" t="n">
        <v>1.94</v>
      </c>
      <c r="J1133" s="22" t="n">
        <v>0.09</v>
      </c>
      <c r="K1133" s="22" t="n">
        <v>1.31</v>
      </c>
      <c r="L1133" s="17">
        <f>$J1133-$B1133</f>
        <v/>
      </c>
      <c r="M1133" s="17">
        <f>$I1133-$L1133</f>
        <v/>
      </c>
      <c r="N1133" s="23">
        <f>($G1133-$M1133)*100</f>
        <v/>
      </c>
      <c r="O1133" s="15">
        <f>($E1133-$C1133)*100</f>
        <v/>
      </c>
      <c r="P1133" s="15">
        <f>($G1133-$E1133)*100</f>
        <v/>
      </c>
      <c r="Q1133" s="15">
        <f>($G1133-$C1133)*100</f>
        <v/>
      </c>
      <c r="R1133" s="15">
        <f>IF($H1133="","",($H1133-$F1133)*100)</f>
        <v/>
      </c>
      <c r="S1133" s="15">
        <f>IF($H1133="","",($H1133-$G1133)*100)</f>
        <v/>
      </c>
    </row>
    <row r="1134">
      <c r="A1134" s="11" t="n">
        <v>44421</v>
      </c>
      <c r="B1134" s="22" t="n">
        <v>-0.131</v>
      </c>
      <c r="C1134" s="22" t="n">
        <v>-0.136</v>
      </c>
      <c r="D1134" s="22" t="n">
        <v>-0.124</v>
      </c>
      <c r="E1134" s="22" t="n">
        <v>0.029</v>
      </c>
      <c r="F1134" s="22" t="n">
        <v>0.409</v>
      </c>
      <c r="G1134" s="22" t="n">
        <v>0.653</v>
      </c>
      <c r="H1134" s="22" t="n">
        <v>0.733</v>
      </c>
      <c r="I1134" s="22" t="n">
        <v>1.94</v>
      </c>
      <c r="J1134" s="22" t="n">
        <v>0.08</v>
      </c>
      <c r="K1134" s="22" t="n">
        <v>1.29</v>
      </c>
      <c r="L1134" s="17">
        <f>$J1134-$B1134</f>
        <v/>
      </c>
      <c r="M1134" s="17">
        <f>$I1134-$L1134</f>
        <v/>
      </c>
      <c r="N1134" s="23">
        <f>($G1134-$M1134)*100</f>
        <v/>
      </c>
      <c r="O1134" s="15">
        <f>($E1134-$C1134)*100</f>
        <v/>
      </c>
      <c r="P1134" s="15">
        <f>($G1134-$E1134)*100</f>
        <v/>
      </c>
      <c r="Q1134" s="15">
        <f>($G1134-$C1134)*100</f>
        <v/>
      </c>
      <c r="R1134" s="15">
        <f>IF($H1134="","",($H1134-$F1134)*100)</f>
        <v/>
      </c>
      <c r="S1134" s="15">
        <f>IF($H1134="","",($H1134-$G1134)*100)</f>
        <v/>
      </c>
    </row>
    <row r="1135">
      <c r="A1135" s="11" t="n">
        <v>44428</v>
      </c>
      <c r="B1135" s="22" t="n">
        <v>-0.138</v>
      </c>
      <c r="C1135" s="22" t="n">
        <v>-0.142</v>
      </c>
      <c r="D1135" s="22" t="n">
        <v>-0.129</v>
      </c>
      <c r="E1135" s="22" t="n">
        <v>0.013</v>
      </c>
      <c r="F1135" s="22" t="n">
        <v>0.4</v>
      </c>
      <c r="G1135" s="22" t="n">
        <v>0.652</v>
      </c>
      <c r="H1135" s="22" t="n">
        <v>0.724</v>
      </c>
      <c r="I1135" s="22" t="n">
        <v>1.87</v>
      </c>
      <c r="J1135" s="22" t="n">
        <v>0.06</v>
      </c>
      <c r="K1135" s="22" t="n">
        <v>1.26</v>
      </c>
      <c r="L1135" s="17">
        <f>$J1135-$B1135</f>
        <v/>
      </c>
      <c r="M1135" s="17">
        <f>$I1135-$L1135</f>
        <v/>
      </c>
      <c r="N1135" s="23">
        <f>($G1135-$M1135)*100</f>
        <v/>
      </c>
      <c r="O1135" s="15">
        <f>($E1135-$C1135)*100</f>
        <v/>
      </c>
      <c r="P1135" s="15">
        <f>($G1135-$E1135)*100</f>
        <v/>
      </c>
      <c r="Q1135" s="15">
        <f>($G1135-$C1135)*100</f>
        <v/>
      </c>
      <c r="R1135" s="15">
        <f>IF($H1135="","",($H1135-$F1135)*100)</f>
        <v/>
      </c>
      <c r="S1135" s="15">
        <f>IF($H1135="","",($H1135-$G1135)*100)</f>
        <v/>
      </c>
    </row>
    <row r="1136">
      <c r="A1136" s="11" t="n">
        <v>44435</v>
      </c>
      <c r="B1136" s="22" t="n">
        <v>-0.135</v>
      </c>
      <c r="C1136" s="22" t="n">
        <v>-0.133</v>
      </c>
      <c r="D1136" s="22" t="n">
        <v>-0.115</v>
      </c>
      <c r="E1136" s="22" t="n">
        <v>0.029</v>
      </c>
      <c r="F1136" s="22" t="n">
        <v>0.412</v>
      </c>
      <c r="G1136" s="22" t="n">
        <v>0.648</v>
      </c>
      <c r="H1136" s="22" t="n">
        <v>0.724</v>
      </c>
      <c r="I1136" s="22" t="n">
        <v>1.91</v>
      </c>
      <c r="J1136" s="22" t="n">
        <v>0.07000000000000001</v>
      </c>
      <c r="K1136" s="22" t="n">
        <v>1.31</v>
      </c>
      <c r="L1136" s="17">
        <f>$J1136-$B1136</f>
        <v/>
      </c>
      <c r="M1136" s="17">
        <f>$I1136-$L1136</f>
        <v/>
      </c>
      <c r="N1136" s="23">
        <f>($G1136-$M1136)*100</f>
        <v/>
      </c>
      <c r="O1136" s="15">
        <f>($E1136-$C1136)*100</f>
        <v/>
      </c>
      <c r="P1136" s="15">
        <f>($G1136-$E1136)*100</f>
        <v/>
      </c>
      <c r="Q1136" s="15">
        <f>($G1136-$C1136)*100</f>
        <v/>
      </c>
      <c r="R1136" s="15">
        <f>IF($H1136="","",($H1136-$F1136)*100)</f>
        <v/>
      </c>
      <c r="S1136" s="15">
        <f>IF($H1136="","",($H1136-$G1136)*100)</f>
        <v/>
      </c>
    </row>
    <row r="1137">
      <c r="A1137" s="11" t="n">
        <v>44442</v>
      </c>
      <c r="B1137" s="22" t="n">
        <v>-0.122</v>
      </c>
      <c r="C1137" s="22" t="n">
        <v>-0.125</v>
      </c>
      <c r="D1137" s="22" t="n">
        <v>-0.104</v>
      </c>
      <c r="E1137" s="22" t="n">
        <v>0.046</v>
      </c>
      <c r="F1137" s="22" t="n">
        <v>0.418</v>
      </c>
      <c r="G1137" s="22" t="n">
        <v>0.654</v>
      </c>
      <c r="H1137" s="22" t="n">
        <v>0.734</v>
      </c>
      <c r="I1137" s="22" t="n">
        <v>1.94</v>
      </c>
      <c r="J1137" s="22" t="n">
        <v>0.08</v>
      </c>
      <c r="K1137" s="22" t="n">
        <v>1.33</v>
      </c>
      <c r="L1137" s="17">
        <f>$J1137-$B1137</f>
        <v/>
      </c>
      <c r="M1137" s="17">
        <f>$I1137-$L1137</f>
        <v/>
      </c>
      <c r="N1137" s="23">
        <f>($G1137-$M1137)*100</f>
        <v/>
      </c>
      <c r="O1137" s="15">
        <f>($E1137-$C1137)*100</f>
        <v/>
      </c>
      <c r="P1137" s="15">
        <f>($G1137-$E1137)*100</f>
        <v/>
      </c>
      <c r="Q1137" s="15">
        <f>($G1137-$C1137)*100</f>
        <v/>
      </c>
      <c r="R1137" s="15">
        <f>IF($H1137="","",($H1137-$F1137)*100)</f>
        <v/>
      </c>
      <c r="S1137" s="15">
        <f>IF($H1137="","",($H1137-$G1137)*100)</f>
        <v/>
      </c>
    </row>
    <row r="1138">
      <c r="A1138" s="11" t="n">
        <v>44449</v>
      </c>
      <c r="B1138" s="22" t="n">
        <v>-0.118</v>
      </c>
      <c r="C1138" s="22" t="n">
        <v>-0.125</v>
      </c>
      <c r="D1138" s="22" t="n">
        <v>-0.101</v>
      </c>
      <c r="E1138" s="22" t="n">
        <v>0.051</v>
      </c>
      <c r="F1138" s="22" t="n">
        <v>0.431</v>
      </c>
      <c r="G1138" s="22" t="n">
        <v>0.657</v>
      </c>
      <c r="H1138" s="22" t="n">
        <v>0.734</v>
      </c>
      <c r="I1138" s="22" t="n">
        <v>1.94</v>
      </c>
      <c r="J1138" s="22" t="n">
        <v>0.08</v>
      </c>
      <c r="K1138" s="22" t="n">
        <v>1.35</v>
      </c>
      <c r="L1138" s="17">
        <f>$J1138-$B1138</f>
        <v/>
      </c>
      <c r="M1138" s="17">
        <f>$I1138-$L1138</f>
        <v/>
      </c>
      <c r="N1138" s="23">
        <f>($G1138-$M1138)*100</f>
        <v/>
      </c>
      <c r="O1138" s="15">
        <f>($E1138-$C1138)*100</f>
        <v/>
      </c>
      <c r="P1138" s="15">
        <f>($G1138-$E1138)*100</f>
        <v/>
      </c>
      <c r="Q1138" s="15">
        <f>($G1138-$C1138)*100</f>
        <v/>
      </c>
      <c r="R1138" s="15">
        <f>IF($H1138="","",($H1138-$F1138)*100)</f>
        <v/>
      </c>
      <c r="S1138" s="15">
        <f>IF($H1138="","",($H1138-$G1138)*100)</f>
        <v/>
      </c>
    </row>
    <row r="1139">
      <c r="A1139" s="11" t="n">
        <v>44456</v>
      </c>
      <c r="B1139" s="22" t="n">
        <v>-0.12</v>
      </c>
      <c r="C1139" s="22" t="n">
        <v>-0.127</v>
      </c>
      <c r="D1139" s="22" t="n">
        <v>-0.095</v>
      </c>
      <c r="E1139" s="22" t="n">
        <v>0.057</v>
      </c>
      <c r="F1139" s="22" t="n">
        <v>0.436</v>
      </c>
      <c r="G1139" s="22" t="n">
        <v>0.657</v>
      </c>
      <c r="H1139" s="22" t="n">
        <v>0.729</v>
      </c>
      <c r="I1139" s="22" t="n">
        <v>1.91</v>
      </c>
      <c r="J1139" s="22" t="n">
        <v>0.07000000000000001</v>
      </c>
      <c r="K1139" s="22" t="n">
        <v>1.37</v>
      </c>
      <c r="L1139" s="17">
        <f>$J1139-$B1139</f>
        <v/>
      </c>
      <c r="M1139" s="17">
        <f>$I1139-$L1139</f>
        <v/>
      </c>
      <c r="N1139" s="23">
        <f>($G1139-$M1139)*100</f>
        <v/>
      </c>
      <c r="O1139" s="15">
        <f>($E1139-$C1139)*100</f>
        <v/>
      </c>
      <c r="P1139" s="15">
        <f>($G1139-$E1139)*100</f>
        <v/>
      </c>
      <c r="Q1139" s="15">
        <f>($G1139-$C1139)*100</f>
        <v/>
      </c>
      <c r="R1139" s="15">
        <f>IF($H1139="","",($H1139-$F1139)*100)</f>
        <v/>
      </c>
      <c r="S1139" s="15">
        <f>IF($H1139="","",($H1139-$G1139)*100)</f>
        <v/>
      </c>
    </row>
    <row r="1140">
      <c r="A1140" s="11" t="n">
        <v>44463</v>
      </c>
      <c r="B1140" s="22" t="n">
        <v>-0.125</v>
      </c>
      <c r="C1140" s="22" t="n">
        <v>-0.128</v>
      </c>
      <c r="D1140" s="22" t="n">
        <v>-0.091</v>
      </c>
      <c r="E1140" s="22" t="n">
        <v>0.063</v>
      </c>
      <c r="F1140" s="22" t="n">
        <v>0.446</v>
      </c>
      <c r="G1140" s="22" t="n">
        <v>0.676</v>
      </c>
      <c r="H1140" s="22" t="n">
        <v>0.752</v>
      </c>
      <c r="I1140" s="22" t="n">
        <v>1.99</v>
      </c>
      <c r="J1140" s="22" t="n">
        <v>0.08</v>
      </c>
      <c r="K1140" s="22" t="n">
        <v>1.47</v>
      </c>
      <c r="L1140" s="17">
        <f>$J1140-$B1140</f>
        <v/>
      </c>
      <c r="M1140" s="17">
        <f>$I1140-$L1140</f>
        <v/>
      </c>
      <c r="N1140" s="23">
        <f>($G1140-$M1140)*100</f>
        <v/>
      </c>
      <c r="O1140" s="15">
        <f>($E1140-$C1140)*100</f>
        <v/>
      </c>
      <c r="P1140" s="15">
        <f>($G1140-$E1140)*100</f>
        <v/>
      </c>
      <c r="Q1140" s="15">
        <f>($G1140-$C1140)*100</f>
        <v/>
      </c>
      <c r="R1140" s="15">
        <f>IF($H1140="","",($H1140-$F1140)*100)</f>
        <v/>
      </c>
      <c r="S1140" s="15">
        <f>IF($H1140="","",($H1140-$G1140)*100)</f>
        <v/>
      </c>
    </row>
    <row r="1141">
      <c r="A1141" s="11" t="n">
        <v>44470</v>
      </c>
      <c r="B1141" s="22" t="n">
        <v>-0.12</v>
      </c>
      <c r="C1141" s="22" t="n">
        <v>-0.125</v>
      </c>
      <c r="D1141" s="22" t="n">
        <v>-0.095</v>
      </c>
      <c r="E1141" s="22" t="n">
        <v>0.064</v>
      </c>
      <c r="F1141" s="22" t="n">
        <v>0.433</v>
      </c>
      <c r="G1141" s="22" t="n">
        <v>0.663</v>
      </c>
      <c r="H1141" s="22" t="n">
        <v>0.743</v>
      </c>
      <c r="I1141" s="22" t="n">
        <v>2.04</v>
      </c>
      <c r="J1141" s="22" t="n">
        <v>0.09</v>
      </c>
      <c r="K1141" s="22" t="n">
        <v>1.48</v>
      </c>
      <c r="L1141" s="17">
        <f>$J1141-$B1141</f>
        <v/>
      </c>
      <c r="M1141" s="17">
        <f>$I1141-$L1141</f>
        <v/>
      </c>
      <c r="N1141" s="23">
        <f>($G1141-$M1141)*100</f>
        <v/>
      </c>
      <c r="O1141" s="15">
        <f>($E1141-$C1141)*100</f>
        <v/>
      </c>
      <c r="P1141" s="15">
        <f>($G1141-$E1141)*100</f>
        <v/>
      </c>
      <c r="Q1141" s="15">
        <f>($G1141-$C1141)*100</f>
        <v/>
      </c>
      <c r="R1141" s="15">
        <f>IF($H1141="","",($H1141-$F1141)*100)</f>
        <v/>
      </c>
      <c r="S1141" s="15">
        <f>IF($H1141="","",($H1141-$G1141)*100)</f>
        <v/>
      </c>
    </row>
    <row r="1142">
      <c r="A1142" s="11" t="n">
        <v>44477</v>
      </c>
      <c r="B1142" s="22" t="n">
        <v>-0.114</v>
      </c>
      <c r="C1142" s="22" t="n">
        <v>-0.116</v>
      </c>
      <c r="D1142" s="22" t="n">
        <v>-0.079</v>
      </c>
      <c r="E1142" s="22" t="n">
        <v>0.083</v>
      </c>
      <c r="F1142" s="22" t="n">
        <v>0.465</v>
      </c>
      <c r="G1142" s="22" t="n">
        <v>0.6899999999999999</v>
      </c>
      <c r="H1142" s="22" t="n">
        <v>0.775</v>
      </c>
      <c r="I1142" s="22" t="n">
        <v>2.16</v>
      </c>
      <c r="J1142" s="22" t="n">
        <v>0.09</v>
      </c>
      <c r="K1142" s="22" t="n">
        <v>1.61</v>
      </c>
      <c r="L1142" s="17">
        <f>$J1142-$B1142</f>
        <v/>
      </c>
      <c r="M1142" s="17">
        <f>$I1142-$L1142</f>
        <v/>
      </c>
      <c r="N1142" s="23">
        <f>($G1142-$M1142)*100</f>
        <v/>
      </c>
      <c r="O1142" s="15">
        <f>($E1142-$C1142)*100</f>
        <v/>
      </c>
      <c r="P1142" s="15">
        <f>($G1142-$E1142)*100</f>
        <v/>
      </c>
      <c r="Q1142" s="15">
        <f>($G1142-$C1142)*100</f>
        <v/>
      </c>
      <c r="R1142" s="15">
        <f>IF($H1142="","",($H1142-$F1142)*100)</f>
        <v/>
      </c>
      <c r="S1142" s="15">
        <f>IF($H1142="","",($H1142-$G1142)*100)</f>
        <v/>
      </c>
    </row>
    <row r="1143">
      <c r="A1143" s="11" t="n">
        <v>44484</v>
      </c>
      <c r="B1143" s="22" t="n">
        <v>-0.119</v>
      </c>
      <c r="C1143" s="22" t="n">
        <v>-0.117</v>
      </c>
      <c r="D1143" s="22" t="n">
        <v>-0.083</v>
      </c>
      <c r="E1143" s="22" t="n">
        <v>0.079</v>
      </c>
      <c r="F1143" s="22" t="n">
        <v>0.468</v>
      </c>
      <c r="G1143" s="22" t="n">
        <v>0.6879999999999999</v>
      </c>
      <c r="H1143" s="22" t="n">
        <v>0.758</v>
      </c>
      <c r="I1143" s="22" t="n">
        <v>2.05</v>
      </c>
      <c r="J1143" s="22" t="n">
        <v>0.12</v>
      </c>
      <c r="K1143" s="22" t="n">
        <v>1.59</v>
      </c>
      <c r="L1143" s="17">
        <f>$J1143-$B1143</f>
        <v/>
      </c>
      <c r="M1143" s="17">
        <f>$I1143-$L1143</f>
        <v/>
      </c>
      <c r="N1143" s="23">
        <f>($G1143-$M1143)*100</f>
        <v/>
      </c>
      <c r="O1143" s="15">
        <f>($E1143-$C1143)*100</f>
        <v/>
      </c>
      <c r="P1143" s="15">
        <f>($G1143-$E1143)*100</f>
        <v/>
      </c>
      <c r="Q1143" s="15">
        <f>($G1143-$C1143)*100</f>
        <v/>
      </c>
      <c r="R1143" s="15">
        <f>IF($H1143="","",($H1143-$F1143)*100)</f>
        <v/>
      </c>
      <c r="S1143" s="15">
        <f>IF($H1143="","",($H1143-$G1143)*100)</f>
        <v/>
      </c>
    </row>
    <row r="1144">
      <c r="A1144" s="11" t="n">
        <v>44491</v>
      </c>
      <c r="B1144" s="22" t="n">
        <v>-0.117</v>
      </c>
      <c r="C1144" s="22" t="n">
        <v>-0.114</v>
      </c>
      <c r="D1144" s="22" t="n">
        <v>-0.067</v>
      </c>
      <c r="E1144" s="22" t="n">
        <v>0.095</v>
      </c>
      <c r="F1144" s="22" t="n">
        <v>0.488</v>
      </c>
      <c r="G1144" s="22" t="n">
        <v>0.702</v>
      </c>
      <c r="H1144" s="22" t="n">
        <v>0.764</v>
      </c>
      <c r="I1144" s="22" t="n">
        <v>2.08</v>
      </c>
      <c r="J1144" s="22" t="n">
        <v>0.13</v>
      </c>
      <c r="K1144" s="22" t="n">
        <v>1.66</v>
      </c>
      <c r="L1144" s="17">
        <f>$J1144-$B1144</f>
        <v/>
      </c>
      <c r="M1144" s="17">
        <f>$I1144-$L1144</f>
        <v/>
      </c>
      <c r="N1144" s="23">
        <f>($G1144-$M1144)*100</f>
        <v/>
      </c>
      <c r="O1144" s="15">
        <f>($E1144-$C1144)*100</f>
        <v/>
      </c>
      <c r="P1144" s="15">
        <f>($G1144-$E1144)*100</f>
        <v/>
      </c>
      <c r="Q1144" s="15">
        <f>($G1144-$C1144)*100</f>
        <v/>
      </c>
      <c r="R1144" s="15">
        <f>IF($H1144="","",($H1144-$F1144)*100)</f>
        <v/>
      </c>
      <c r="S1144" s="15">
        <f>IF($H1144="","",($H1144-$G1144)*100)</f>
        <v/>
      </c>
    </row>
    <row r="1145">
      <c r="A1145" s="11" t="n">
        <v>44498</v>
      </c>
      <c r="B1145" s="22" t="n">
        <v>-0.109</v>
      </c>
      <c r="C1145" s="22" t="n">
        <v>-0.105</v>
      </c>
      <c r="D1145" s="22" t="n">
        <v>-0.073</v>
      </c>
      <c r="E1145" s="22" t="n">
        <v>0.101</v>
      </c>
      <c r="F1145" s="22" t="n">
        <v>0.474</v>
      </c>
      <c r="G1145" s="22" t="n">
        <v>0.674</v>
      </c>
      <c r="H1145" s="22" t="n">
        <v>0.71</v>
      </c>
      <c r="I1145" s="22" t="n">
        <v>1.93</v>
      </c>
      <c r="J1145" s="22" t="n">
        <v>0.15</v>
      </c>
      <c r="K1145" s="22" t="n">
        <v>1.55</v>
      </c>
      <c r="L1145" s="17">
        <f>$J1145-$B1145</f>
        <v/>
      </c>
      <c r="M1145" s="17">
        <f>$I1145-$L1145</f>
        <v/>
      </c>
      <c r="N1145" s="23">
        <f>($G1145-$M1145)*100</f>
        <v/>
      </c>
      <c r="O1145" s="15">
        <f>($E1145-$C1145)*100</f>
        <v/>
      </c>
      <c r="P1145" s="15">
        <f>($G1145-$E1145)*100</f>
        <v/>
      </c>
      <c r="Q1145" s="15">
        <f>($G1145-$C1145)*100</f>
        <v/>
      </c>
      <c r="R1145" s="15">
        <f>IF($H1145="","",($H1145-$F1145)*100)</f>
        <v/>
      </c>
      <c r="S1145" s="15">
        <f>IF($H1145="","",($H1145-$G1145)*100)</f>
        <v/>
      </c>
    </row>
    <row r="1146">
      <c r="A1146" s="11" t="n">
        <v>44505</v>
      </c>
      <c r="B1146" s="22" t="n">
        <v>-0.112</v>
      </c>
      <c r="C1146" s="22" t="n">
        <v>-0.11</v>
      </c>
      <c r="D1146" s="22" t="n">
        <v>-0.098</v>
      </c>
      <c r="E1146" s="22" t="n">
        <v>0.067</v>
      </c>
      <c r="F1146" s="22" t="n">
        <v>0.445</v>
      </c>
      <c r="G1146" s="22" t="n">
        <v>0.679</v>
      </c>
      <c r="H1146" s="22" t="n">
        <v>0.727</v>
      </c>
      <c r="I1146" s="22" t="n">
        <v>1.87</v>
      </c>
      <c r="J1146" s="22" t="n">
        <v>0.14</v>
      </c>
      <c r="K1146" s="22" t="n">
        <v>1.45</v>
      </c>
      <c r="L1146" s="17">
        <f>$J1146-$B1146</f>
        <v/>
      </c>
      <c r="M1146" s="17">
        <f>$I1146-$L1146</f>
        <v/>
      </c>
      <c r="N1146" s="23">
        <f>($G1146-$M1146)*100</f>
        <v/>
      </c>
      <c r="O1146" s="15">
        <f>($E1146-$C1146)*100</f>
        <v/>
      </c>
      <c r="P1146" s="15">
        <f>($G1146-$E1146)*100</f>
        <v/>
      </c>
      <c r="Q1146" s="15">
        <f>($G1146-$C1146)*100</f>
        <v/>
      </c>
      <c r="R1146" s="15">
        <f>IF($H1146="","",($H1146-$F1146)*100)</f>
        <v/>
      </c>
      <c r="S1146" s="15">
        <f>IF($H1146="","",($H1146-$G1146)*100)</f>
        <v/>
      </c>
    </row>
    <row r="1147">
      <c r="A1147" s="11" t="n">
        <v>44512</v>
      </c>
      <c r="B1147" s="22" t="n">
        <v>-0.117</v>
      </c>
      <c r="C1147" s="22" t="n">
        <v>-0.116</v>
      </c>
      <c r="D1147" s="22" t="n">
        <v>-0.079</v>
      </c>
      <c r="E1147" s="22" t="n">
        <v>0.078</v>
      </c>
      <c r="F1147" s="22" t="n">
        <v>0.47</v>
      </c>
      <c r="G1147" s="22" t="n">
        <v>0.679</v>
      </c>
      <c r="H1147" s="22" t="n">
        <v>0.719</v>
      </c>
      <c r="I1147" s="22" t="n">
        <v>1.95</v>
      </c>
      <c r="J1147" s="22" t="n">
        <v>0.17</v>
      </c>
      <c r="K1147" s="22" t="n">
        <v>1.58</v>
      </c>
      <c r="L1147" s="17">
        <f>$J1147-$B1147</f>
        <v/>
      </c>
      <c r="M1147" s="17">
        <f>$I1147-$L1147</f>
        <v/>
      </c>
      <c r="N1147" s="23">
        <f>($G1147-$M1147)*100</f>
        <v/>
      </c>
      <c r="O1147" s="15">
        <f>($E1147-$C1147)*100</f>
        <v/>
      </c>
      <c r="P1147" s="15">
        <f>($G1147-$E1147)*100</f>
        <v/>
      </c>
      <c r="Q1147" s="15">
        <f>($G1147-$C1147)*100</f>
        <v/>
      </c>
      <c r="R1147" s="15">
        <f>IF($H1147="","",($H1147-$F1147)*100)</f>
        <v/>
      </c>
      <c r="S1147" s="15">
        <f>IF($H1147="","",($H1147-$G1147)*100)</f>
        <v/>
      </c>
    </row>
    <row r="1148">
      <c r="A1148" s="11" t="n">
        <v>44519</v>
      </c>
      <c r="B1148" s="22" t="n">
        <v>-0.136</v>
      </c>
      <c r="C1148" s="22" t="n">
        <v>-0.129</v>
      </c>
      <c r="D1148" s="22" t="n">
        <v>-0.078</v>
      </c>
      <c r="E1148" s="22" t="n">
        <v>0.083</v>
      </c>
      <c r="F1148" s="22" t="n">
        <v>0.465</v>
      </c>
      <c r="G1148" s="22" t="n">
        <v>0.675</v>
      </c>
      <c r="H1148" s="22" t="n">
        <v>0.729</v>
      </c>
      <c r="I1148" s="22" t="n">
        <v>1.91</v>
      </c>
      <c r="J1148" s="22" t="n">
        <v>0.18</v>
      </c>
      <c r="K1148" s="22" t="n">
        <v>1.54</v>
      </c>
      <c r="L1148" s="17">
        <f>$J1148-$B1148</f>
        <v/>
      </c>
      <c r="M1148" s="17">
        <f>$I1148-$L1148</f>
        <v/>
      </c>
      <c r="N1148" s="23">
        <f>($G1148-$M1148)*100</f>
        <v/>
      </c>
      <c r="O1148" s="15">
        <f>($E1148-$C1148)*100</f>
        <v/>
      </c>
      <c r="P1148" s="15">
        <f>($G1148-$E1148)*100</f>
        <v/>
      </c>
      <c r="Q1148" s="15">
        <f>($G1148-$C1148)*100</f>
        <v/>
      </c>
      <c r="R1148" s="15">
        <f>IF($H1148="","",($H1148-$F1148)*100)</f>
        <v/>
      </c>
      <c r="S1148" s="15">
        <f>IF($H1148="","",($H1148-$G1148)*100)</f>
        <v/>
      </c>
    </row>
    <row r="1149">
      <c r="A1149" s="11" t="n">
        <v>44526</v>
      </c>
      <c r="B1149" s="22" t="n">
        <v>-0.14</v>
      </c>
      <c r="C1149" s="22" t="n">
        <v>-0.132</v>
      </c>
      <c r="D1149" s="22" t="n">
        <v>-0.081</v>
      </c>
      <c r="E1149" s="22" t="n">
        <v>0.079</v>
      </c>
      <c r="F1149" s="22" t="n">
        <v>0.471</v>
      </c>
      <c r="G1149" s="22" t="n">
        <v>0.678</v>
      </c>
      <c r="H1149" s="22" t="n">
        <v>0.728</v>
      </c>
      <c r="I1149" s="22" t="n">
        <v>1.83</v>
      </c>
      <c r="J1149" s="22" t="n">
        <v>0.2</v>
      </c>
      <c r="K1149" s="22" t="n">
        <v>1.48</v>
      </c>
      <c r="L1149" s="17">
        <f>$J1149-$B1149</f>
        <v/>
      </c>
      <c r="M1149" s="17">
        <f>$I1149-$L1149</f>
        <v/>
      </c>
      <c r="N1149" s="23">
        <f>($G1149-$M1149)*100</f>
        <v/>
      </c>
      <c r="O1149" s="15">
        <f>($E1149-$C1149)*100</f>
        <v/>
      </c>
      <c r="P1149" s="15">
        <f>($G1149-$E1149)*100</f>
        <v/>
      </c>
      <c r="Q1149" s="15">
        <f>($G1149-$C1149)*100</f>
        <v/>
      </c>
      <c r="R1149" s="15">
        <f>IF($H1149="","",($H1149-$F1149)*100)</f>
        <v/>
      </c>
      <c r="S1149" s="15">
        <f>IF($H1149="","",($H1149-$G1149)*100)</f>
        <v/>
      </c>
    </row>
    <row r="1150">
      <c r="A1150" s="11" t="n">
        <v>44533</v>
      </c>
      <c r="B1150" s="22" t="n">
        <v>-0.121</v>
      </c>
      <c r="C1150" s="22" t="n">
        <v>-0.115</v>
      </c>
      <c r="D1150" s="22" t="n">
        <v>-0.099</v>
      </c>
      <c r="E1150" s="22" t="n">
        <v>0.063</v>
      </c>
      <c r="F1150" s="22" t="n">
        <v>0.458</v>
      </c>
      <c r="G1150" s="22" t="n">
        <v>0.67</v>
      </c>
      <c r="H1150" s="22" t="n">
        <v>0.714</v>
      </c>
      <c r="I1150" s="22" t="n">
        <v>1.69</v>
      </c>
      <c r="J1150" s="22" t="n">
        <v>0.26</v>
      </c>
      <c r="K1150" s="22" t="n">
        <v>1.35</v>
      </c>
      <c r="L1150" s="17">
        <f>$J1150-$B1150</f>
        <v/>
      </c>
      <c r="M1150" s="17">
        <f>$I1150-$L1150</f>
        <v/>
      </c>
      <c r="N1150" s="23">
        <f>($G1150-$M1150)*100</f>
        <v/>
      </c>
      <c r="O1150" s="15">
        <f>($E1150-$C1150)*100</f>
        <v/>
      </c>
      <c r="P1150" s="15">
        <f>($G1150-$E1150)*100</f>
        <v/>
      </c>
      <c r="Q1150" s="15">
        <f>($G1150-$C1150)*100</f>
        <v/>
      </c>
      <c r="R1150" s="15">
        <f>IF($H1150="","",($H1150-$F1150)*100)</f>
        <v/>
      </c>
      <c r="S1150" s="15">
        <f>IF($H1150="","",($H1150-$G1150)*100)</f>
        <v/>
      </c>
    </row>
    <row r="1151">
      <c r="A1151" s="11" t="n">
        <v>44540</v>
      </c>
      <c r="B1151" s="22" t="n">
        <v>-0.113</v>
      </c>
      <c r="C1151" s="22" t="n">
        <v>-0.107</v>
      </c>
      <c r="D1151" s="22" t="n">
        <v>-0.08699999999999999</v>
      </c>
      <c r="E1151" s="22" t="n">
        <v>0.063</v>
      </c>
      <c r="F1151" s="22" t="n">
        <v>0.463</v>
      </c>
      <c r="G1151" s="22" t="n">
        <v>0.675</v>
      </c>
      <c r="H1151" s="22" t="n">
        <v>0.722</v>
      </c>
      <c r="I1151" s="22" t="n">
        <v>1.88</v>
      </c>
      <c r="J1151" s="22" t="n">
        <v>0.27</v>
      </c>
      <c r="K1151" s="22" t="n">
        <v>1.48</v>
      </c>
      <c r="L1151" s="17">
        <f>$J1151-$B1151</f>
        <v/>
      </c>
      <c r="M1151" s="17">
        <f>$I1151-$L1151</f>
        <v/>
      </c>
      <c r="N1151" s="23">
        <f>($G1151-$M1151)*100</f>
        <v/>
      </c>
      <c r="O1151" s="15">
        <f>($E1151-$C1151)*100</f>
        <v/>
      </c>
      <c r="P1151" s="15">
        <f>($G1151-$E1151)*100</f>
        <v/>
      </c>
      <c r="Q1151" s="15">
        <f>($G1151-$C1151)*100</f>
        <v/>
      </c>
      <c r="R1151" s="15">
        <f>IF($H1151="","",($H1151-$F1151)*100)</f>
        <v/>
      </c>
      <c r="S1151" s="15">
        <f>IF($H1151="","",($H1151-$G1151)*100)</f>
        <v/>
      </c>
    </row>
    <row r="1152">
      <c r="A1152" s="11" t="n">
        <v>44547</v>
      </c>
      <c r="B1152" s="22" t="n">
        <v>-0.11</v>
      </c>
      <c r="C1152" s="22" t="n">
        <v>-0.112</v>
      </c>
      <c r="D1152" s="22" t="n">
        <v>-0.101</v>
      </c>
      <c r="E1152" s="22" t="n">
        <v>0.06</v>
      </c>
      <c r="F1152" s="22" t="n">
        <v>0.453</v>
      </c>
      <c r="G1152" s="22" t="n">
        <v>0.659</v>
      </c>
      <c r="H1152" s="22" t="n">
        <v>0.709</v>
      </c>
      <c r="I1152" s="22" t="n">
        <v>1.82</v>
      </c>
      <c r="J1152" s="22" t="n">
        <v>0.27</v>
      </c>
      <c r="K1152" s="22" t="n">
        <v>1.41</v>
      </c>
      <c r="L1152" s="17">
        <f>$J1152-$B1152</f>
        <v/>
      </c>
      <c r="M1152" s="17">
        <f>$I1152-$L1152</f>
        <v/>
      </c>
      <c r="N1152" s="23">
        <f>($G1152-$M1152)*100</f>
        <v/>
      </c>
      <c r="O1152" s="15">
        <f>($E1152-$C1152)*100</f>
        <v/>
      </c>
      <c r="P1152" s="15">
        <f>($G1152-$E1152)*100</f>
        <v/>
      </c>
      <c r="Q1152" s="15">
        <f>($G1152-$C1152)*100</f>
        <v/>
      </c>
      <c r="R1152" s="15">
        <f>IF($H1152="","",($H1152-$F1152)*100)</f>
        <v/>
      </c>
      <c r="S1152" s="15">
        <f>IF($H1152="","",($H1152-$G1152)*100)</f>
        <v/>
      </c>
    </row>
    <row r="1153">
      <c r="A1153" s="11" t="n">
        <v>44554</v>
      </c>
      <c r="B1153" s="22" t="n">
        <v>-0.098</v>
      </c>
      <c r="C1153" s="22" t="n">
        <v>-0.099</v>
      </c>
      <c r="D1153" s="22" t="n">
        <v>-0.08799999999999999</v>
      </c>
      <c r="E1153" s="22" t="n">
        <v>0.079</v>
      </c>
      <c r="F1153" s="22" t="n">
        <v>0.477</v>
      </c>
      <c r="G1153" s="22" t="n">
        <v>0.679</v>
      </c>
      <c r="H1153" s="22" t="n">
        <v>0.737</v>
      </c>
      <c r="I1153" s="22" t="n">
        <v>1.91</v>
      </c>
      <c r="J1153" s="22" t="n">
        <v>0.31</v>
      </c>
      <c r="K1153" s="22" t="n">
        <v>1.5</v>
      </c>
      <c r="L1153" s="17">
        <f>$J1153-$B1153</f>
        <v/>
      </c>
      <c r="M1153" s="17">
        <f>$I1153-$L1153</f>
        <v/>
      </c>
      <c r="N1153" s="23">
        <f>($G1153-$M1153)*100</f>
        <v/>
      </c>
      <c r="O1153" s="15">
        <f>($E1153-$C1153)*100</f>
        <v/>
      </c>
      <c r="P1153" s="15">
        <f>($G1153-$E1153)*100</f>
        <v/>
      </c>
      <c r="Q1153" s="15">
        <f>($G1153-$C1153)*100</f>
        <v/>
      </c>
      <c r="R1153" s="15">
        <f>IF($H1153="","",($H1153-$F1153)*100)</f>
        <v/>
      </c>
      <c r="S1153" s="15">
        <f>IF($H1153="","",($H1153-$G1153)*100)</f>
        <v/>
      </c>
    </row>
    <row r="1154">
      <c r="A1154" s="11" t="n">
        <v>44561</v>
      </c>
      <c r="B1154" s="22" t="n">
        <v>-0.089</v>
      </c>
      <c r="C1154" s="22" t="n">
        <v>-0.095</v>
      </c>
      <c r="D1154" s="22" t="n">
        <v>-0.075</v>
      </c>
      <c r="E1154" s="22" t="n">
        <v>0.089</v>
      </c>
      <c r="F1154" s="22" t="n">
        <v>0.48</v>
      </c>
      <c r="G1154" s="22" t="n">
        <v>0.6929999999999999</v>
      </c>
      <c r="H1154" s="22" t="n">
        <v>0.759</v>
      </c>
      <c r="I1154" s="22" t="n">
        <v>1.9</v>
      </c>
      <c r="J1154" s="22" t="n">
        <v>0.39</v>
      </c>
      <c r="K1154" s="22" t="n">
        <v>1.52</v>
      </c>
      <c r="L1154" s="17">
        <f>$J1154-$B1154</f>
        <v/>
      </c>
      <c r="M1154" s="17">
        <f>$I1154-$L1154</f>
        <v/>
      </c>
      <c r="N1154" s="23">
        <f>($G1154-$M1154)*100</f>
        <v/>
      </c>
      <c r="O1154" s="15">
        <f>($E1154-$C1154)*100</f>
        <v/>
      </c>
      <c r="P1154" s="15">
        <f>($G1154-$E1154)*100</f>
        <v/>
      </c>
      <c r="Q1154" s="15">
        <f>($G1154-$C1154)*100</f>
        <v/>
      </c>
      <c r="R1154" s="15">
        <f>IF($H1154="","",($H1154-$F1154)*100)</f>
        <v/>
      </c>
      <c r="S1154" s="15">
        <f>IF($H1154="","",($H1154-$G1154)*100)</f>
        <v/>
      </c>
    </row>
    <row r="1155">
      <c r="A1155" s="11" t="n">
        <v>44568</v>
      </c>
      <c r="B1155" s="22" t="n">
        <v>-0.1</v>
      </c>
      <c r="C1155" s="22" t="n">
        <v>-0.076</v>
      </c>
      <c r="D1155" s="22" t="n">
        <v>-0.037</v>
      </c>
      <c r="E1155" s="22" t="n">
        <v>0.133</v>
      </c>
      <c r="F1155" s="22" t="n">
        <v>0.525</v>
      </c>
      <c r="G1155" s="22" t="n">
        <v>0.709</v>
      </c>
      <c r="H1155" s="22" t="n">
        <v>0.768</v>
      </c>
      <c r="I1155" s="22" t="n">
        <v>2.11</v>
      </c>
      <c r="J1155" s="22" t="n">
        <v>0.43</v>
      </c>
      <c r="K1155" s="22" t="n">
        <v>1.76</v>
      </c>
      <c r="L1155" s="17">
        <f>$J1155-$B1155</f>
        <v/>
      </c>
      <c r="M1155" s="17">
        <f>$I1155-$L1155</f>
        <v/>
      </c>
      <c r="N1155" s="23">
        <f>($G1155-$M1155)*100</f>
        <v/>
      </c>
      <c r="O1155" s="15">
        <f>($E1155-$C1155)*100</f>
        <v/>
      </c>
      <c r="P1155" s="15">
        <f>($G1155-$E1155)*100</f>
        <v/>
      </c>
      <c r="Q1155" s="15">
        <f>($G1155-$C1155)*100</f>
        <v/>
      </c>
      <c r="R1155" s="15">
        <f>IF($H1155="","",($H1155-$F1155)*100)</f>
        <v/>
      </c>
      <c r="S1155" s="15">
        <f>IF($H1155="","",($H1155-$G1155)*100)</f>
        <v/>
      </c>
    </row>
    <row r="1156">
      <c r="A1156" s="11" t="n">
        <v>44575</v>
      </c>
      <c r="B1156" s="22" t="n">
        <v>-0.107</v>
      </c>
      <c r="C1156" s="22" t="n">
        <v>-0.073</v>
      </c>
      <c r="D1156" s="22" t="n">
        <v>-0.016</v>
      </c>
      <c r="E1156" s="22" t="n">
        <v>0.15</v>
      </c>
      <c r="F1156" s="22" t="n">
        <v>0.535</v>
      </c>
      <c r="G1156" s="22" t="n">
        <v>0.719</v>
      </c>
      <c r="H1156" s="22" t="n">
        <v>0.769</v>
      </c>
      <c r="I1156" s="22" t="n">
        <v>2.12</v>
      </c>
      <c r="J1156" s="22" t="n">
        <v>0.51</v>
      </c>
      <c r="K1156" s="22" t="n">
        <v>1.78</v>
      </c>
      <c r="L1156" s="17">
        <f>$J1156-$B1156</f>
        <v/>
      </c>
      <c r="M1156" s="17">
        <f>$I1156-$L1156</f>
        <v/>
      </c>
      <c r="N1156" s="23">
        <f>($G1156-$M1156)*100</f>
        <v/>
      </c>
      <c r="O1156" s="15">
        <f>($E1156-$C1156)*100</f>
        <v/>
      </c>
      <c r="P1156" s="15">
        <f>($G1156-$E1156)*100</f>
        <v/>
      </c>
      <c r="Q1156" s="15">
        <f>($G1156-$C1156)*100</f>
        <v/>
      </c>
      <c r="R1156" s="15">
        <f>IF($H1156="","",($H1156-$F1156)*100)</f>
        <v/>
      </c>
      <c r="S1156" s="15">
        <f>IF($H1156="","",($H1156-$G1156)*100)</f>
        <v/>
      </c>
    </row>
    <row r="1157">
      <c r="A1157" s="11" t="n">
        <v>44582</v>
      </c>
      <c r="B1157" s="22" t="n">
        <v>-0.105</v>
      </c>
      <c r="C1157" s="22" t="n">
        <v>-0.076</v>
      </c>
      <c r="D1157" s="22" t="n">
        <v>-0.032</v>
      </c>
      <c r="E1157" s="22" t="n">
        <v>0.135</v>
      </c>
      <c r="F1157" s="22" t="n">
        <v>0.525</v>
      </c>
      <c r="G1157" s="22" t="n">
        <v>0.709</v>
      </c>
      <c r="H1157" s="22" t="n">
        <v>0.765</v>
      </c>
      <c r="I1157" s="22" t="n">
        <v>2.07</v>
      </c>
      <c r="J1157" s="22" t="n">
        <v>0.58</v>
      </c>
      <c r="K1157" s="22" t="n">
        <v>1.75</v>
      </c>
      <c r="L1157" s="17">
        <f>$J1157-$B1157</f>
        <v/>
      </c>
      <c r="M1157" s="17">
        <f>$I1157-$L1157</f>
        <v/>
      </c>
      <c r="N1157" s="23">
        <f>($G1157-$M1157)*100</f>
        <v/>
      </c>
      <c r="O1157" s="15">
        <f>($E1157-$C1157)*100</f>
        <v/>
      </c>
      <c r="P1157" s="15">
        <f>($G1157-$E1157)*100</f>
        <v/>
      </c>
      <c r="Q1157" s="15">
        <f>($G1157-$C1157)*100</f>
        <v/>
      </c>
      <c r="R1157" s="15">
        <f>IF($H1157="","",($H1157-$F1157)*100)</f>
        <v/>
      </c>
      <c r="S1157" s="15">
        <f>IF($H1157="","",($H1157-$G1157)*100)</f>
        <v/>
      </c>
    </row>
    <row r="1158">
      <c r="A1158" s="11" t="n">
        <v>44589</v>
      </c>
      <c r="B1158" s="22" t="n">
        <v>-0.082</v>
      </c>
      <c r="C1158" s="22" t="n">
        <v>-0.055</v>
      </c>
      <c r="D1158" s="22" t="n">
        <v>-0.017</v>
      </c>
      <c r="E1158" s="22" t="n">
        <v>0.172</v>
      </c>
      <c r="F1158" s="22" t="n">
        <v>0.55</v>
      </c>
      <c r="G1158" s="22" t="n">
        <v>0.751</v>
      </c>
      <c r="H1158" s="22" t="n">
        <v>0.8100000000000001</v>
      </c>
      <c r="I1158" s="22" t="n">
        <v>2.07</v>
      </c>
      <c r="J1158" s="22" t="n">
        <v>0.75</v>
      </c>
      <c r="K1158" s="22" t="n">
        <v>1.78</v>
      </c>
      <c r="L1158" s="17">
        <f>$J1158-$B1158</f>
        <v/>
      </c>
      <c r="M1158" s="17">
        <f>$I1158-$L1158</f>
        <v/>
      </c>
      <c r="N1158" s="23">
        <f>($G1158-$M1158)*100</f>
        <v/>
      </c>
      <c r="O1158" s="15">
        <f>($E1158-$C1158)*100</f>
        <v/>
      </c>
      <c r="P1158" s="15">
        <f>($G1158-$E1158)*100</f>
        <v/>
      </c>
      <c r="Q1158" s="15">
        <f>($G1158-$C1158)*100</f>
        <v/>
      </c>
      <c r="R1158" s="15">
        <f>IF($H1158="","",($H1158-$F1158)*100)</f>
        <v/>
      </c>
      <c r="S1158" s="15">
        <f>IF($H1158="","",($H1158-$G1158)*100)</f>
        <v/>
      </c>
    </row>
    <row r="1159">
      <c r="A1159" s="11" t="n">
        <v>44596</v>
      </c>
      <c r="B1159" s="22" t="n">
        <v>-0.081</v>
      </c>
      <c r="C1159" s="22" t="n">
        <v>-0.045</v>
      </c>
      <c r="D1159" s="22" t="n">
        <v>0.008</v>
      </c>
      <c r="E1159" s="22" t="n">
        <v>0.203</v>
      </c>
      <c r="F1159" s="22" t="n">
        <v>0.597</v>
      </c>
      <c r="G1159" s="22" t="n">
        <v>0.792</v>
      </c>
      <c r="H1159" s="22" t="n">
        <v>0.843</v>
      </c>
      <c r="I1159" s="22" t="n">
        <v>2.23</v>
      </c>
      <c r="J1159" s="22" t="n">
        <v>0.89</v>
      </c>
      <c r="K1159" s="22" t="n">
        <v>1.93</v>
      </c>
      <c r="L1159" s="17">
        <f>$J1159-$B1159</f>
        <v/>
      </c>
      <c r="M1159" s="17">
        <f>$I1159-$L1159</f>
        <v/>
      </c>
      <c r="N1159" s="23">
        <f>($G1159-$M1159)*100</f>
        <v/>
      </c>
      <c r="O1159" s="15">
        <f>($E1159-$C1159)*100</f>
        <v/>
      </c>
      <c r="P1159" s="15">
        <f>($G1159-$E1159)*100</f>
        <v/>
      </c>
      <c r="Q1159" s="15">
        <f>($G1159-$C1159)*100</f>
        <v/>
      </c>
      <c r="R1159" s="15">
        <f>IF($H1159="","",($H1159-$F1159)*100)</f>
        <v/>
      </c>
      <c r="S1159" s="15">
        <f>IF($H1159="","",($H1159-$G1159)*100)</f>
        <v/>
      </c>
    </row>
    <row r="1160">
      <c r="A1160" s="11" t="n">
        <v>44603</v>
      </c>
      <c r="B1160" s="22" t="n">
        <v>-0.08</v>
      </c>
      <c r="C1160" s="22" t="n">
        <v>-0.031</v>
      </c>
      <c r="D1160" s="22" t="n">
        <v>0.035</v>
      </c>
      <c r="E1160" s="22" t="n">
        <v>0.233</v>
      </c>
      <c r="F1160" s="22" t="n">
        <v>0.65</v>
      </c>
      <c r="G1160" s="22" t="n">
        <v>0.854</v>
      </c>
      <c r="H1160" s="22" t="n">
        <v>0.904</v>
      </c>
      <c r="I1160" s="22" t="n">
        <v>2.24</v>
      </c>
      <c r="J1160" s="22" t="n">
        <v>1.07</v>
      </c>
      <c r="K1160" s="22" t="n">
        <v>1.92</v>
      </c>
      <c r="L1160" s="17">
        <f>$J1160-$B1160</f>
        <v/>
      </c>
      <c r="M1160" s="17">
        <f>$I1160-$L1160</f>
        <v/>
      </c>
      <c r="N1160" s="23">
        <f>($G1160-$M1160)*100</f>
        <v/>
      </c>
      <c r="O1160" s="15">
        <f>($E1160-$C1160)*100</f>
        <v/>
      </c>
      <c r="P1160" s="15">
        <f>($G1160-$E1160)*100</f>
        <v/>
      </c>
      <c r="Q1160" s="15">
        <f>($G1160-$C1160)*100</f>
        <v/>
      </c>
      <c r="R1160" s="15">
        <f>IF($H1160="","",($H1160-$F1160)*100)</f>
        <v/>
      </c>
      <c r="S1160" s="15">
        <f>IF($H1160="","",($H1160-$G1160)*100)</f>
        <v/>
      </c>
    </row>
    <row r="1161">
      <c r="A1161" s="11" t="n">
        <v>44610</v>
      </c>
      <c r="B1161" s="22" t="n">
        <v>-0.066</v>
      </c>
      <c r="C1161" s="22" t="n">
        <v>-0.008</v>
      </c>
      <c r="D1161" s="22" t="n">
        <v>0.054</v>
      </c>
      <c r="E1161" s="22" t="n">
        <v>0.223</v>
      </c>
      <c r="F1161" s="22" t="n">
        <v>0.6889999999999999</v>
      </c>
      <c r="G1161" s="22" t="n">
        <v>0.911</v>
      </c>
      <c r="H1161" s="22" t="n">
        <v>0.946</v>
      </c>
      <c r="I1161" s="22" t="n">
        <v>2.24</v>
      </c>
      <c r="J1161" s="22" t="n">
        <v>1.03</v>
      </c>
      <c r="K1161" s="22" t="n">
        <v>1.92</v>
      </c>
      <c r="L1161" s="17">
        <f>$J1161-$B1161</f>
        <v/>
      </c>
      <c r="M1161" s="17">
        <f>$I1161-$L1161</f>
        <v/>
      </c>
      <c r="N1161" s="23">
        <f>($G1161-$M1161)*100</f>
        <v/>
      </c>
      <c r="O1161" s="15">
        <f>($E1161-$C1161)*100</f>
        <v/>
      </c>
      <c r="P1161" s="15">
        <f>($G1161-$E1161)*100</f>
        <v/>
      </c>
      <c r="Q1161" s="15">
        <f>($G1161-$C1161)*100</f>
        <v/>
      </c>
      <c r="R1161" s="15">
        <f>IF($H1161="","",($H1161-$F1161)*100)</f>
        <v/>
      </c>
      <c r="S1161" s="15">
        <f>IF($H1161="","",($H1161-$G1161)*100)</f>
        <v/>
      </c>
    </row>
    <row r="1162">
      <c r="A1162" s="11" t="n">
        <v>44617</v>
      </c>
      <c r="B1162" s="22" t="n">
        <v>-0.07000000000000001</v>
      </c>
      <c r="C1162" s="22" t="n">
        <v>-0.025</v>
      </c>
      <c r="D1162" s="22" t="n">
        <v>0.035</v>
      </c>
      <c r="E1162" s="22" t="n">
        <v>0.214</v>
      </c>
      <c r="F1162" s="22" t="n">
        <v>0.678</v>
      </c>
      <c r="G1162" s="22" t="n">
        <v>0.898</v>
      </c>
      <c r="H1162" s="22" t="n">
        <v>0.9340000000000001</v>
      </c>
      <c r="I1162" s="22" t="n">
        <v>2.29</v>
      </c>
      <c r="J1162" s="22" t="n">
        <v>1.13</v>
      </c>
      <c r="K1162" s="22" t="n">
        <v>1.97</v>
      </c>
      <c r="L1162" s="17">
        <f>$J1162-$B1162</f>
        <v/>
      </c>
      <c r="M1162" s="17">
        <f>$I1162-$L1162</f>
        <v/>
      </c>
      <c r="N1162" s="23">
        <f>($G1162-$M1162)*100</f>
        <v/>
      </c>
      <c r="O1162" s="15">
        <f>($E1162-$C1162)*100</f>
        <v/>
      </c>
      <c r="P1162" s="15">
        <f>($G1162-$E1162)*100</f>
        <v/>
      </c>
      <c r="Q1162" s="15">
        <f>($G1162-$C1162)*100</f>
        <v/>
      </c>
      <c r="R1162" s="15">
        <f>IF($H1162="","",($H1162-$F1162)*100)</f>
        <v/>
      </c>
      <c r="S1162" s="15">
        <f>IF($H1162="","",($H1162-$G1162)*100)</f>
        <v/>
      </c>
    </row>
    <row r="1163">
      <c r="A1163" s="11" t="n">
        <v>44624</v>
      </c>
      <c r="B1163" s="22" t="n">
        <v>-0.081</v>
      </c>
      <c r="C1163" s="22" t="n">
        <v>-0.04</v>
      </c>
      <c r="D1163" s="22" t="n">
        <v>0.003</v>
      </c>
      <c r="E1163" s="22" t="n">
        <v>0.164</v>
      </c>
      <c r="F1163" s="22" t="n">
        <v>0.617</v>
      </c>
      <c r="G1163" s="22" t="n">
        <v>0.823</v>
      </c>
      <c r="H1163" s="22" t="n">
        <v>0.863</v>
      </c>
      <c r="I1163" s="22" t="n">
        <v>2.16</v>
      </c>
      <c r="J1163" s="22" t="n">
        <v>1.05</v>
      </c>
      <c r="K1163" s="22" t="n">
        <v>1.74</v>
      </c>
      <c r="L1163" s="17">
        <f>$J1163-$B1163</f>
        <v/>
      </c>
      <c r="M1163" s="17">
        <f>$I1163-$L1163</f>
        <v/>
      </c>
      <c r="N1163" s="23">
        <f>($G1163-$M1163)*100</f>
        <v/>
      </c>
      <c r="O1163" s="15">
        <f>($E1163-$C1163)*100</f>
        <v/>
      </c>
      <c r="P1163" s="15">
        <f>($G1163-$E1163)*100</f>
        <v/>
      </c>
      <c r="Q1163" s="15">
        <f>($G1163-$C1163)*100</f>
        <v/>
      </c>
      <c r="R1163" s="15">
        <f>IF($H1163="","",($H1163-$F1163)*100)</f>
        <v/>
      </c>
      <c r="S1163" s="15">
        <f>IF($H1163="","",($H1163-$G1163)*100)</f>
        <v/>
      </c>
    </row>
    <row r="1164">
      <c r="A1164" s="11" t="n">
        <v>44631</v>
      </c>
      <c r="B1164" s="22" t="n">
        <v>-0.074</v>
      </c>
      <c r="C1164" s="22" t="n">
        <v>-0.03</v>
      </c>
      <c r="D1164" s="22" t="n">
        <v>0.019</v>
      </c>
      <c r="E1164" s="22" t="n">
        <v>0.193</v>
      </c>
      <c r="F1164" s="22" t="n">
        <v>0.656</v>
      </c>
      <c r="G1164" s="22" t="n">
        <v>0.859</v>
      </c>
      <c r="H1164" s="22" t="n">
        <v>0.889</v>
      </c>
      <c r="I1164" s="22" t="n">
        <v>2.36</v>
      </c>
      <c r="J1164" s="22" t="n">
        <v>1.22</v>
      </c>
      <c r="K1164" s="22" t="n">
        <v>2</v>
      </c>
      <c r="L1164" s="17">
        <f>$J1164-$B1164</f>
        <v/>
      </c>
      <c r="M1164" s="17">
        <f>$I1164-$L1164</f>
        <v/>
      </c>
      <c r="N1164" s="23">
        <f>($G1164-$M1164)*100</f>
        <v/>
      </c>
      <c r="O1164" s="15">
        <f>($E1164-$C1164)*100</f>
        <v/>
      </c>
      <c r="P1164" s="15">
        <f>($G1164-$E1164)*100</f>
        <v/>
      </c>
      <c r="Q1164" s="15">
        <f>($G1164-$C1164)*100</f>
        <v/>
      </c>
      <c r="R1164" s="15">
        <f>IF($H1164="","",($H1164-$F1164)*100)</f>
        <v/>
      </c>
      <c r="S1164" s="15">
        <f>IF($H1164="","",($H1164-$G1164)*100)</f>
        <v/>
      </c>
    </row>
    <row r="1165">
      <c r="A1165" s="11" t="n">
        <v>44638</v>
      </c>
      <c r="B1165" s="22" t="n">
        <v>-0.06</v>
      </c>
      <c r="C1165" s="22" t="n">
        <v>-0.018</v>
      </c>
      <c r="D1165" s="22" t="n">
        <v>0.04</v>
      </c>
      <c r="E1165" s="22" t="n">
        <v>0.218</v>
      </c>
      <c r="F1165" s="22" t="n">
        <v>0.671</v>
      </c>
      <c r="G1165" s="22" t="n">
        <v>0.873</v>
      </c>
      <c r="H1165" s="22" t="n">
        <v>0.894</v>
      </c>
      <c r="I1165" s="22" t="n">
        <v>2.42</v>
      </c>
      <c r="J1165" s="22" t="n">
        <v>1.29</v>
      </c>
      <c r="K1165" s="22" t="n">
        <v>2.14</v>
      </c>
      <c r="L1165" s="17">
        <f>$J1165-$B1165</f>
        <v/>
      </c>
      <c r="M1165" s="17">
        <f>$I1165-$L1165</f>
        <v/>
      </c>
      <c r="N1165" s="23">
        <f>($G1165-$M1165)*100</f>
        <v/>
      </c>
      <c r="O1165" s="15">
        <f>($E1165-$C1165)*100</f>
        <v/>
      </c>
      <c r="P1165" s="15">
        <f>($G1165-$E1165)*100</f>
        <v/>
      </c>
      <c r="Q1165" s="15">
        <f>($G1165-$C1165)*100</f>
        <v/>
      </c>
      <c r="R1165" s="15">
        <f>IF($H1165="","",($H1165-$F1165)*100)</f>
        <v/>
      </c>
      <c r="S1165" s="15">
        <f>IF($H1165="","",($H1165-$G1165)*100)</f>
        <v/>
      </c>
    </row>
    <row r="1166">
      <c r="A1166" s="11" t="n">
        <v>44645</v>
      </c>
      <c r="B1166" s="22" t="n">
        <v>-0.063</v>
      </c>
      <c r="C1166" s="22" t="n">
        <v>-0.023</v>
      </c>
      <c r="D1166" s="22" t="n">
        <v>0.056</v>
      </c>
      <c r="E1166" s="22" t="n">
        <v>0.248</v>
      </c>
      <c r="F1166" s="22" t="n">
        <v>0.728</v>
      </c>
      <c r="G1166" s="22" t="n">
        <v>0.9379999999999999</v>
      </c>
      <c r="H1166" s="22" t="n">
        <v>0.961</v>
      </c>
      <c r="I1166" s="22" t="n">
        <v>2.6</v>
      </c>
      <c r="J1166" s="22" t="n">
        <v>1.67</v>
      </c>
      <c r="K1166" s="22" t="n">
        <v>2.48</v>
      </c>
      <c r="L1166" s="17">
        <f>$J1166-$B1166</f>
        <v/>
      </c>
      <c r="M1166" s="17">
        <f>$I1166-$L1166</f>
        <v/>
      </c>
      <c r="N1166" s="23">
        <f>($G1166-$M1166)*100</f>
        <v/>
      </c>
      <c r="O1166" s="15">
        <f>($E1166-$C1166)*100</f>
        <v/>
      </c>
      <c r="P1166" s="15">
        <f>($G1166-$E1166)*100</f>
        <v/>
      </c>
      <c r="Q1166" s="15">
        <f>($G1166-$C1166)*100</f>
        <v/>
      </c>
      <c r="R1166" s="15">
        <f>IF($H1166="","",($H1166-$F1166)*100)</f>
        <v/>
      </c>
      <c r="S1166" s="15">
        <f>IF($H1166="","",($H1166-$G1166)*100)</f>
        <v/>
      </c>
    </row>
    <row r="1167">
      <c r="A1167" s="11" t="n">
        <v>44652</v>
      </c>
      <c r="B1167" s="22" t="n">
        <v>-0.075</v>
      </c>
      <c r="C1167" s="22" t="n">
        <v>-0.04</v>
      </c>
      <c r="D1167" s="22" t="n">
        <v>0.026</v>
      </c>
      <c r="E1167" s="22" t="n">
        <v>0.226</v>
      </c>
      <c r="F1167" s="22" t="n">
        <v>0.701</v>
      </c>
      <c r="G1167" s="22" t="n">
        <v>0.918</v>
      </c>
      <c r="H1167" s="22" t="n">
        <v>0.963</v>
      </c>
      <c r="I1167" s="22" t="n">
        <v>2.44</v>
      </c>
      <c r="J1167" s="22" t="n">
        <v>1.72</v>
      </c>
      <c r="K1167" s="22" t="n">
        <v>2.39</v>
      </c>
      <c r="L1167" s="17">
        <f>$J1167-$B1167</f>
        <v/>
      </c>
      <c r="M1167" s="17">
        <f>$I1167-$L1167</f>
        <v/>
      </c>
      <c r="N1167" s="23">
        <f>($G1167-$M1167)*100</f>
        <v/>
      </c>
      <c r="O1167" s="15">
        <f>($E1167-$C1167)*100</f>
        <v/>
      </c>
      <c r="P1167" s="15">
        <f>($G1167-$E1167)*100</f>
        <v/>
      </c>
      <c r="Q1167" s="15">
        <f>($G1167-$C1167)*100</f>
        <v/>
      </c>
      <c r="R1167" s="15">
        <f>IF($H1167="","",($H1167-$F1167)*100)</f>
        <v/>
      </c>
      <c r="S1167" s="15">
        <f>IF($H1167="","",($H1167-$G1167)*100)</f>
        <v/>
      </c>
    </row>
    <row r="1168">
      <c r="A1168" s="11" t="n">
        <v>44659</v>
      </c>
      <c r="B1168" s="22" t="n">
        <v>-0.097</v>
      </c>
      <c r="C1168" s="22" t="n">
        <v>-0.08</v>
      </c>
      <c r="D1168" s="22" t="n">
        <v>0.024</v>
      </c>
      <c r="E1168" s="22" t="n">
        <v>0.227</v>
      </c>
      <c r="F1168" s="22" t="n">
        <v>0.738</v>
      </c>
      <c r="G1168" s="22" t="n">
        <v>0.969</v>
      </c>
      <c r="H1168" s="22" t="n">
        <v>1.036</v>
      </c>
      <c r="I1168" s="22" t="n">
        <v>2.76</v>
      </c>
      <c r="J1168" s="22" t="n">
        <v>1.81</v>
      </c>
      <c r="K1168" s="22" t="n">
        <v>2.72</v>
      </c>
      <c r="L1168" s="17">
        <f>$J1168-$B1168</f>
        <v/>
      </c>
      <c r="M1168" s="17">
        <f>$I1168-$L1168</f>
        <v/>
      </c>
      <c r="N1168" s="23">
        <f>($G1168-$M1168)*100</f>
        <v/>
      </c>
      <c r="O1168" s="15">
        <f>($E1168-$C1168)*100</f>
        <v/>
      </c>
      <c r="P1168" s="15">
        <f>($G1168-$E1168)*100</f>
        <v/>
      </c>
      <c r="Q1168" s="15">
        <f>($G1168-$C1168)*100</f>
        <v/>
      </c>
      <c r="R1168" s="15">
        <f>IF($H1168="","",($H1168-$F1168)*100)</f>
        <v/>
      </c>
      <c r="S1168" s="15">
        <f>IF($H1168="","",($H1168-$G1168)*100)</f>
        <v/>
      </c>
    </row>
    <row r="1169">
      <c r="A1169" s="11" t="n">
        <v>44666</v>
      </c>
      <c r="B1169" s="22" t="n">
        <v>-0.095</v>
      </c>
      <c r="C1169" s="22" t="n">
        <v>-0.061</v>
      </c>
      <c r="D1169" s="22" t="n">
        <v>0.029</v>
      </c>
      <c r="E1169" s="22" t="n">
        <v>0.242</v>
      </c>
      <c r="F1169" s="22" t="n">
        <v>0.731</v>
      </c>
      <c r="G1169" s="22" t="n">
        <v>0.9379999999999999</v>
      </c>
      <c r="H1169" s="22" t="n">
        <v>0.984</v>
      </c>
      <c r="I1169" s="22" t="n">
        <v>2.92</v>
      </c>
      <c r="J1169" s="22" t="n">
        <v>1.84</v>
      </c>
      <c r="K1169" s="22" t="n">
        <v>2.83</v>
      </c>
      <c r="L1169" s="17">
        <f>$J1169-$B1169</f>
        <v/>
      </c>
      <c r="M1169" s="17">
        <f>$I1169-$L1169</f>
        <v/>
      </c>
      <c r="N1169" s="23">
        <f>($G1169-$M1169)*100</f>
        <v/>
      </c>
      <c r="O1169" s="15">
        <f>($E1169-$C1169)*100</f>
        <v/>
      </c>
      <c r="P1169" s="15">
        <f>($G1169-$E1169)*100</f>
        <v/>
      </c>
      <c r="Q1169" s="15">
        <f>($G1169-$C1169)*100</f>
        <v/>
      </c>
      <c r="R1169" s="15">
        <f>IF($H1169="","",($H1169-$F1169)*100)</f>
        <v/>
      </c>
      <c r="S1169" s="15">
        <f>IF($H1169="","",($H1169-$G1169)*100)</f>
        <v/>
      </c>
    </row>
    <row r="1170">
      <c r="A1170" s="11" t="n">
        <v>44673</v>
      </c>
      <c r="B1170" s="22" t="n">
        <v>-0.08500000000000001</v>
      </c>
      <c r="C1170" s="22" t="n">
        <v>-0.057</v>
      </c>
      <c r="D1170" s="22" t="n">
        <v>0.021</v>
      </c>
      <c r="E1170" s="22" t="n">
        <v>0.25</v>
      </c>
      <c r="F1170" s="22" t="n">
        <v>0.798</v>
      </c>
      <c r="G1170" s="22" t="n">
        <v>1.015</v>
      </c>
      <c r="H1170" s="22" t="n">
        <v>1.053</v>
      </c>
      <c r="I1170" s="22" t="n">
        <v>2.95</v>
      </c>
      <c r="J1170" s="22" t="n">
        <v>2.06</v>
      </c>
      <c r="K1170" s="22" t="n">
        <v>2.9</v>
      </c>
      <c r="L1170" s="17">
        <f>$J1170-$B1170</f>
        <v/>
      </c>
      <c r="M1170" s="17">
        <f>$I1170-$L1170</f>
        <v/>
      </c>
      <c r="N1170" s="23">
        <f>($G1170-$M1170)*100</f>
        <v/>
      </c>
      <c r="O1170" s="15">
        <f>($E1170-$C1170)*100</f>
        <v/>
      </c>
      <c r="P1170" s="15">
        <f>($G1170-$E1170)*100</f>
        <v/>
      </c>
      <c r="Q1170" s="15">
        <f>($G1170-$C1170)*100</f>
        <v/>
      </c>
      <c r="R1170" s="15">
        <f>IF($H1170="","",($H1170-$F1170)*100)</f>
        <v/>
      </c>
      <c r="S1170" s="15">
        <f>IF($H1170="","",($H1170-$G1170)*100)</f>
        <v/>
      </c>
    </row>
    <row r="1171">
      <c r="A1171" s="11" t="n">
        <v>44680</v>
      </c>
      <c r="B1171" s="22" t="n">
        <v>-0.08500000000000001</v>
      </c>
      <c r="C1171" s="22" t="n">
        <v>-0.06</v>
      </c>
      <c r="D1171" s="22" t="n">
        <v>0.005</v>
      </c>
      <c r="E1171" s="22" t="n">
        <v>0.22</v>
      </c>
      <c r="F1171" s="22" t="n">
        <v>0.748</v>
      </c>
      <c r="G1171" s="22" t="n">
        <v>0.974</v>
      </c>
      <c r="H1171" s="22" t="n">
        <v>1.02</v>
      </c>
      <c r="I1171" s="22" t="n">
        <v>2.96</v>
      </c>
      <c r="J1171" s="22" t="n">
        <v>2.1</v>
      </c>
      <c r="K1171" s="22" t="n">
        <v>2.89</v>
      </c>
      <c r="L1171" s="17">
        <f>$J1171-$B1171</f>
        <v/>
      </c>
      <c r="M1171" s="17">
        <f>$I1171-$L1171</f>
        <v/>
      </c>
      <c r="N1171" s="23">
        <f>($G1171-$M1171)*100</f>
        <v/>
      </c>
      <c r="O1171" s="15">
        <f>($E1171-$C1171)*100</f>
        <v/>
      </c>
      <c r="P1171" s="15">
        <f>($G1171-$E1171)*100</f>
        <v/>
      </c>
      <c r="Q1171" s="15">
        <f>($G1171-$C1171)*100</f>
        <v/>
      </c>
      <c r="R1171" s="15">
        <f>IF($H1171="","",($H1171-$F1171)*100)</f>
        <v/>
      </c>
      <c r="S1171" s="15">
        <f>IF($H1171="","",($H1171-$G1171)*100)</f>
        <v/>
      </c>
    </row>
    <row r="1172">
      <c r="A1172" s="11" t="n">
        <v>44687</v>
      </c>
      <c r="B1172" s="22" t="n">
        <v>-0.075</v>
      </c>
      <c r="C1172" s="22" t="n">
        <v>-0.045</v>
      </c>
      <c r="D1172" s="22" t="n">
        <v>0.024</v>
      </c>
      <c r="E1172" s="22" t="n">
        <v>0.247</v>
      </c>
      <c r="F1172" s="22" t="n">
        <v>0.777</v>
      </c>
      <c r="G1172" s="22" t="n">
        <v>1.012</v>
      </c>
      <c r="H1172" s="22" t="n">
        <v>1.058</v>
      </c>
      <c r="I1172" s="22" t="n">
        <v>3.23</v>
      </c>
      <c r="J1172" s="22" t="n">
        <v>2.08</v>
      </c>
      <c r="K1172" s="22" t="n">
        <v>3.12</v>
      </c>
      <c r="L1172" s="17">
        <f>$J1172-$B1172</f>
        <v/>
      </c>
      <c r="M1172" s="17">
        <f>$I1172-$L1172</f>
        <v/>
      </c>
      <c r="N1172" s="23">
        <f>($G1172-$M1172)*100</f>
        <v/>
      </c>
      <c r="O1172" s="15">
        <f>($E1172-$C1172)*100</f>
        <v/>
      </c>
      <c r="P1172" s="15">
        <f>($G1172-$E1172)*100</f>
        <v/>
      </c>
      <c r="Q1172" s="15">
        <f>($G1172-$C1172)*100</f>
        <v/>
      </c>
      <c r="R1172" s="15">
        <f>IF($H1172="","",($H1172-$F1172)*100)</f>
        <v/>
      </c>
      <c r="S1172" s="15">
        <f>IF($H1172="","",($H1172-$G1172)*100)</f>
        <v/>
      </c>
    </row>
    <row r="1173">
      <c r="A1173" s="11" t="n">
        <v>44694</v>
      </c>
      <c r="B1173" s="22" t="n">
        <v>-0.092</v>
      </c>
      <c r="C1173" s="22" t="n">
        <v>-0.057</v>
      </c>
      <c r="D1173" s="22" t="n">
        <v>0.012</v>
      </c>
      <c r="E1173" s="22" t="n">
        <v>0.247</v>
      </c>
      <c r="F1173" s="22" t="n">
        <v>0.753</v>
      </c>
      <c r="G1173" s="22" t="n">
        <v>0.998</v>
      </c>
      <c r="H1173" s="22" t="n">
        <v>1.061</v>
      </c>
      <c r="I1173" s="22" t="n">
        <v>3.1</v>
      </c>
      <c r="J1173" s="22" t="n">
        <v>2.04</v>
      </c>
      <c r="K1173" s="22" t="n">
        <v>2.93</v>
      </c>
      <c r="L1173" s="17">
        <f>$J1173-$B1173</f>
        <v/>
      </c>
      <c r="M1173" s="17">
        <f>$I1173-$L1173</f>
        <v/>
      </c>
      <c r="N1173" s="23">
        <f>($G1173-$M1173)*100</f>
        <v/>
      </c>
      <c r="O1173" s="15">
        <f>($E1173-$C1173)*100</f>
        <v/>
      </c>
      <c r="P1173" s="15">
        <f>($G1173-$E1173)*100</f>
        <v/>
      </c>
      <c r="Q1173" s="15">
        <f>($G1173-$C1173)*100</f>
        <v/>
      </c>
      <c r="R1173" s="15">
        <f>IF($H1173="","",($H1173-$F1173)*100)</f>
        <v/>
      </c>
      <c r="S1173" s="15">
        <f>IF($H1173="","",($H1173-$G1173)*100)</f>
        <v/>
      </c>
    </row>
    <row r="1174">
      <c r="A1174" s="11" t="n">
        <v>44701</v>
      </c>
      <c r="B1174" s="22" t="n">
        <v>-0.096</v>
      </c>
      <c r="C1174" s="22" t="n">
        <v>-0.056</v>
      </c>
      <c r="D1174" s="22" t="n">
        <v>0.018</v>
      </c>
      <c r="E1174" s="22" t="n">
        <v>0.243</v>
      </c>
      <c r="F1174" s="22" t="n">
        <v>0.744</v>
      </c>
      <c r="G1174" s="22" t="n">
        <v>0.989</v>
      </c>
      <c r="H1174" s="22" t="n">
        <v>1.062</v>
      </c>
      <c r="I1174" s="22" t="n">
        <v>2.99</v>
      </c>
      <c r="J1174" s="22" t="n">
        <v>2.07</v>
      </c>
      <c r="K1174" s="22" t="n">
        <v>2.78</v>
      </c>
      <c r="L1174" s="17">
        <f>$J1174-$B1174</f>
        <v/>
      </c>
      <c r="M1174" s="17">
        <f>$I1174-$L1174</f>
        <v/>
      </c>
      <c r="N1174" s="23">
        <f>($G1174-$M1174)*100</f>
        <v/>
      </c>
      <c r="O1174" s="15">
        <f>($E1174-$C1174)*100</f>
        <v/>
      </c>
      <c r="P1174" s="15">
        <f>($G1174-$E1174)*100</f>
        <v/>
      </c>
      <c r="Q1174" s="15">
        <f>($G1174-$C1174)*100</f>
        <v/>
      </c>
      <c r="R1174" s="15">
        <f>IF($H1174="","",($H1174-$F1174)*100)</f>
        <v/>
      </c>
      <c r="S1174" s="15">
        <f>IF($H1174="","",($H1174-$G1174)*100)</f>
        <v/>
      </c>
    </row>
    <row r="1175">
      <c r="A1175" s="11" t="n">
        <v>44708</v>
      </c>
      <c r="B1175" s="22" t="n">
        <v>-0.095</v>
      </c>
      <c r="C1175" s="22" t="n">
        <v>-0.067</v>
      </c>
      <c r="D1175" s="22" t="n">
        <v>0.004</v>
      </c>
      <c r="E1175" s="22" t="n">
        <v>0.236</v>
      </c>
      <c r="F1175" s="22" t="n">
        <v>0.741</v>
      </c>
      <c r="G1175" s="22" t="n">
        <v>0.989</v>
      </c>
      <c r="H1175" s="22" t="n">
        <v>1.061</v>
      </c>
      <c r="I1175" s="22" t="n">
        <v>2.97</v>
      </c>
      <c r="J1175" s="22" t="n">
        <v>2.01</v>
      </c>
      <c r="K1175" s="22" t="n">
        <v>2.74</v>
      </c>
      <c r="L1175" s="17">
        <f>$J1175-$B1175</f>
        <v/>
      </c>
      <c r="M1175" s="17">
        <f>$I1175-$L1175</f>
        <v/>
      </c>
      <c r="N1175" s="23">
        <f>($G1175-$M1175)*100</f>
        <v/>
      </c>
      <c r="O1175" s="15">
        <f>($E1175-$C1175)*100</f>
        <v/>
      </c>
      <c r="P1175" s="15">
        <f>($G1175-$E1175)*100</f>
        <v/>
      </c>
      <c r="Q1175" s="15">
        <f>($G1175-$C1175)*100</f>
        <v/>
      </c>
      <c r="R1175" s="15">
        <f>IF($H1175="","",($H1175-$F1175)*100)</f>
        <v/>
      </c>
      <c r="S1175" s="15">
        <f>IF($H1175="","",($H1175-$G1175)*100)</f>
        <v/>
      </c>
    </row>
    <row r="1176">
      <c r="A1176" s="11" t="n">
        <v>44715</v>
      </c>
      <c r="B1176" s="22" t="n">
        <v>-0.08599999999999999</v>
      </c>
      <c r="C1176" s="22" t="n">
        <v>-0.07000000000000001</v>
      </c>
      <c r="D1176" s="22" t="n">
        <v>-0.001</v>
      </c>
      <c r="E1176" s="22" t="n">
        <v>0.241</v>
      </c>
      <c r="F1176" s="22" t="n">
        <v>0.756</v>
      </c>
      <c r="G1176" s="22" t="n">
        <v>1.025</v>
      </c>
      <c r="H1176" s="22" t="n">
        <v>1.101</v>
      </c>
      <c r="I1176" s="22" t="n">
        <v>3.11</v>
      </c>
      <c r="J1176" s="22" t="n">
        <v>2.18</v>
      </c>
      <c r="K1176" s="22" t="n">
        <v>2.96</v>
      </c>
      <c r="L1176" s="17">
        <f>$J1176-$B1176</f>
        <v/>
      </c>
      <c r="M1176" s="17">
        <f>$I1176-$L1176</f>
        <v/>
      </c>
      <c r="N1176" s="23">
        <f>($G1176-$M1176)*100</f>
        <v/>
      </c>
      <c r="O1176" s="15">
        <f>($E1176-$C1176)*100</f>
        <v/>
      </c>
      <c r="P1176" s="15">
        <f>($G1176-$E1176)*100</f>
        <v/>
      </c>
      <c r="Q1176" s="15">
        <f>($G1176-$C1176)*100</f>
        <v/>
      </c>
      <c r="R1176" s="15">
        <f>IF($H1176="","",($H1176-$F1176)*100)</f>
        <v/>
      </c>
      <c r="S1176" s="15">
        <f>IF($H1176="","",($H1176-$G1176)*100)</f>
        <v/>
      </c>
    </row>
    <row r="1177">
      <c r="A1177" s="11" t="n">
        <v>44722</v>
      </c>
      <c r="B1177" s="22" t="n">
        <v>-0.08799999999999999</v>
      </c>
      <c r="C1177" s="22" t="n">
        <v>-0.081</v>
      </c>
      <c r="D1177" s="22" t="n">
        <v>0.007</v>
      </c>
      <c r="E1177" s="22" t="n">
        <v>0.261</v>
      </c>
      <c r="F1177" s="22" t="n">
        <v>0.798</v>
      </c>
      <c r="G1177" s="22" t="n">
        <v>1.079</v>
      </c>
      <c r="H1177" s="22" t="n">
        <v>1.153</v>
      </c>
      <c r="I1177" s="22" t="n">
        <v>3.2</v>
      </c>
      <c r="J1177" s="22" t="n">
        <v>2.58</v>
      </c>
      <c r="K1177" s="22" t="n">
        <v>3.15</v>
      </c>
      <c r="L1177" s="17">
        <f>$J1177-$B1177</f>
        <v/>
      </c>
      <c r="M1177" s="17">
        <f>$I1177-$L1177</f>
        <v/>
      </c>
      <c r="N1177" s="23">
        <f>($G1177-$M1177)*100</f>
        <v/>
      </c>
      <c r="O1177" s="15">
        <f>($E1177-$C1177)*100</f>
        <v/>
      </c>
      <c r="P1177" s="15">
        <f>($G1177-$E1177)*100</f>
        <v/>
      </c>
      <c r="Q1177" s="15">
        <f>($G1177-$C1177)*100</f>
        <v/>
      </c>
      <c r="R1177" s="15">
        <f>IF($H1177="","",($H1177-$F1177)*100)</f>
        <v/>
      </c>
      <c r="S1177" s="15">
        <f>IF($H1177="","",($H1177-$G1177)*100)</f>
        <v/>
      </c>
    </row>
    <row r="1178">
      <c r="A1178" s="11" t="n">
        <v>44729</v>
      </c>
      <c r="B1178" s="22" t="n">
        <v>-0.105</v>
      </c>
      <c r="C1178" s="22" t="n">
        <v>-0.07099999999999999</v>
      </c>
      <c r="D1178" s="22" t="n">
        <v>0.062</v>
      </c>
      <c r="E1178" s="22" t="n">
        <v>0.239</v>
      </c>
      <c r="F1178" s="22" t="n">
        <v>0.886</v>
      </c>
      <c r="G1178" s="22" t="n">
        <v>1.152</v>
      </c>
      <c r="H1178" s="22" t="n">
        <v>1.225</v>
      </c>
      <c r="I1178" s="22" t="n">
        <v>3.3</v>
      </c>
      <c r="J1178" s="22" t="n">
        <v>2.86</v>
      </c>
      <c r="K1178" s="22" t="n">
        <v>3.25</v>
      </c>
      <c r="L1178" s="17">
        <f>$J1178-$B1178</f>
        <v/>
      </c>
      <c r="M1178" s="17">
        <f>$I1178-$L1178</f>
        <v/>
      </c>
      <c r="N1178" s="23">
        <f>($G1178-$M1178)*100</f>
        <v/>
      </c>
      <c r="O1178" s="15">
        <f>($E1178-$C1178)*100</f>
        <v/>
      </c>
      <c r="P1178" s="15">
        <f>($G1178-$E1178)*100</f>
        <v/>
      </c>
      <c r="Q1178" s="15">
        <f>($G1178-$C1178)*100</f>
        <v/>
      </c>
      <c r="R1178" s="15">
        <f>IF($H1178="","",($H1178-$F1178)*100)</f>
        <v/>
      </c>
      <c r="S1178" s="15">
        <f>IF($H1178="","",($H1178-$G1178)*100)</f>
        <v/>
      </c>
    </row>
    <row r="1179">
      <c r="A1179" s="11" t="n">
        <v>44736</v>
      </c>
      <c r="B1179" s="22" t="n">
        <v>-0.133</v>
      </c>
      <c r="C1179" s="22" t="n">
        <v>-0.079</v>
      </c>
      <c r="D1179" s="22" t="n">
        <v>0.049</v>
      </c>
      <c r="E1179" s="22" t="n">
        <v>0.24</v>
      </c>
      <c r="F1179" s="22" t="n">
        <v>0.897</v>
      </c>
      <c r="G1179" s="22" t="n">
        <v>1.211</v>
      </c>
      <c r="H1179" s="22" t="n">
        <v>1.284</v>
      </c>
      <c r="I1179" s="22" t="n">
        <v>3.26</v>
      </c>
      <c r="J1179" s="22" t="n">
        <v>2.83</v>
      </c>
      <c r="K1179" s="22" t="n">
        <v>3.13</v>
      </c>
      <c r="L1179" s="17">
        <f>$J1179-$B1179</f>
        <v/>
      </c>
      <c r="M1179" s="17">
        <f>$I1179-$L1179</f>
        <v/>
      </c>
      <c r="N1179" s="23">
        <f>($G1179-$M1179)*100</f>
        <v/>
      </c>
      <c r="O1179" s="15">
        <f>($E1179-$C1179)*100</f>
        <v/>
      </c>
      <c r="P1179" s="15">
        <f>($G1179-$E1179)*100</f>
        <v/>
      </c>
      <c r="Q1179" s="15">
        <f>($G1179-$C1179)*100</f>
        <v/>
      </c>
      <c r="R1179" s="15">
        <f>IF($H1179="","",($H1179-$F1179)*100)</f>
        <v/>
      </c>
      <c r="S1179" s="15">
        <f>IF($H1179="","",($H1179-$G1179)*100)</f>
        <v/>
      </c>
    </row>
    <row r="1180">
      <c r="A1180" s="11" t="n">
        <v>44743</v>
      </c>
      <c r="B1180" s="22" t="n">
        <v>-0.105</v>
      </c>
      <c r="C1180" s="22" t="n">
        <v>-0.07000000000000001</v>
      </c>
      <c r="D1180" s="22" t="n">
        <v>0.026</v>
      </c>
      <c r="E1180" s="22" t="n">
        <v>0.229</v>
      </c>
      <c r="F1180" s="22" t="n">
        <v>0.873</v>
      </c>
      <c r="G1180" s="22" t="n">
        <v>1.205</v>
      </c>
      <c r="H1180" s="22" t="n">
        <v>1.29</v>
      </c>
      <c r="I1180" s="22" t="n">
        <v>3.11</v>
      </c>
      <c r="J1180" s="22" t="n">
        <v>2.79</v>
      </c>
      <c r="K1180" s="22" t="n">
        <v>2.88</v>
      </c>
      <c r="L1180" s="17">
        <f>$J1180-$B1180</f>
        <v/>
      </c>
      <c r="M1180" s="17">
        <f>$I1180-$L1180</f>
        <v/>
      </c>
      <c r="N1180" s="23">
        <f>($G1180-$M1180)*100</f>
        <v/>
      </c>
      <c r="O1180" s="15">
        <f>($E1180-$C1180)*100</f>
        <v/>
      </c>
      <c r="P1180" s="15">
        <f>($G1180-$E1180)*100</f>
        <v/>
      </c>
      <c r="Q1180" s="15">
        <f>($G1180-$C1180)*100</f>
        <v/>
      </c>
      <c r="R1180" s="15">
        <f>IF($H1180="","",($H1180-$F1180)*100)</f>
        <v/>
      </c>
      <c r="S1180" s="15">
        <f>IF($H1180="","",($H1180-$G1180)*100)</f>
        <v/>
      </c>
    </row>
    <row r="1181">
      <c r="A1181" s="11" t="n">
        <v>44750</v>
      </c>
      <c r="B1181" s="22" t="n">
        <v>-0.117</v>
      </c>
      <c r="C1181" s="22" t="n">
        <v>-0.07000000000000001</v>
      </c>
      <c r="D1181" s="22" t="n">
        <v>0.035</v>
      </c>
      <c r="E1181" s="22" t="n">
        <v>0.248</v>
      </c>
      <c r="F1181" s="22" t="n">
        <v>0.928</v>
      </c>
      <c r="G1181" s="22" t="n">
        <v>1.249</v>
      </c>
      <c r="H1181" s="22" t="n">
        <v>1.351</v>
      </c>
      <c r="I1181" s="22" t="n">
        <v>3.27</v>
      </c>
      <c r="J1181" s="22" t="n">
        <v>2.96</v>
      </c>
      <c r="K1181" s="22" t="n">
        <v>3.09</v>
      </c>
      <c r="L1181" s="17">
        <f>$J1181-$B1181</f>
        <v/>
      </c>
      <c r="M1181" s="17">
        <f>$I1181-$L1181</f>
        <v/>
      </c>
      <c r="N1181" s="23">
        <f>($G1181-$M1181)*100</f>
        <v/>
      </c>
      <c r="O1181" s="15">
        <f>($E1181-$C1181)*100</f>
        <v/>
      </c>
      <c r="P1181" s="15">
        <f>($G1181-$E1181)*100</f>
        <v/>
      </c>
      <c r="Q1181" s="15">
        <f>($G1181-$C1181)*100</f>
        <v/>
      </c>
      <c r="R1181" s="15">
        <f>IF($H1181="","",($H1181-$F1181)*100)</f>
        <v/>
      </c>
      <c r="S1181" s="15">
        <f>IF($H1181="","",($H1181-$G1181)*100)</f>
        <v/>
      </c>
    </row>
    <row r="1182">
      <c r="A1182" s="11" t="n">
        <v>44757</v>
      </c>
      <c r="B1182" s="22" t="n">
        <v>-0.126</v>
      </c>
      <c r="C1182" s="22" t="n">
        <v>-0.061</v>
      </c>
      <c r="D1182" s="22" t="n">
        <v>0.032</v>
      </c>
      <c r="E1182" s="22" t="n">
        <v>0.235</v>
      </c>
      <c r="F1182" s="22" t="n">
        <v>0.875</v>
      </c>
      <c r="G1182" s="22" t="n">
        <v>1.213</v>
      </c>
      <c r="H1182" s="22" t="n">
        <v>1.32</v>
      </c>
      <c r="I1182" s="22" t="n">
        <v>3.1</v>
      </c>
      <c r="J1182" s="22" t="n">
        <v>3.12</v>
      </c>
      <c r="K1182" s="22" t="n">
        <v>2.93</v>
      </c>
      <c r="L1182" s="17">
        <f>$J1182-$B1182</f>
        <v/>
      </c>
      <c r="M1182" s="17">
        <f>$I1182-$L1182</f>
        <v/>
      </c>
      <c r="N1182" s="23">
        <f>($G1182-$M1182)*100</f>
        <v/>
      </c>
      <c r="O1182" s="15">
        <f>($E1182-$C1182)*100</f>
        <v/>
      </c>
      <c r="P1182" s="15">
        <f>($G1182-$E1182)*100</f>
        <v/>
      </c>
      <c r="Q1182" s="15">
        <f>($G1182-$C1182)*100</f>
        <v/>
      </c>
      <c r="R1182" s="15">
        <f>IF($H1182="","",($H1182-$F1182)*100)</f>
        <v/>
      </c>
      <c r="S1182" s="15">
        <f>IF($H1182="","",($H1182-$G1182)*100)</f>
        <v/>
      </c>
    </row>
    <row r="1183">
      <c r="A1183" s="11" t="n">
        <v>44764</v>
      </c>
      <c r="B1183" s="22" t="n">
        <v>-0.145</v>
      </c>
      <c r="C1183" s="22" t="n">
        <v>-0.077</v>
      </c>
      <c r="D1183" s="22" t="n">
        <v>0.01</v>
      </c>
      <c r="E1183" s="22" t="n">
        <v>0.222</v>
      </c>
      <c r="F1183" s="22" t="n">
        <v>0.866</v>
      </c>
      <c r="G1183" s="22" t="n">
        <v>1.237</v>
      </c>
      <c r="H1183" s="22" t="n">
        <v>1.373</v>
      </c>
      <c r="I1183" s="22" t="n">
        <v>3</v>
      </c>
      <c r="J1183" s="22" t="n">
        <v>3.01</v>
      </c>
      <c r="K1183" s="22" t="n">
        <v>2.77</v>
      </c>
      <c r="L1183" s="17">
        <f>$J1183-$B1183</f>
        <v/>
      </c>
      <c r="M1183" s="17">
        <f>$I1183-$L1183</f>
        <v/>
      </c>
      <c r="N1183" s="23">
        <f>($G1183-$M1183)*100</f>
        <v/>
      </c>
      <c r="O1183" s="15">
        <f>($E1183-$C1183)*100</f>
        <v/>
      </c>
      <c r="P1183" s="15">
        <f>($G1183-$E1183)*100</f>
        <v/>
      </c>
      <c r="Q1183" s="15">
        <f>($G1183-$C1183)*100</f>
        <v/>
      </c>
      <c r="R1183" s="15">
        <f>IF($H1183="","",($H1183-$F1183)*100)</f>
        <v/>
      </c>
      <c r="S1183" s="15">
        <f>IF($H1183="","",($H1183-$G1183)*100)</f>
        <v/>
      </c>
    </row>
    <row r="1184">
      <c r="A1184" s="11" t="n">
        <v>44771</v>
      </c>
      <c r="B1184" s="22" t="n">
        <v>-0.144</v>
      </c>
      <c r="C1184" s="22" t="n">
        <v>-0.09</v>
      </c>
      <c r="D1184" s="22" t="n">
        <v>-0.025</v>
      </c>
      <c r="E1184" s="22" t="n">
        <v>0.185</v>
      </c>
      <c r="F1184" s="22" t="n">
        <v>0.847</v>
      </c>
      <c r="G1184" s="22" t="n">
        <v>1.204</v>
      </c>
      <c r="H1184" s="22" t="n">
        <v>1.304</v>
      </c>
      <c r="I1184" s="22" t="n">
        <v>3</v>
      </c>
      <c r="J1184" s="22" t="n">
        <v>2.98</v>
      </c>
      <c r="K1184" s="22" t="n">
        <v>2.67</v>
      </c>
      <c r="L1184" s="17">
        <f>$J1184-$B1184</f>
        <v/>
      </c>
      <c r="M1184" s="17">
        <f>$I1184-$L1184</f>
        <v/>
      </c>
      <c r="N1184" s="23">
        <f>($G1184-$M1184)*100</f>
        <v/>
      </c>
      <c r="O1184" s="15">
        <f>($E1184-$C1184)*100</f>
        <v/>
      </c>
      <c r="P1184" s="15">
        <f>($G1184-$E1184)*100</f>
        <v/>
      </c>
      <c r="Q1184" s="15">
        <f>($G1184-$C1184)*100</f>
        <v/>
      </c>
      <c r="R1184" s="15">
        <f>IF($H1184="","",($H1184-$F1184)*100)</f>
        <v/>
      </c>
      <c r="S1184" s="15">
        <f>IF($H1184="","",($H1184-$G1184)*100)</f>
        <v/>
      </c>
    </row>
    <row r="1185">
      <c r="A1185" s="11" t="n">
        <v>44778</v>
      </c>
      <c r="B1185" s="22" t="n">
        <v>-0.146</v>
      </c>
      <c r="C1185" s="22" t="n">
        <v>-0.1</v>
      </c>
      <c r="D1185" s="22" t="n">
        <v>-0.033</v>
      </c>
      <c r="E1185" s="22" t="n">
        <v>0.172</v>
      </c>
      <c r="F1185" s="22" t="n">
        <v>0.8110000000000001</v>
      </c>
      <c r="G1185" s="22" t="n">
        <v>1.17</v>
      </c>
      <c r="H1185" s="22" t="n">
        <v>1.261</v>
      </c>
      <c r="I1185" s="22" t="n">
        <v>3.06</v>
      </c>
      <c r="J1185" s="22" t="n">
        <v>3.29</v>
      </c>
      <c r="K1185" s="22" t="n">
        <v>2.83</v>
      </c>
      <c r="L1185" s="17">
        <f>$J1185-$B1185</f>
        <v/>
      </c>
      <c r="M1185" s="17">
        <f>$I1185-$L1185</f>
        <v/>
      </c>
      <c r="N1185" s="23">
        <f>($G1185-$M1185)*100</f>
        <v/>
      </c>
      <c r="O1185" s="15">
        <f>($E1185-$C1185)*100</f>
        <v/>
      </c>
      <c r="P1185" s="15">
        <f>($G1185-$E1185)*100</f>
        <v/>
      </c>
      <c r="Q1185" s="15">
        <f>($G1185-$C1185)*100</f>
        <v/>
      </c>
      <c r="R1185" s="15">
        <f>IF($H1185="","",($H1185-$F1185)*100)</f>
        <v/>
      </c>
      <c r="S1185" s="15">
        <f>IF($H1185="","",($H1185-$G1185)*100)</f>
        <v/>
      </c>
    </row>
    <row r="1186">
      <c r="A1186" s="11" t="n">
        <v>44785</v>
      </c>
      <c r="B1186" s="22" t="n">
        <v>-0.139</v>
      </c>
      <c r="C1186" s="22" t="n">
        <v>-0.08599999999999999</v>
      </c>
      <c r="D1186" s="22" t="n">
        <v>-0.003</v>
      </c>
      <c r="E1186" s="22" t="n">
        <v>0.197</v>
      </c>
      <c r="F1186" s="22" t="n">
        <v>0.792</v>
      </c>
      <c r="G1186" s="22" t="n">
        <v>1.12</v>
      </c>
      <c r="H1186" s="22" t="n">
        <v>1.195</v>
      </c>
      <c r="I1186" s="22" t="n">
        <v>3.12</v>
      </c>
      <c r="J1186" s="22" t="n">
        <v>3.26</v>
      </c>
      <c r="K1186" s="22" t="n">
        <v>2.84</v>
      </c>
      <c r="L1186" s="17">
        <f>$J1186-$B1186</f>
        <v/>
      </c>
      <c r="M1186" s="17">
        <f>$I1186-$L1186</f>
        <v/>
      </c>
      <c r="N1186" s="23">
        <f>($G1186-$M1186)*100</f>
        <v/>
      </c>
      <c r="O1186" s="15">
        <f>($E1186-$C1186)*100</f>
        <v/>
      </c>
      <c r="P1186" s="15">
        <f>($G1186-$E1186)*100</f>
        <v/>
      </c>
      <c r="Q1186" s="15">
        <f>($G1186-$C1186)*100</f>
        <v/>
      </c>
      <c r="R1186" s="15">
        <f>IF($H1186="","",($H1186-$F1186)*100)</f>
        <v/>
      </c>
      <c r="S1186" s="15">
        <f>IF($H1186="","",($H1186-$G1186)*100)</f>
        <v/>
      </c>
    </row>
    <row r="1187">
      <c r="A1187" s="11" t="n">
        <v>44792</v>
      </c>
      <c r="B1187" s="22" t="n">
        <v>-0.131</v>
      </c>
      <c r="C1187" s="22" t="n">
        <v>-0.08599999999999999</v>
      </c>
      <c r="D1187" s="22" t="n">
        <v>0.005</v>
      </c>
      <c r="E1187" s="22" t="n">
        <v>0.208</v>
      </c>
      <c r="F1187" s="22" t="n">
        <v>0.779</v>
      </c>
      <c r="G1187" s="22" t="n">
        <v>1.098</v>
      </c>
      <c r="H1187" s="22" t="n">
        <v>1.179</v>
      </c>
      <c r="I1187" s="22" t="n">
        <v>3.22</v>
      </c>
      <c r="J1187" s="22" t="n">
        <v>3.26</v>
      </c>
      <c r="K1187" s="22" t="n">
        <v>2.98</v>
      </c>
      <c r="L1187" s="17">
        <f>$J1187-$B1187</f>
        <v/>
      </c>
      <c r="M1187" s="17">
        <f>$I1187-$L1187</f>
        <v/>
      </c>
      <c r="N1187" s="23">
        <f>($G1187-$M1187)*100</f>
        <v/>
      </c>
      <c r="O1187" s="15">
        <f>($E1187-$C1187)*100</f>
        <v/>
      </c>
      <c r="P1187" s="15">
        <f>($G1187-$E1187)*100</f>
        <v/>
      </c>
      <c r="Q1187" s="15">
        <f>($G1187-$C1187)*100</f>
        <v/>
      </c>
      <c r="R1187" s="15">
        <f>IF($H1187="","",($H1187-$F1187)*100)</f>
        <v/>
      </c>
      <c r="S1187" s="15">
        <f>IF($H1187="","",($H1187-$G1187)*100)</f>
        <v/>
      </c>
    </row>
    <row r="1188">
      <c r="A1188" s="11" t="n">
        <v>44799</v>
      </c>
      <c r="B1188" s="22" t="n">
        <v>-0.133</v>
      </c>
      <c r="C1188" s="22" t="n">
        <v>-0.08699999999999999</v>
      </c>
      <c r="D1188" s="22" t="n">
        <v>0.023</v>
      </c>
      <c r="E1188" s="22" t="n">
        <v>0.23</v>
      </c>
      <c r="F1188" s="22" t="n">
        <v>0.847</v>
      </c>
      <c r="G1188" s="22" t="n">
        <v>1.168</v>
      </c>
      <c r="H1188" s="22" t="n">
        <v>1.247</v>
      </c>
      <c r="I1188" s="22" t="n">
        <v>3.21</v>
      </c>
      <c r="J1188" s="22" t="n">
        <v>3.36</v>
      </c>
      <c r="K1188" s="22" t="n">
        <v>3.04</v>
      </c>
      <c r="L1188" s="17">
        <f>$J1188-$B1188</f>
        <v/>
      </c>
      <c r="M1188" s="17">
        <f>$I1188-$L1188</f>
        <v/>
      </c>
      <c r="N1188" s="23">
        <f>($G1188-$M1188)*100</f>
        <v/>
      </c>
      <c r="O1188" s="15">
        <f>($E1188-$C1188)*100</f>
        <v/>
      </c>
      <c r="P1188" s="15">
        <f>($G1188-$E1188)*100</f>
        <v/>
      </c>
      <c r="Q1188" s="15">
        <f>($G1188-$C1188)*100</f>
        <v/>
      </c>
      <c r="R1188" s="15">
        <f>IF($H1188="","",($H1188-$F1188)*100)</f>
        <v/>
      </c>
      <c r="S1188" s="15">
        <f>IF($H1188="","",($H1188-$G1188)*100)</f>
        <v/>
      </c>
    </row>
    <row r="1189">
      <c r="A1189" s="11" t="n">
        <v>44806</v>
      </c>
      <c r="B1189" s="22" t="n">
        <v>-0.135</v>
      </c>
      <c r="C1189" s="22" t="n">
        <v>-0.08500000000000001</v>
      </c>
      <c r="D1189" s="22" t="n">
        <v>0.038</v>
      </c>
      <c r="E1189" s="22" t="n">
        <v>0.25</v>
      </c>
      <c r="F1189" s="22" t="n">
        <v>0.914</v>
      </c>
      <c r="G1189" s="22" t="n">
        <v>1.273</v>
      </c>
      <c r="H1189" s="22" t="n">
        <v>1.364</v>
      </c>
      <c r="I1189" s="22" t="n">
        <v>3.35</v>
      </c>
      <c r="J1189" s="22" t="n">
        <v>3.47</v>
      </c>
      <c r="K1189" s="22" t="n">
        <v>3.2</v>
      </c>
      <c r="L1189" s="17">
        <f>$J1189-$B1189</f>
        <v/>
      </c>
      <c r="M1189" s="17">
        <f>$I1189-$L1189</f>
        <v/>
      </c>
      <c r="N1189" s="23">
        <f>($G1189-$M1189)*100</f>
        <v/>
      </c>
      <c r="O1189" s="15">
        <f>($E1189-$C1189)*100</f>
        <v/>
      </c>
      <c r="P1189" s="15">
        <f>($G1189-$E1189)*100</f>
        <v/>
      </c>
      <c r="Q1189" s="15">
        <f>($G1189-$C1189)*100</f>
        <v/>
      </c>
      <c r="R1189" s="15">
        <f>IF($H1189="","",($H1189-$F1189)*100)</f>
        <v/>
      </c>
      <c r="S1189" s="15">
        <f>IF($H1189="","",($H1189-$G1189)*100)</f>
        <v/>
      </c>
    </row>
    <row r="1190">
      <c r="A1190" s="11" t="n">
        <v>44813</v>
      </c>
      <c r="B1190" s="22" t="n">
        <v>-0.136</v>
      </c>
      <c r="C1190" s="22" t="n">
        <v>-0.081</v>
      </c>
      <c r="D1190" s="22" t="n">
        <v>0.063</v>
      </c>
      <c r="E1190" s="22" t="n">
        <v>0.265</v>
      </c>
      <c r="F1190" s="22" t="n">
        <v>0.957</v>
      </c>
      <c r="G1190" s="22" t="n">
        <v>1.316</v>
      </c>
      <c r="H1190" s="22" t="n">
        <v>1.417</v>
      </c>
      <c r="I1190" s="22" t="n">
        <v>3.47</v>
      </c>
      <c r="J1190" s="22" t="n">
        <v>3.67</v>
      </c>
      <c r="K1190" s="22" t="n">
        <v>3.33</v>
      </c>
      <c r="L1190" s="17">
        <f>$J1190-$B1190</f>
        <v/>
      </c>
      <c r="M1190" s="17">
        <f>$I1190-$L1190</f>
        <v/>
      </c>
      <c r="N1190" s="23">
        <f>($G1190-$M1190)*100</f>
        <v/>
      </c>
      <c r="O1190" s="15">
        <f>($E1190-$C1190)*100</f>
        <v/>
      </c>
      <c r="P1190" s="15">
        <f>($G1190-$E1190)*100</f>
        <v/>
      </c>
      <c r="Q1190" s="15">
        <f>($G1190-$C1190)*100</f>
        <v/>
      </c>
      <c r="R1190" s="15">
        <f>IF($H1190="","",($H1190-$F1190)*100)</f>
        <v/>
      </c>
      <c r="S1190" s="15">
        <f>IF($H1190="","",($H1190-$G1190)*100)</f>
        <v/>
      </c>
    </row>
    <row r="1191">
      <c r="A1191" s="11" t="n">
        <v>44820</v>
      </c>
      <c r="B1191" s="22" t="n">
        <v>-0.156</v>
      </c>
      <c r="C1191" s="22" t="n">
        <v>-0.07099999999999999</v>
      </c>
      <c r="D1191" s="22" t="n">
        <v>0.06900000000000001</v>
      </c>
      <c r="E1191" s="22" t="n">
        <v>0.273</v>
      </c>
      <c r="F1191" s="22" t="n">
        <v>0.958</v>
      </c>
      <c r="G1191" s="22" t="n">
        <v>1.293</v>
      </c>
      <c r="H1191" s="22" t="n">
        <v>1.381</v>
      </c>
      <c r="I1191" s="22" t="n">
        <v>3.52</v>
      </c>
      <c r="J1191" s="22" t="n">
        <v>3.96</v>
      </c>
      <c r="K1191" s="22" t="n">
        <v>3.45</v>
      </c>
      <c r="L1191" s="17">
        <f>$J1191-$B1191</f>
        <v/>
      </c>
      <c r="M1191" s="17">
        <f>$I1191-$L1191</f>
        <v/>
      </c>
      <c r="N1191" s="23">
        <f>($G1191-$M1191)*100</f>
        <v/>
      </c>
      <c r="O1191" s="15">
        <f>($E1191-$C1191)*100</f>
        <v/>
      </c>
      <c r="P1191" s="15">
        <f>($G1191-$E1191)*100</f>
        <v/>
      </c>
      <c r="Q1191" s="15">
        <f>($G1191-$C1191)*100</f>
        <v/>
      </c>
      <c r="R1191" s="15">
        <f>IF($H1191="","",($H1191-$F1191)*100)</f>
        <v/>
      </c>
      <c r="S1191" s="15">
        <f>IF($H1191="","",($H1191-$G1191)*100)</f>
        <v/>
      </c>
    </row>
    <row r="1192">
      <c r="A1192" s="11" t="n">
        <v>44827</v>
      </c>
      <c r="B1192" s="22" t="n">
        <v>-0.136</v>
      </c>
      <c r="C1192" s="22" t="n">
        <v>-0.066</v>
      </c>
      <c r="D1192" s="22" t="n">
        <v>0.064</v>
      </c>
      <c r="E1192" s="22" t="n">
        <v>0.27</v>
      </c>
      <c r="F1192" s="22" t="n">
        <v>0.957</v>
      </c>
      <c r="G1192" s="22" t="n">
        <v>1.312</v>
      </c>
      <c r="H1192" s="22" t="n">
        <v>1.406</v>
      </c>
      <c r="I1192" s="22" t="n">
        <v>3.61</v>
      </c>
      <c r="J1192" s="22" t="n">
        <v>4.15</v>
      </c>
      <c r="K1192" s="22" t="n">
        <v>3.69</v>
      </c>
      <c r="L1192" s="17">
        <f>$J1192-$B1192</f>
        <v/>
      </c>
      <c r="M1192" s="17">
        <f>$I1192-$L1192</f>
        <v/>
      </c>
      <c r="N1192" s="23">
        <f>($G1192-$M1192)*100</f>
        <v/>
      </c>
      <c r="O1192" s="15">
        <f>($E1192-$C1192)*100</f>
        <v/>
      </c>
      <c r="P1192" s="15">
        <f>($G1192-$E1192)*100</f>
        <v/>
      </c>
      <c r="Q1192" s="15">
        <f>($G1192-$C1192)*100</f>
        <v/>
      </c>
      <c r="R1192" s="15">
        <f>IF($H1192="","",($H1192-$F1192)*100)</f>
        <v/>
      </c>
      <c r="S1192" s="15">
        <f>IF($H1192="","",($H1192-$G1192)*100)</f>
        <v/>
      </c>
    </row>
    <row r="1193">
      <c r="A1193" s="11" t="n">
        <v>44834</v>
      </c>
      <c r="B1193" s="22" t="n">
        <v>-0.115</v>
      </c>
      <c r="C1193" s="22" t="n">
        <v>-0.05</v>
      </c>
      <c r="D1193" s="22" t="n">
        <v>0.08799999999999999</v>
      </c>
      <c r="E1193" s="22" t="n">
        <v>0.277</v>
      </c>
      <c r="F1193" s="22" t="n">
        <v>1.01</v>
      </c>
      <c r="G1193" s="22" t="n">
        <v>1.391</v>
      </c>
      <c r="H1193" s="22" t="n">
        <v>1.497</v>
      </c>
      <c r="I1193" s="22" t="n">
        <v>3.79</v>
      </c>
      <c r="J1193" s="22" t="n">
        <v>4.05</v>
      </c>
      <c r="K1193" s="22" t="n">
        <v>3.83</v>
      </c>
      <c r="L1193" s="17">
        <f>$J1193-$B1193</f>
        <v/>
      </c>
      <c r="M1193" s="17">
        <f>$I1193-$L1193</f>
        <v/>
      </c>
      <c r="N1193" s="23">
        <f>($G1193-$M1193)*100</f>
        <v/>
      </c>
      <c r="O1193" s="15">
        <f>($E1193-$C1193)*100</f>
        <v/>
      </c>
      <c r="P1193" s="15">
        <f>($G1193-$E1193)*100</f>
        <v/>
      </c>
      <c r="Q1193" s="15">
        <f>($G1193-$C1193)*100</f>
        <v/>
      </c>
      <c r="R1193" s="15">
        <f>IF($H1193="","",($H1193-$F1193)*100)</f>
        <v/>
      </c>
      <c r="S1193" s="15">
        <f>IF($H1193="","",($H1193-$G1193)*100)</f>
        <v/>
      </c>
    </row>
    <row r="1194">
      <c r="A1194" s="11" t="n">
        <v>44841</v>
      </c>
      <c r="B1194" s="22" t="n">
        <v>-0.135</v>
      </c>
      <c r="C1194" s="22" t="n">
        <v>-0.065</v>
      </c>
      <c r="D1194" s="22" t="n">
        <v>0.066</v>
      </c>
      <c r="E1194" s="22" t="n">
        <v>0.25</v>
      </c>
      <c r="F1194" s="22" t="n">
        <v>0.976</v>
      </c>
      <c r="G1194" s="22" t="n">
        <v>1.369</v>
      </c>
      <c r="H1194" s="22" t="n">
        <v>1.474</v>
      </c>
      <c r="I1194" s="22" t="n">
        <v>3.86</v>
      </c>
      <c r="J1194" s="22" t="n">
        <v>4.24</v>
      </c>
      <c r="K1194" s="22" t="n">
        <v>3.89</v>
      </c>
      <c r="L1194" s="17">
        <f>$J1194-$B1194</f>
        <v/>
      </c>
      <c r="M1194" s="17">
        <f>$I1194-$L1194</f>
        <v/>
      </c>
      <c r="N1194" s="23">
        <f>($G1194-$M1194)*100</f>
        <v/>
      </c>
      <c r="O1194" s="15">
        <f>($E1194-$C1194)*100</f>
        <v/>
      </c>
      <c r="P1194" s="15">
        <f>($G1194-$E1194)*100</f>
        <v/>
      </c>
      <c r="Q1194" s="15">
        <f>($G1194-$C1194)*100</f>
        <v/>
      </c>
      <c r="R1194" s="15">
        <f>IF($H1194="","",($H1194-$F1194)*100)</f>
        <v/>
      </c>
      <c r="S1194" s="15">
        <f>IF($H1194="","",($H1194-$G1194)*100)</f>
        <v/>
      </c>
    </row>
    <row r="1195">
      <c r="A1195" s="11" t="n">
        <v>44848</v>
      </c>
      <c r="B1195" s="22" t="n">
        <v>-0.126</v>
      </c>
      <c r="C1195" s="22" t="n">
        <v>-0.05</v>
      </c>
      <c r="D1195" s="22" t="n">
        <v>0.08599999999999999</v>
      </c>
      <c r="E1195" s="22" t="n">
        <v>0.253</v>
      </c>
      <c r="F1195" s="22" t="n">
        <v>1.066</v>
      </c>
      <c r="G1195" s="22" t="n">
        <v>1.456</v>
      </c>
      <c r="H1195" s="22" t="n">
        <v>1.573</v>
      </c>
      <c r="I1195" s="22" t="n">
        <v>3.99</v>
      </c>
      <c r="J1195" s="22" t="n">
        <v>4.5</v>
      </c>
      <c r="K1195" s="22" t="n">
        <v>4</v>
      </c>
      <c r="L1195" s="17">
        <f>$J1195-$B1195</f>
        <v/>
      </c>
      <c r="M1195" s="17">
        <f>$I1195-$L1195</f>
        <v/>
      </c>
      <c r="N1195" s="23">
        <f>($G1195-$M1195)*100</f>
        <v/>
      </c>
      <c r="O1195" s="15">
        <f>($E1195-$C1195)*100</f>
        <v/>
      </c>
      <c r="P1195" s="15">
        <f>($G1195-$E1195)*100</f>
        <v/>
      </c>
      <c r="Q1195" s="15">
        <f>($G1195-$C1195)*100</f>
        <v/>
      </c>
      <c r="R1195" s="15">
        <f>IF($H1195="","",($H1195-$F1195)*100)</f>
        <v/>
      </c>
      <c r="S1195" s="15">
        <f>IF($H1195="","",($H1195-$G1195)*100)</f>
        <v/>
      </c>
    </row>
    <row r="1196">
      <c r="A1196" s="11" t="n">
        <v>44855</v>
      </c>
      <c r="B1196" s="22" t="n">
        <v>-0.095</v>
      </c>
      <c r="C1196" s="22" t="n">
        <v>-0.003</v>
      </c>
      <c r="D1196" s="22" t="n">
        <v>0.142</v>
      </c>
      <c r="E1196" s="22" t="n">
        <v>0.261</v>
      </c>
      <c r="F1196" s="22" t="n">
        <v>1.191</v>
      </c>
      <c r="G1196" s="22" t="n">
        <v>1.558</v>
      </c>
      <c r="H1196" s="22" t="n">
        <v>1.676</v>
      </c>
      <c r="I1196" s="22" t="n">
        <v>4.33</v>
      </c>
      <c r="J1196" s="22" t="n">
        <v>4.58</v>
      </c>
      <c r="K1196" s="22" t="n">
        <v>4.21</v>
      </c>
      <c r="L1196" s="17">
        <f>$J1196-$B1196</f>
        <v/>
      </c>
      <c r="M1196" s="17">
        <f>$I1196-$L1196</f>
        <v/>
      </c>
      <c r="N1196" s="23">
        <f>($G1196-$M1196)*100</f>
        <v/>
      </c>
      <c r="O1196" s="15">
        <f>($E1196-$C1196)*100</f>
        <v/>
      </c>
      <c r="P1196" s="15">
        <f>($G1196-$E1196)*100</f>
        <v/>
      </c>
      <c r="Q1196" s="15">
        <f>($G1196-$C1196)*100</f>
        <v/>
      </c>
      <c r="R1196" s="15">
        <f>IF($H1196="","",($H1196-$F1196)*100)</f>
        <v/>
      </c>
      <c r="S1196" s="15">
        <f>IF($H1196="","",($H1196-$G1196)*100)</f>
        <v/>
      </c>
    </row>
    <row r="1197">
      <c r="A1197" s="11" t="n">
        <v>44862</v>
      </c>
      <c r="B1197" s="22" t="n">
        <v>-0.114</v>
      </c>
      <c r="C1197" s="22" t="n">
        <v>-0.049</v>
      </c>
      <c r="D1197" s="22" t="n">
        <v>0.077</v>
      </c>
      <c r="E1197" s="22" t="n">
        <v>0.254</v>
      </c>
      <c r="F1197" s="22" t="n">
        <v>1.087</v>
      </c>
      <c r="G1197" s="22" t="n">
        <v>1.438</v>
      </c>
      <c r="H1197" s="22" t="n">
        <v>1.558</v>
      </c>
      <c r="I1197" s="22" t="n">
        <v>4.15</v>
      </c>
      <c r="J1197" s="22" t="n">
        <v>4.55</v>
      </c>
      <c r="K1197" s="22" t="n">
        <v>4.02</v>
      </c>
      <c r="L1197" s="17">
        <f>$J1197-$B1197</f>
        <v/>
      </c>
      <c r="M1197" s="17">
        <f>$I1197-$L1197</f>
        <v/>
      </c>
      <c r="N1197" s="23">
        <f>($G1197-$M1197)*100</f>
        <v/>
      </c>
      <c r="O1197" s="15">
        <f>($E1197-$C1197)*100</f>
        <v/>
      </c>
      <c r="P1197" s="15">
        <f>($G1197-$E1197)*100</f>
        <v/>
      </c>
      <c r="Q1197" s="15">
        <f>($G1197-$C1197)*100</f>
        <v/>
      </c>
      <c r="R1197" s="15">
        <f>IF($H1197="","",($H1197-$F1197)*100)</f>
        <v/>
      </c>
      <c r="S1197" s="15">
        <f>IF($H1197="","",($H1197-$G1197)*100)</f>
        <v/>
      </c>
    </row>
    <row r="1198">
      <c r="A1198" s="11" t="n">
        <v>44869</v>
      </c>
      <c r="B1198" s="22" t="n">
        <v>-0.095</v>
      </c>
      <c r="C1198" s="22" t="n">
        <v>-0.04</v>
      </c>
      <c r="D1198" s="22" t="n">
        <v>0.094</v>
      </c>
      <c r="E1198" s="22" t="n">
        <v>0.263</v>
      </c>
      <c r="F1198" s="22" t="n">
        <v>1.151</v>
      </c>
      <c r="G1198" s="22" t="n">
        <v>1.54</v>
      </c>
      <c r="H1198" s="22" t="n">
        <v>1.655</v>
      </c>
      <c r="I1198" s="22" t="n">
        <v>4.27</v>
      </c>
      <c r="J1198" s="22" t="n">
        <v>4.76</v>
      </c>
      <c r="K1198" s="22" t="n">
        <v>4.17</v>
      </c>
      <c r="L1198" s="17">
        <f>$J1198-$B1198</f>
        <v/>
      </c>
      <c r="M1198" s="17">
        <f>$I1198-$L1198</f>
        <v/>
      </c>
      <c r="N1198" s="23">
        <f>($G1198-$M1198)*100</f>
        <v/>
      </c>
      <c r="O1198" s="15">
        <f>($E1198-$C1198)*100</f>
        <v/>
      </c>
      <c r="P1198" s="15">
        <f>($G1198-$E1198)*100</f>
        <v/>
      </c>
      <c r="Q1198" s="15">
        <f>($G1198-$C1198)*100</f>
        <v/>
      </c>
      <c r="R1198" s="15">
        <f>IF($H1198="","",($H1198-$F1198)*100)</f>
        <v/>
      </c>
      <c r="S1198" s="15">
        <f>IF($H1198="","",($H1198-$G1198)*100)</f>
        <v/>
      </c>
    </row>
    <row r="1199">
      <c r="A1199" s="11" t="n">
        <v>44876</v>
      </c>
      <c r="B1199" s="22" t="n">
        <v>-0.105</v>
      </c>
      <c r="C1199" s="22" t="n">
        <v>-0.056</v>
      </c>
      <c r="D1199" s="22" t="n">
        <v>0.054</v>
      </c>
      <c r="E1199" s="22" t="n">
        <v>0.252</v>
      </c>
      <c r="F1199" s="22" t="n">
        <v>1.06</v>
      </c>
      <c r="G1199" s="22" t="n">
        <v>1.437</v>
      </c>
      <c r="H1199" s="22" t="n">
        <v>1.564</v>
      </c>
      <c r="I1199" s="22" t="n">
        <v>4.03</v>
      </c>
      <c r="J1199" s="22" t="n">
        <v>4.59</v>
      </c>
      <c r="K1199" s="22" t="n">
        <v>3.82</v>
      </c>
      <c r="L1199" s="17">
        <f>$J1199-$B1199</f>
        <v/>
      </c>
      <c r="M1199" s="17">
        <f>$I1199-$L1199</f>
        <v/>
      </c>
      <c r="N1199" s="23">
        <f>($G1199-$M1199)*100</f>
        <v/>
      </c>
      <c r="O1199" s="15">
        <f>($E1199-$C1199)*100</f>
        <v/>
      </c>
      <c r="P1199" s="15">
        <f>($G1199-$E1199)*100</f>
        <v/>
      </c>
      <c r="Q1199" s="15">
        <f>($G1199-$C1199)*100</f>
        <v/>
      </c>
      <c r="R1199" s="15">
        <f>IF($H1199="","",($H1199-$F1199)*100)</f>
        <v/>
      </c>
      <c r="S1199" s="15">
        <f>IF($H1199="","",($H1199-$G1199)*100)</f>
        <v/>
      </c>
    </row>
    <row r="1200">
      <c r="A1200" s="11" t="n">
        <v>44883</v>
      </c>
      <c r="B1200" s="22" t="n">
        <v>-0.095</v>
      </c>
      <c r="C1200" s="22" t="n">
        <v>-0.019</v>
      </c>
      <c r="D1200" s="22" t="n">
        <v>0.091</v>
      </c>
      <c r="E1200" s="22" t="n">
        <v>0.267</v>
      </c>
      <c r="F1200" s="22" t="n">
        <v>1.056</v>
      </c>
      <c r="G1200" s="22" t="n">
        <v>1.41</v>
      </c>
      <c r="H1200" s="22" t="n">
        <v>1.537</v>
      </c>
      <c r="I1200" s="22" t="n">
        <v>3.92</v>
      </c>
      <c r="J1200" s="22" t="n">
        <v>4.74</v>
      </c>
      <c r="K1200" s="22" t="n">
        <v>3.82</v>
      </c>
      <c r="L1200" s="17">
        <f>$J1200-$B1200</f>
        <v/>
      </c>
      <c r="M1200" s="17">
        <f>$I1200-$L1200</f>
        <v/>
      </c>
      <c r="N1200" s="23">
        <f>($G1200-$M1200)*100</f>
        <v/>
      </c>
      <c r="O1200" s="15">
        <f>($E1200-$C1200)*100</f>
        <v/>
      </c>
      <c r="P1200" s="15">
        <f>($G1200-$E1200)*100</f>
        <v/>
      </c>
      <c r="Q1200" s="15">
        <f>($G1200-$C1200)*100</f>
        <v/>
      </c>
      <c r="R1200" s="15">
        <f>IF($H1200="","",($H1200-$F1200)*100)</f>
        <v/>
      </c>
      <c r="S1200" s="15">
        <f>IF($H1200="","",($H1200-$G1200)*100)</f>
        <v/>
      </c>
    </row>
    <row r="1201">
      <c r="A1201" s="11" t="n">
        <v>44890</v>
      </c>
      <c r="B1201" s="22" t="n">
        <v>-0.095</v>
      </c>
      <c r="C1201" s="22" t="n">
        <v>-0.018</v>
      </c>
      <c r="D1201" s="22" t="n">
        <v>0.104</v>
      </c>
      <c r="E1201" s="22" t="n">
        <v>0.275</v>
      </c>
      <c r="F1201" s="22" t="n">
        <v>1.1</v>
      </c>
      <c r="G1201" s="22" t="n">
        <v>1.474</v>
      </c>
      <c r="H1201" s="22" t="n">
        <v>1.613</v>
      </c>
      <c r="I1201" s="22" t="n">
        <v>3.74</v>
      </c>
      <c r="J1201" s="22" t="n">
        <v>4.76</v>
      </c>
      <c r="K1201" s="22" t="n">
        <v>3.68</v>
      </c>
      <c r="L1201" s="17">
        <f>$J1201-$B1201</f>
        <v/>
      </c>
      <c r="M1201" s="17">
        <f>$I1201-$L1201</f>
        <v/>
      </c>
      <c r="N1201" s="23">
        <f>($G1201-$M1201)*100</f>
        <v/>
      </c>
      <c r="O1201" s="15">
        <f>($E1201-$C1201)*100</f>
        <v/>
      </c>
      <c r="P1201" s="15">
        <f>($G1201-$E1201)*100</f>
        <v/>
      </c>
      <c r="Q1201" s="15">
        <f>($G1201-$C1201)*100</f>
        <v/>
      </c>
      <c r="R1201" s="15">
        <f>IF($H1201="","",($H1201-$F1201)*100)</f>
        <v/>
      </c>
      <c r="S1201" s="15">
        <f>IF($H1201="","",($H1201-$G1201)*100)</f>
        <v/>
      </c>
    </row>
    <row r="1202">
      <c r="A1202" s="11" t="n">
        <v>44897</v>
      </c>
      <c r="B1202" s="22" t="n">
        <v>-0.075</v>
      </c>
      <c r="C1202" s="22" t="n">
        <v>-0.025</v>
      </c>
      <c r="D1202" s="22" t="n">
        <v>0.116</v>
      </c>
      <c r="E1202" s="22" t="n">
        <v>0.279</v>
      </c>
      <c r="F1202" s="22" t="n">
        <v>1.104</v>
      </c>
      <c r="G1202" s="22" t="n">
        <v>1.482</v>
      </c>
      <c r="H1202" s="22" t="n">
        <v>1.645</v>
      </c>
      <c r="I1202" s="22" t="n">
        <v>3.56</v>
      </c>
      <c r="J1202" s="22" t="n">
        <v>4.69</v>
      </c>
      <c r="K1202" s="22" t="n">
        <v>3.51</v>
      </c>
      <c r="L1202" s="17">
        <f>$J1202-$B1202</f>
        <v/>
      </c>
      <c r="M1202" s="17">
        <f>$I1202-$L1202</f>
        <v/>
      </c>
      <c r="N1202" s="23">
        <f>($G1202-$M1202)*100</f>
        <v/>
      </c>
      <c r="O1202" s="15">
        <f>($E1202-$C1202)*100</f>
        <v/>
      </c>
      <c r="P1202" s="15">
        <f>($G1202-$E1202)*100</f>
        <v/>
      </c>
      <c r="Q1202" s="15">
        <f>($G1202-$C1202)*100</f>
        <v/>
      </c>
      <c r="R1202" s="15">
        <f>IF($H1202="","",($H1202-$F1202)*100)</f>
        <v/>
      </c>
      <c r="S1202" s="15">
        <f>IF($H1202="","",($H1202-$G1202)*100)</f>
        <v/>
      </c>
    </row>
    <row r="1203">
      <c r="A1203" s="11" t="n">
        <v>44904</v>
      </c>
      <c r="B1203" s="22" t="n">
        <v>-0.083</v>
      </c>
      <c r="C1203" s="22" t="n">
        <v>-0.015</v>
      </c>
      <c r="D1203" s="22" t="n">
        <v>0.126</v>
      </c>
      <c r="E1203" s="22" t="n">
        <v>0.277</v>
      </c>
      <c r="F1203" s="22" t="n">
        <v>1.076</v>
      </c>
      <c r="G1203" s="22" t="n">
        <v>1.401</v>
      </c>
      <c r="H1203" s="22" t="n">
        <v>1.543</v>
      </c>
      <c r="I1203" s="22" t="n">
        <v>3.56</v>
      </c>
      <c r="J1203" s="22" t="n">
        <v>4.72</v>
      </c>
      <c r="K1203" s="22" t="n">
        <v>3.57</v>
      </c>
      <c r="L1203" s="17">
        <f>$J1203-$B1203</f>
        <v/>
      </c>
      <c r="M1203" s="17">
        <f>$I1203-$L1203</f>
        <v/>
      </c>
      <c r="N1203" s="23">
        <f>($G1203-$M1203)*100</f>
        <v/>
      </c>
      <c r="O1203" s="15">
        <f>($E1203-$C1203)*100</f>
        <v/>
      </c>
      <c r="P1203" s="15">
        <f>($G1203-$E1203)*100</f>
        <v/>
      </c>
      <c r="Q1203" s="15">
        <f>($G1203-$C1203)*100</f>
        <v/>
      </c>
      <c r="R1203" s="15">
        <f>IF($H1203="","",($H1203-$F1203)*100)</f>
        <v/>
      </c>
      <c r="S1203" s="15">
        <f>IF($H1203="","",($H1203-$G1203)*100)</f>
        <v/>
      </c>
    </row>
    <row r="1204">
      <c r="A1204" s="11" t="n">
        <v>44911</v>
      </c>
      <c r="B1204" s="22" t="n">
        <v>-0.08500000000000001</v>
      </c>
      <c r="C1204" s="22" t="n">
        <v>-0.019</v>
      </c>
      <c r="D1204" s="22" t="n">
        <v>0.139</v>
      </c>
      <c r="E1204" s="22" t="n">
        <v>0.28</v>
      </c>
      <c r="F1204" s="22" t="n">
        <v>1.142</v>
      </c>
      <c r="G1204" s="22" t="n">
        <v>1.466</v>
      </c>
      <c r="H1204" s="22" t="n">
        <v>1.592</v>
      </c>
      <c r="I1204" s="22" t="n">
        <v>3.53</v>
      </c>
      <c r="J1204" s="22" t="n">
        <v>4.61</v>
      </c>
      <c r="K1204" s="22" t="n">
        <v>3.48</v>
      </c>
      <c r="L1204" s="17">
        <f>$J1204-$B1204</f>
        <v/>
      </c>
      <c r="M1204" s="17">
        <f>$I1204-$L1204</f>
        <v/>
      </c>
      <c r="N1204" s="23">
        <f>($G1204-$M1204)*100</f>
        <v/>
      </c>
      <c r="O1204" s="15">
        <f>($E1204-$C1204)*100</f>
        <v/>
      </c>
      <c r="P1204" s="15">
        <f>($G1204-$E1204)*100</f>
        <v/>
      </c>
      <c r="Q1204" s="15">
        <f>($G1204-$C1204)*100</f>
        <v/>
      </c>
      <c r="R1204" s="15">
        <f>IF($H1204="","",($H1204-$F1204)*100)</f>
        <v/>
      </c>
      <c r="S1204" s="15">
        <f>IF($H1204="","",($H1204-$G1204)*100)</f>
        <v/>
      </c>
    </row>
    <row r="1205">
      <c r="A1205" s="11" t="n">
        <v>44918</v>
      </c>
      <c r="B1205" s="22" t="n">
        <v>-0.055</v>
      </c>
      <c r="C1205" s="22" t="n">
        <v>0.014</v>
      </c>
      <c r="D1205" s="22" t="n">
        <v>0.217</v>
      </c>
      <c r="E1205" s="22" t="n">
        <v>0.424</v>
      </c>
      <c r="F1205" s="22" t="n">
        <v>1.216</v>
      </c>
      <c r="G1205" s="22" t="n">
        <v>1.495</v>
      </c>
      <c r="H1205" s="22" t="n">
        <v>1.621</v>
      </c>
      <c r="I1205" s="22" t="n">
        <v>3.82</v>
      </c>
      <c r="J1205" s="22" t="n">
        <v>4.66</v>
      </c>
      <c r="K1205" s="22" t="n">
        <v>3.75</v>
      </c>
      <c r="L1205" s="17">
        <f>$J1205-$B1205</f>
        <v/>
      </c>
      <c r="M1205" s="17">
        <f>$I1205-$L1205</f>
        <v/>
      </c>
      <c r="N1205" s="23">
        <f>($G1205-$M1205)*100</f>
        <v/>
      </c>
      <c r="O1205" s="15">
        <f>($E1205-$C1205)*100</f>
        <v/>
      </c>
      <c r="P1205" s="15">
        <f>($G1205-$E1205)*100</f>
        <v/>
      </c>
      <c r="Q1205" s="15">
        <f>($G1205-$C1205)*100</f>
        <v/>
      </c>
      <c r="R1205" s="15">
        <f>IF($H1205="","",($H1205-$F1205)*100)</f>
        <v/>
      </c>
      <c r="S1205" s="15">
        <f>IF($H1205="","",($H1205-$G1205)*100)</f>
        <v/>
      </c>
    </row>
    <row r="1206">
      <c r="A1206" s="11" t="n">
        <v>44925</v>
      </c>
      <c r="B1206" s="22" t="n">
        <v>0.013</v>
      </c>
      <c r="C1206" s="22" t="n">
        <v>0.03</v>
      </c>
      <c r="D1206" s="22" t="n">
        <v>0.253</v>
      </c>
      <c r="E1206" s="22" t="n">
        <v>0.454</v>
      </c>
      <c r="F1206" s="22" t="n">
        <v>1.29</v>
      </c>
      <c r="G1206" s="22" t="n">
        <v>1.578</v>
      </c>
      <c r="H1206" s="22" t="n">
        <v>1.742</v>
      </c>
      <c r="I1206" s="22" t="n">
        <v>3.97</v>
      </c>
      <c r="J1206" s="22" t="n">
        <v>4.73</v>
      </c>
      <c r="K1206" s="22" t="n">
        <v>3.88</v>
      </c>
      <c r="L1206" s="17">
        <f>$J1206-$B1206</f>
        <v/>
      </c>
      <c r="M1206" s="17">
        <f>$I1206-$L1206</f>
        <v/>
      </c>
      <c r="N1206" s="23">
        <f>($G1206-$M1206)*100</f>
        <v/>
      </c>
      <c r="O1206" s="15">
        <f>($E1206-$C1206)*100</f>
        <v/>
      </c>
      <c r="P1206" s="15">
        <f>($G1206-$E1206)*100</f>
        <v/>
      </c>
      <c r="Q1206" s="15">
        <f>($G1206-$C1206)*100</f>
        <v/>
      </c>
      <c r="R1206" s="15">
        <f>IF($H1206="","",($H1206-$F1206)*100)</f>
        <v/>
      </c>
      <c r="S1206" s="15">
        <f>IF($H1206="","",($H1206-$G1206)*100)</f>
        <v/>
      </c>
    </row>
    <row r="1207">
      <c r="A1207" s="11" t="n">
        <v>44932</v>
      </c>
      <c r="B1207" s="22" t="n">
        <v>-0.006</v>
      </c>
      <c r="C1207" s="22" t="n">
        <v>0.011</v>
      </c>
      <c r="D1207" s="22" t="n">
        <v>0.23</v>
      </c>
      <c r="E1207" s="22" t="n">
        <v>0.508</v>
      </c>
      <c r="F1207" s="22" t="n">
        <v>1.282</v>
      </c>
      <c r="G1207" s="22" t="n">
        <v>1.573</v>
      </c>
      <c r="H1207" s="22" t="n">
        <v>1.74</v>
      </c>
      <c r="I1207" s="22" t="n">
        <v>3.67</v>
      </c>
      <c r="J1207" s="22" t="n">
        <v>4.71</v>
      </c>
      <c r="K1207" s="22" t="n">
        <v>3.55</v>
      </c>
      <c r="L1207" s="17">
        <f>$J1207-$B1207</f>
        <v/>
      </c>
      <c r="M1207" s="17">
        <f>$I1207-$L1207</f>
        <v/>
      </c>
      <c r="N1207" s="23">
        <f>($G1207-$M1207)*100</f>
        <v/>
      </c>
      <c r="O1207" s="15">
        <f>($E1207-$C1207)*100</f>
        <v/>
      </c>
      <c r="P1207" s="15">
        <f>($G1207-$E1207)*100</f>
        <v/>
      </c>
      <c r="Q1207" s="15">
        <f>($G1207-$C1207)*100</f>
        <v/>
      </c>
      <c r="R1207" s="15">
        <f>IF($H1207="","",($H1207-$F1207)*100)</f>
        <v/>
      </c>
      <c r="S1207" s="15">
        <f>IF($H1207="","",($H1207-$G1207)*100)</f>
        <v/>
      </c>
    </row>
    <row r="1208">
      <c r="A1208" s="11" t="n">
        <v>44939</v>
      </c>
      <c r="B1208" s="22" t="n">
        <v>-0.005</v>
      </c>
      <c r="C1208" s="22" t="n">
        <v>0.032</v>
      </c>
      <c r="D1208" s="22" t="n">
        <v>0.328</v>
      </c>
      <c r="E1208" s="22" t="n">
        <v>0.508</v>
      </c>
      <c r="F1208" s="22" t="n">
        <v>1.365</v>
      </c>
      <c r="G1208" s="22" t="n">
        <v>1.61</v>
      </c>
      <c r="H1208" s="22" t="n">
        <v>1.768</v>
      </c>
      <c r="I1208" s="22" t="n">
        <v>3.61</v>
      </c>
      <c r="J1208" s="22" t="n">
        <v>4.69</v>
      </c>
      <c r="K1208" s="22" t="n">
        <v>3.49</v>
      </c>
      <c r="L1208" s="17">
        <f>$J1208-$B1208</f>
        <v/>
      </c>
      <c r="M1208" s="17">
        <f>$I1208-$L1208</f>
        <v/>
      </c>
      <c r="N1208" s="23">
        <f>($G1208-$M1208)*100</f>
        <v/>
      </c>
      <c r="O1208" s="15">
        <f>($E1208-$C1208)*100</f>
        <v/>
      </c>
      <c r="P1208" s="15">
        <f>($G1208-$E1208)*100</f>
        <v/>
      </c>
      <c r="Q1208" s="15">
        <f>($G1208-$C1208)*100</f>
        <v/>
      </c>
      <c r="R1208" s="15">
        <f>IF($H1208="","",($H1208-$F1208)*100)</f>
        <v/>
      </c>
      <c r="S1208" s="15">
        <f>IF($H1208="","",($H1208-$G1208)*100)</f>
        <v/>
      </c>
    </row>
    <row r="1209">
      <c r="A1209" s="11" t="n">
        <v>44946</v>
      </c>
      <c r="B1209" s="22" t="n">
        <v>-0.045</v>
      </c>
      <c r="C1209" s="22" t="n">
        <v>-0.004</v>
      </c>
      <c r="D1209" s="22" t="n">
        <v>0.198</v>
      </c>
      <c r="E1209" s="22" t="n">
        <v>0.418</v>
      </c>
      <c r="F1209" s="22" t="n">
        <v>1.294</v>
      </c>
      <c r="G1209" s="22" t="n">
        <v>1.56</v>
      </c>
      <c r="H1209" s="22" t="n">
        <v>1.712</v>
      </c>
      <c r="I1209" s="22" t="n">
        <v>3.66</v>
      </c>
      <c r="J1209" s="22" t="n">
        <v>4.68</v>
      </c>
      <c r="K1209" s="22" t="n">
        <v>3.48</v>
      </c>
      <c r="L1209" s="17">
        <f>$J1209-$B1209</f>
        <v/>
      </c>
      <c r="M1209" s="17">
        <f>$I1209-$L1209</f>
        <v/>
      </c>
      <c r="N1209" s="23">
        <f>($G1209-$M1209)*100</f>
        <v/>
      </c>
      <c r="O1209" s="15">
        <f>($E1209-$C1209)*100</f>
        <v/>
      </c>
      <c r="P1209" s="15">
        <f>($G1209-$E1209)*100</f>
        <v/>
      </c>
      <c r="Q1209" s="15">
        <f>($G1209-$C1209)*100</f>
        <v/>
      </c>
      <c r="R1209" s="15">
        <f>IF($H1209="","",($H1209-$F1209)*100)</f>
        <v/>
      </c>
      <c r="S1209" s="15">
        <f>IF($H1209="","",($H1209-$G1209)*100)</f>
        <v/>
      </c>
    </row>
    <row r="1210">
      <c r="A1210" s="11" t="n">
        <v>44953</v>
      </c>
      <c r="B1210" s="22" t="n">
        <v>-0.055</v>
      </c>
      <c r="C1210" s="22" t="n">
        <v>0.001</v>
      </c>
      <c r="D1210" s="22" t="n">
        <v>0.2</v>
      </c>
      <c r="E1210" s="22" t="n">
        <v>0.497</v>
      </c>
      <c r="F1210" s="22" t="n">
        <v>1.377</v>
      </c>
      <c r="G1210" s="22" t="n">
        <v>1.574</v>
      </c>
      <c r="H1210" s="22" t="n">
        <v>1.697</v>
      </c>
      <c r="I1210" s="22" t="n">
        <v>3.64</v>
      </c>
      <c r="J1210" s="22" t="n">
        <v>4.68</v>
      </c>
      <c r="K1210" s="22" t="n">
        <v>3.52</v>
      </c>
      <c r="L1210" s="17">
        <f>$J1210-$B1210</f>
        <v/>
      </c>
      <c r="M1210" s="17">
        <f>$I1210-$L1210</f>
        <v/>
      </c>
      <c r="N1210" s="23">
        <f>($G1210-$M1210)*100</f>
        <v/>
      </c>
      <c r="O1210" s="15">
        <f>($E1210-$C1210)*100</f>
        <v/>
      </c>
      <c r="P1210" s="15">
        <f>($G1210-$E1210)*100</f>
        <v/>
      </c>
      <c r="Q1210" s="15">
        <f>($G1210-$C1210)*100</f>
        <v/>
      </c>
      <c r="R1210" s="15">
        <f>IF($H1210="","",($H1210-$F1210)*100)</f>
        <v/>
      </c>
      <c r="S1210" s="15">
        <f>IF($H1210="","",($H1210-$G1210)*100)</f>
        <v/>
      </c>
    </row>
    <row r="1211">
      <c r="A1211" s="11" t="n">
        <v>44960</v>
      </c>
      <c r="B1211" s="22" t="n">
        <v>-0.076</v>
      </c>
      <c r="C1211" s="22" t="n">
        <v>-0.03</v>
      </c>
      <c r="D1211" s="22" t="n">
        <v>0.167</v>
      </c>
      <c r="E1211" s="22" t="n">
        <v>0.503</v>
      </c>
      <c r="F1211" s="22" t="n">
        <v>1.296</v>
      </c>
      <c r="G1211" s="22" t="n">
        <v>1.531</v>
      </c>
      <c r="H1211" s="22" t="n">
        <v>1.656</v>
      </c>
      <c r="I1211" s="22" t="n">
        <v>3.63</v>
      </c>
      <c r="J1211" s="22" t="n">
        <v>4.79</v>
      </c>
      <c r="K1211" s="22" t="n">
        <v>3.53</v>
      </c>
      <c r="L1211" s="17">
        <f>$J1211-$B1211</f>
        <v/>
      </c>
      <c r="M1211" s="17">
        <f>$I1211-$L1211</f>
        <v/>
      </c>
      <c r="N1211" s="23">
        <f>($G1211-$M1211)*100</f>
        <v/>
      </c>
      <c r="O1211" s="15">
        <f>($E1211-$C1211)*100</f>
        <v/>
      </c>
      <c r="P1211" s="15">
        <f>($G1211-$E1211)*100</f>
        <v/>
      </c>
      <c r="Q1211" s="15">
        <f>($G1211-$C1211)*100</f>
        <v/>
      </c>
      <c r="R1211" s="15">
        <f>IF($H1211="","",($H1211-$F1211)*100)</f>
        <v/>
      </c>
      <c r="S1211" s="15">
        <f>IF($H1211="","",($H1211-$G1211)*100)</f>
        <v/>
      </c>
    </row>
    <row r="1212">
      <c r="A1212" s="11" t="n">
        <v>44967</v>
      </c>
      <c r="B1212" s="22" t="n">
        <v>-0.095</v>
      </c>
      <c r="C1212" s="22" t="n">
        <v>-0.045</v>
      </c>
      <c r="D1212" s="22" t="n">
        <v>0.215</v>
      </c>
      <c r="E1212" s="22" t="n">
        <v>0.514</v>
      </c>
      <c r="F1212" s="22" t="n">
        <v>1.346</v>
      </c>
      <c r="G1212" s="22" t="n">
        <v>1.562</v>
      </c>
      <c r="H1212" s="22" t="n">
        <v>1.694</v>
      </c>
      <c r="I1212" s="22" t="n">
        <v>3.83</v>
      </c>
      <c r="J1212" s="22" t="n">
        <v>4.89</v>
      </c>
      <c r="K1212" s="22" t="n">
        <v>3.74</v>
      </c>
      <c r="L1212" s="17">
        <f>$J1212-$B1212</f>
        <v/>
      </c>
      <c r="M1212" s="17">
        <f>$I1212-$L1212</f>
        <v/>
      </c>
      <c r="N1212" s="23">
        <f>($G1212-$M1212)*100</f>
        <v/>
      </c>
      <c r="O1212" s="15">
        <f>($E1212-$C1212)*100</f>
        <v/>
      </c>
      <c r="P1212" s="15">
        <f>($G1212-$E1212)*100</f>
        <v/>
      </c>
      <c r="Q1212" s="15">
        <f>($G1212-$C1212)*100</f>
        <v/>
      </c>
      <c r="R1212" s="15">
        <f>IF($H1212="","",($H1212-$F1212)*100)</f>
        <v/>
      </c>
      <c r="S1212" s="15">
        <f>IF($H1212="","",($H1212-$G1212)*100)</f>
        <v/>
      </c>
    </row>
    <row r="1213">
      <c r="A1213" s="11" t="n">
        <v>44974</v>
      </c>
      <c r="B1213" s="22" t="n">
        <v>-0.115</v>
      </c>
      <c r="C1213" s="22" t="n">
        <v>-0.047</v>
      </c>
      <c r="D1213" s="22" t="n">
        <v>0.227</v>
      </c>
      <c r="E1213" s="22" t="n">
        <v>0.528</v>
      </c>
      <c r="F1213" s="22" t="n">
        <v>1.324</v>
      </c>
      <c r="G1213" s="22" t="n">
        <v>1.503</v>
      </c>
      <c r="H1213" s="22" t="n">
        <v>1.613</v>
      </c>
      <c r="I1213" s="22" t="n">
        <v>3.88</v>
      </c>
      <c r="J1213" s="22" t="n">
        <v>5</v>
      </c>
      <c r="K1213" s="22" t="n">
        <v>3.82</v>
      </c>
      <c r="L1213" s="17">
        <f>$J1213-$B1213</f>
        <v/>
      </c>
      <c r="M1213" s="17">
        <f>$I1213-$L1213</f>
        <v/>
      </c>
      <c r="N1213" s="23">
        <f>($G1213-$M1213)*100</f>
        <v/>
      </c>
      <c r="O1213" s="15">
        <f>($E1213-$C1213)*100</f>
        <v/>
      </c>
      <c r="P1213" s="15">
        <f>($G1213-$E1213)*100</f>
        <v/>
      </c>
      <c r="Q1213" s="15">
        <f>($G1213-$C1213)*100</f>
        <v/>
      </c>
      <c r="R1213" s="15">
        <f>IF($H1213="","",($H1213-$F1213)*100)</f>
        <v/>
      </c>
      <c r="S1213" s="15">
        <f>IF($H1213="","",($H1213-$G1213)*100)</f>
        <v/>
      </c>
    </row>
    <row r="1214">
      <c r="A1214" s="11" t="n">
        <v>44981</v>
      </c>
      <c r="B1214" s="22" t="n">
        <v>-0.101</v>
      </c>
      <c r="C1214" s="22" t="n">
        <v>-0.029</v>
      </c>
      <c r="D1214" s="22" t="n">
        <v>0.238</v>
      </c>
      <c r="E1214" s="22" t="n">
        <v>0.53</v>
      </c>
      <c r="F1214" s="22" t="n">
        <v>1.293</v>
      </c>
      <c r="G1214" s="22" t="n">
        <v>1.464</v>
      </c>
      <c r="H1214" s="22" t="n">
        <v>1.564</v>
      </c>
      <c r="I1214" s="22" t="n">
        <v>3.93</v>
      </c>
      <c r="J1214" s="22" t="n">
        <v>5.05</v>
      </c>
      <c r="K1214" s="22" t="n">
        <v>3.95</v>
      </c>
      <c r="L1214" s="17">
        <f>$J1214-$B1214</f>
        <v/>
      </c>
      <c r="M1214" s="17">
        <f>$I1214-$L1214</f>
        <v/>
      </c>
      <c r="N1214" s="23">
        <f>($G1214-$M1214)*100</f>
        <v/>
      </c>
      <c r="O1214" s="15">
        <f>($E1214-$C1214)*100</f>
        <v/>
      </c>
      <c r="P1214" s="15">
        <f>($G1214-$E1214)*100</f>
        <v/>
      </c>
      <c r="Q1214" s="15">
        <f>($G1214-$C1214)*100</f>
        <v/>
      </c>
      <c r="R1214" s="15">
        <f>IF($H1214="","",($H1214-$F1214)*100)</f>
        <v/>
      </c>
      <c r="S1214" s="15">
        <f>IF($H1214="","",($H1214-$G1214)*100)</f>
        <v/>
      </c>
    </row>
    <row r="1215">
      <c r="A1215" s="11" t="n">
        <v>44988</v>
      </c>
      <c r="B1215" s="22" t="n">
        <v>-0.076</v>
      </c>
      <c r="C1215" s="22" t="n">
        <v>-0.04</v>
      </c>
      <c r="D1215" s="22" t="n">
        <v>0.213</v>
      </c>
      <c r="E1215" s="22" t="n">
        <v>0.527</v>
      </c>
      <c r="F1215" s="22" t="n">
        <v>1.25</v>
      </c>
      <c r="G1215" s="22" t="n">
        <v>1.443</v>
      </c>
      <c r="H1215" s="22" t="n">
        <v>1.538</v>
      </c>
      <c r="I1215" s="22" t="n">
        <v>3.9</v>
      </c>
      <c r="J1215" s="22" t="n">
        <v>5.03</v>
      </c>
      <c r="K1215" s="22" t="n">
        <v>3.97</v>
      </c>
      <c r="L1215" s="17">
        <f>$J1215-$B1215</f>
        <v/>
      </c>
      <c r="M1215" s="17">
        <f>$I1215-$L1215</f>
        <v/>
      </c>
      <c r="N1215" s="23">
        <f>($G1215-$M1215)*100</f>
        <v/>
      </c>
      <c r="O1215" s="15">
        <f>($E1215-$C1215)*100</f>
        <v/>
      </c>
      <c r="P1215" s="15">
        <f>($G1215-$E1215)*100</f>
        <v/>
      </c>
      <c r="Q1215" s="15">
        <f>($G1215-$C1215)*100</f>
        <v/>
      </c>
      <c r="R1215" s="15">
        <f>IF($H1215="","",($H1215-$F1215)*100)</f>
        <v/>
      </c>
      <c r="S1215" s="15">
        <f>IF($H1215="","",($H1215-$G1215)*100)</f>
        <v/>
      </c>
    </row>
    <row r="1216">
      <c r="A1216" s="11" t="n">
        <v>44995</v>
      </c>
      <c r="B1216" s="22" t="n">
        <v>-0.08500000000000001</v>
      </c>
      <c r="C1216" s="22" t="n">
        <v>-0.03</v>
      </c>
      <c r="D1216" s="22" t="n">
        <v>0.212</v>
      </c>
      <c r="E1216" s="22" t="n">
        <v>0.428</v>
      </c>
      <c r="F1216" s="22" t="n">
        <v>1.229</v>
      </c>
      <c r="G1216" s="22" t="n">
        <v>1.423</v>
      </c>
      <c r="H1216" s="22" t="n">
        <v>1.542</v>
      </c>
      <c r="I1216" s="22" t="n">
        <v>3.7</v>
      </c>
      <c r="J1216" s="22" t="n">
        <v>4.9</v>
      </c>
      <c r="K1216" s="22" t="n">
        <v>3.7</v>
      </c>
      <c r="L1216" s="17">
        <f>$J1216-$B1216</f>
        <v/>
      </c>
      <c r="M1216" s="17">
        <f>$I1216-$L1216</f>
        <v/>
      </c>
      <c r="N1216" s="23">
        <f>($G1216-$M1216)*100</f>
        <v/>
      </c>
      <c r="O1216" s="15">
        <f>($E1216-$C1216)*100</f>
        <v/>
      </c>
      <c r="P1216" s="15">
        <f>($G1216-$E1216)*100</f>
        <v/>
      </c>
      <c r="Q1216" s="15">
        <f>($G1216-$C1216)*100</f>
        <v/>
      </c>
      <c r="R1216" s="15">
        <f>IF($H1216="","",($H1216-$F1216)*100)</f>
        <v/>
      </c>
      <c r="S1216" s="15">
        <f>IF($H1216="","",($H1216-$G1216)*100)</f>
        <v/>
      </c>
    </row>
    <row r="1217">
      <c r="A1217" s="11" t="n">
        <v>45002</v>
      </c>
      <c r="B1217" s="22" t="n">
        <v>-0.13</v>
      </c>
      <c r="C1217" s="22" t="n">
        <v>-0.075</v>
      </c>
      <c r="D1217" s="22" t="n">
        <v>0.116</v>
      </c>
      <c r="E1217" s="22" t="n">
        <v>0.317</v>
      </c>
      <c r="F1217" s="22" t="n">
        <v>1.095</v>
      </c>
      <c r="G1217" s="22" t="n">
        <v>1.33</v>
      </c>
      <c r="H1217" s="22" t="n">
        <v>1.465</v>
      </c>
      <c r="I1217" s="22" t="n">
        <v>3.6</v>
      </c>
      <c r="J1217" s="22" t="n">
        <v>4.26</v>
      </c>
      <c r="K1217" s="22" t="n">
        <v>3.39</v>
      </c>
      <c r="L1217" s="17">
        <f>$J1217-$B1217</f>
        <v/>
      </c>
      <c r="M1217" s="17">
        <f>$I1217-$L1217</f>
        <v/>
      </c>
      <c r="N1217" s="23">
        <f>($G1217-$M1217)*100</f>
        <v/>
      </c>
      <c r="O1217" s="15">
        <f>($E1217-$C1217)*100</f>
        <v/>
      </c>
      <c r="P1217" s="15">
        <f>($G1217-$E1217)*100</f>
        <v/>
      </c>
      <c r="Q1217" s="15">
        <f>($G1217-$C1217)*100</f>
        <v/>
      </c>
      <c r="R1217" s="15">
        <f>IF($H1217="","",($H1217-$F1217)*100)</f>
        <v/>
      </c>
      <c r="S1217" s="15">
        <f>IF($H1217="","",($H1217-$G1217)*100)</f>
        <v/>
      </c>
    </row>
    <row r="1218">
      <c r="A1218" s="11" t="n">
        <v>45009</v>
      </c>
      <c r="B1218" s="22" t="n">
        <v>-0.136</v>
      </c>
      <c r="C1218" s="22" t="n">
        <v>-0.067</v>
      </c>
      <c r="D1218" s="22" t="n">
        <v>0.077</v>
      </c>
      <c r="E1218" s="22" t="n">
        <v>0.321</v>
      </c>
      <c r="F1218" s="22" t="n">
        <v>1.089</v>
      </c>
      <c r="G1218" s="22" t="n">
        <v>1.357</v>
      </c>
      <c r="H1218" s="22" t="n">
        <v>1.515</v>
      </c>
      <c r="I1218" s="22" t="n">
        <v>3.64</v>
      </c>
      <c r="J1218" s="22" t="n">
        <v>4.32</v>
      </c>
      <c r="K1218" s="22" t="n">
        <v>3.38</v>
      </c>
      <c r="L1218" s="17">
        <f>$J1218-$B1218</f>
        <v/>
      </c>
      <c r="M1218" s="17">
        <f>$I1218-$L1218</f>
        <v/>
      </c>
      <c r="N1218" s="23">
        <f>($G1218-$M1218)*100</f>
        <v/>
      </c>
      <c r="O1218" s="15">
        <f>($E1218-$C1218)*100</f>
        <v/>
      </c>
      <c r="P1218" s="15">
        <f>($G1218-$E1218)*100</f>
        <v/>
      </c>
      <c r="Q1218" s="15">
        <f>($G1218-$C1218)*100</f>
        <v/>
      </c>
      <c r="R1218" s="15">
        <f>IF($H1218="","",($H1218-$F1218)*100)</f>
        <v/>
      </c>
      <c r="S1218" s="15">
        <f>IF($H1218="","",($H1218-$G1218)*100)</f>
        <v/>
      </c>
    </row>
    <row r="1219">
      <c r="A1219" s="11" t="n">
        <v>45016</v>
      </c>
      <c r="B1219" s="22" t="n">
        <v>-0.115</v>
      </c>
      <c r="C1219" s="22" t="n">
        <v>-0.061</v>
      </c>
      <c r="D1219" s="22" t="n">
        <v>0.104</v>
      </c>
      <c r="E1219" s="22" t="n">
        <v>0.389</v>
      </c>
      <c r="F1219" s="22" t="n">
        <v>1.044</v>
      </c>
      <c r="G1219" s="22" t="n">
        <v>1.274</v>
      </c>
      <c r="H1219" s="22" t="n">
        <v>1.389</v>
      </c>
      <c r="I1219" s="22" t="n">
        <v>3.67</v>
      </c>
      <c r="J1219" s="22" t="n">
        <v>4.64</v>
      </c>
      <c r="K1219" s="22" t="n">
        <v>3.48</v>
      </c>
      <c r="L1219" s="17">
        <f>$J1219-$B1219</f>
        <v/>
      </c>
      <c r="M1219" s="17">
        <f>$I1219-$L1219</f>
        <v/>
      </c>
      <c r="N1219" s="23">
        <f>($G1219-$M1219)*100</f>
        <v/>
      </c>
      <c r="O1219" s="15">
        <f>($E1219-$C1219)*100</f>
        <v/>
      </c>
      <c r="P1219" s="15">
        <f>($G1219-$E1219)*100</f>
        <v/>
      </c>
      <c r="Q1219" s="15">
        <f>($G1219-$C1219)*100</f>
        <v/>
      </c>
      <c r="R1219" s="15">
        <f>IF($H1219="","",($H1219-$F1219)*100)</f>
        <v/>
      </c>
      <c r="S1219" s="15">
        <f>IF($H1219="","",($H1219-$G1219)*100)</f>
        <v/>
      </c>
    </row>
    <row r="1220">
      <c r="A1220" s="11" t="n">
        <v>45023</v>
      </c>
      <c r="B1220" s="22" t="n">
        <v>-0.117</v>
      </c>
      <c r="C1220" s="22" t="n">
        <v>-0.06</v>
      </c>
      <c r="D1220" s="22" t="n">
        <v>0.168</v>
      </c>
      <c r="E1220" s="22" t="n">
        <v>0.462</v>
      </c>
      <c r="F1220" s="22" t="n">
        <v>1.092</v>
      </c>
      <c r="G1220" s="22" t="n">
        <v>1.318</v>
      </c>
      <c r="H1220" s="22" t="n">
        <v>1.437</v>
      </c>
      <c r="I1220" s="22" t="n">
        <v>3.61</v>
      </c>
      <c r="J1220" s="22" t="n">
        <v>4.61</v>
      </c>
      <c r="K1220" s="22" t="n">
        <v>3.39</v>
      </c>
      <c r="L1220" s="17">
        <f>$J1220-$B1220</f>
        <v/>
      </c>
      <c r="M1220" s="17">
        <f>$I1220-$L1220</f>
        <v/>
      </c>
      <c r="N1220" s="23">
        <f>($G1220-$M1220)*100</f>
        <v/>
      </c>
      <c r="O1220" s="15">
        <f>($E1220-$C1220)*100</f>
        <v/>
      </c>
      <c r="P1220" s="15">
        <f>($G1220-$E1220)*100</f>
        <v/>
      </c>
      <c r="Q1220" s="15">
        <f>($G1220-$C1220)*100</f>
        <v/>
      </c>
      <c r="R1220" s="15">
        <f>IF($H1220="","",($H1220-$F1220)*100)</f>
        <v/>
      </c>
      <c r="S1220" s="15">
        <f>IF($H1220="","",($H1220-$G1220)*100)</f>
        <v/>
      </c>
    </row>
    <row r="1221">
      <c r="A1221" s="11" t="n">
        <v>45030</v>
      </c>
      <c r="B1221" s="22" t="n">
        <v>-0.115</v>
      </c>
      <c r="C1221" s="22" t="n">
        <v>-0.04</v>
      </c>
      <c r="D1221" s="22" t="n">
        <v>0.156</v>
      </c>
      <c r="E1221" s="22" t="n">
        <v>0.465</v>
      </c>
      <c r="F1221" s="22" t="n">
        <v>1.096</v>
      </c>
      <c r="G1221" s="22" t="n">
        <v>1.313</v>
      </c>
      <c r="H1221" s="22" t="n">
        <v>1.433</v>
      </c>
      <c r="I1221" s="22" t="n">
        <v>3.74</v>
      </c>
      <c r="J1221" s="22" t="n">
        <v>4.77</v>
      </c>
      <c r="K1221" s="22" t="n">
        <v>3.52</v>
      </c>
      <c r="L1221" s="17">
        <f>$J1221-$B1221</f>
        <v/>
      </c>
      <c r="M1221" s="17">
        <f>$I1221-$L1221</f>
        <v/>
      </c>
      <c r="N1221" s="23">
        <f>($G1221-$M1221)*100</f>
        <v/>
      </c>
      <c r="O1221" s="15">
        <f>($E1221-$C1221)*100</f>
        <v/>
      </c>
      <c r="P1221" s="15">
        <f>($G1221-$E1221)*100</f>
        <v/>
      </c>
      <c r="Q1221" s="15">
        <f>($G1221-$C1221)*100</f>
        <v/>
      </c>
      <c r="R1221" s="15">
        <f>IF($H1221="","",($H1221-$F1221)*100)</f>
        <v/>
      </c>
      <c r="S1221" s="15">
        <f>IF($H1221="","",($H1221-$G1221)*100)</f>
        <v/>
      </c>
    </row>
    <row r="1222">
      <c r="A1222" s="11" t="n">
        <v>45037</v>
      </c>
      <c r="B1222" s="22" t="n">
        <v>-0.115</v>
      </c>
      <c r="C1222" s="22" t="n">
        <v>-0.035</v>
      </c>
      <c r="D1222" s="22" t="n">
        <v>0.162</v>
      </c>
      <c r="E1222" s="22" t="n">
        <v>0.47</v>
      </c>
      <c r="F1222" s="22" t="n">
        <v>1.121</v>
      </c>
      <c r="G1222" s="22" t="n">
        <v>1.344</v>
      </c>
      <c r="H1222" s="22" t="n">
        <v>1.466</v>
      </c>
      <c r="I1222" s="22" t="n">
        <v>3.78</v>
      </c>
      <c r="J1222" s="22" t="n">
        <v>4.78</v>
      </c>
      <c r="K1222" s="22" t="n">
        <v>3.57</v>
      </c>
      <c r="L1222" s="17">
        <f>$J1222-$B1222</f>
        <v/>
      </c>
      <c r="M1222" s="17">
        <f>$I1222-$L1222</f>
        <v/>
      </c>
      <c r="N1222" s="23">
        <f>($G1222-$M1222)*100</f>
        <v/>
      </c>
      <c r="O1222" s="15">
        <f>($E1222-$C1222)*100</f>
        <v/>
      </c>
      <c r="P1222" s="15">
        <f>($G1222-$E1222)*100</f>
        <v/>
      </c>
      <c r="Q1222" s="15">
        <f>($G1222-$C1222)*100</f>
        <v/>
      </c>
      <c r="R1222" s="15">
        <f>IF($H1222="","",($H1222-$F1222)*100)</f>
        <v/>
      </c>
      <c r="S1222" s="15">
        <f>IF($H1222="","",($H1222-$G1222)*100)</f>
        <v/>
      </c>
    </row>
    <row r="1223">
      <c r="A1223" s="11" t="n">
        <v>45044</v>
      </c>
      <c r="B1223" s="22" t="n">
        <v>-0.106</v>
      </c>
      <c r="C1223" s="22" t="n">
        <v>-0.045</v>
      </c>
      <c r="D1223" s="22" t="n">
        <v>0.109</v>
      </c>
      <c r="E1223" s="22" t="n">
        <v>0.403</v>
      </c>
      <c r="F1223" s="22" t="n">
        <v>1.003</v>
      </c>
      <c r="G1223" s="22" t="n">
        <v>1.247</v>
      </c>
      <c r="H1223" s="22" t="n">
        <v>1.366</v>
      </c>
      <c r="I1223" s="22" t="n">
        <v>3.67</v>
      </c>
      <c r="J1223" s="22" t="n">
        <v>4.8</v>
      </c>
      <c r="K1223" s="22" t="n">
        <v>3.44</v>
      </c>
      <c r="L1223" s="17">
        <f>$J1223-$B1223</f>
        <v/>
      </c>
      <c r="M1223" s="17">
        <f>$I1223-$L1223</f>
        <v/>
      </c>
      <c r="N1223" s="23">
        <f>($G1223-$M1223)*100</f>
        <v/>
      </c>
      <c r="O1223" s="15">
        <f>($E1223-$C1223)*100</f>
        <v/>
      </c>
      <c r="P1223" s="15">
        <f>($G1223-$E1223)*100</f>
        <v/>
      </c>
      <c r="Q1223" s="15">
        <f>($G1223-$C1223)*100</f>
        <v/>
      </c>
      <c r="R1223" s="15">
        <f>IF($H1223="","",($H1223-$F1223)*100)</f>
        <v/>
      </c>
      <c r="S1223" s="15">
        <f>IF($H1223="","",($H1223-$G1223)*100)</f>
        <v/>
      </c>
    </row>
    <row r="1224">
      <c r="A1224" s="11" t="n">
        <v>45051</v>
      </c>
      <c r="B1224" s="22" t="n">
        <v>-0.115</v>
      </c>
      <c r="C1224" s="22" t="n">
        <v>-0.035</v>
      </c>
      <c r="D1224" s="22" t="n">
        <v>0.13</v>
      </c>
      <c r="E1224" s="22" t="n">
        <v>0.428</v>
      </c>
      <c r="F1224" s="22" t="n">
        <v>1.041</v>
      </c>
      <c r="G1224" s="22" t="n">
        <v>1.292</v>
      </c>
      <c r="H1224" s="22" t="n">
        <v>1.416</v>
      </c>
      <c r="I1224" s="22" t="n">
        <v>3.76</v>
      </c>
      <c r="J1224" s="22" t="n">
        <v>4.73</v>
      </c>
      <c r="K1224" s="22" t="n">
        <v>3.44</v>
      </c>
      <c r="L1224" s="17">
        <f>$J1224-$B1224</f>
        <v/>
      </c>
      <c r="M1224" s="17">
        <f>$I1224-$L1224</f>
        <v/>
      </c>
      <c r="N1224" s="23">
        <f>($G1224-$M1224)*100</f>
        <v/>
      </c>
      <c r="O1224" s="15">
        <f>($E1224-$C1224)*100</f>
        <v/>
      </c>
      <c r="P1224" s="15">
        <f>($G1224-$E1224)*100</f>
        <v/>
      </c>
      <c r="Q1224" s="15">
        <f>($G1224-$C1224)*100</f>
        <v/>
      </c>
      <c r="R1224" s="15">
        <f>IF($H1224="","",($H1224-$F1224)*100)</f>
        <v/>
      </c>
      <c r="S1224" s="15">
        <f>IF($H1224="","",($H1224-$G1224)*100)</f>
        <v/>
      </c>
    </row>
    <row r="1225">
      <c r="A1225" s="11" t="n">
        <v>45058</v>
      </c>
      <c r="B1225" s="22" t="n">
        <v>-0.135</v>
      </c>
      <c r="C1225" s="22" t="n">
        <v>-0.055</v>
      </c>
      <c r="D1225" s="22" t="n">
        <v>0.11</v>
      </c>
      <c r="E1225" s="22" t="n">
        <v>0.396</v>
      </c>
      <c r="F1225" s="22" t="n">
        <v>1.02</v>
      </c>
      <c r="G1225" s="22" t="n">
        <v>1.262</v>
      </c>
      <c r="H1225" s="22" t="n">
        <v>1.389</v>
      </c>
      <c r="I1225" s="22" t="n">
        <v>3.78</v>
      </c>
      <c r="J1225" s="22" t="n">
        <v>4.75</v>
      </c>
      <c r="K1225" s="22" t="n">
        <v>3.46</v>
      </c>
      <c r="L1225" s="17">
        <f>$J1225-$B1225</f>
        <v/>
      </c>
      <c r="M1225" s="17">
        <f>$I1225-$L1225</f>
        <v/>
      </c>
      <c r="N1225" s="23">
        <f>($G1225-$M1225)*100</f>
        <v/>
      </c>
      <c r="O1225" s="15">
        <f>($E1225-$C1225)*100</f>
        <v/>
      </c>
      <c r="P1225" s="15">
        <f>($G1225-$E1225)*100</f>
        <v/>
      </c>
      <c r="Q1225" s="15">
        <f>($G1225-$C1225)*100</f>
        <v/>
      </c>
      <c r="R1225" s="15">
        <f>IF($H1225="","",($H1225-$F1225)*100)</f>
        <v/>
      </c>
      <c r="S1225" s="15">
        <f>IF($H1225="","",($H1225-$G1225)*100)</f>
        <v/>
      </c>
    </row>
    <row r="1226">
      <c r="A1226" s="11" t="n">
        <v>45065</v>
      </c>
      <c r="B1226" s="22" t="n">
        <v>-0.125</v>
      </c>
      <c r="C1226" s="22" t="n">
        <v>-0.061</v>
      </c>
      <c r="D1226" s="22" t="n">
        <v>0.112</v>
      </c>
      <c r="E1226" s="22" t="n">
        <v>0.415</v>
      </c>
      <c r="F1226" s="22" t="n">
        <v>1.005</v>
      </c>
      <c r="G1226" s="22" t="n">
        <v>1.256</v>
      </c>
      <c r="H1226" s="22" t="n">
        <v>1.4</v>
      </c>
      <c r="I1226" s="22" t="n">
        <v>3.95</v>
      </c>
      <c r="J1226" s="22" t="n">
        <v>5.02</v>
      </c>
      <c r="K1226" s="22" t="n">
        <v>3.7</v>
      </c>
      <c r="L1226" s="17">
        <f>$J1226-$B1226</f>
        <v/>
      </c>
      <c r="M1226" s="17">
        <f>$I1226-$L1226</f>
        <v/>
      </c>
      <c r="N1226" s="23">
        <f>($G1226-$M1226)*100</f>
        <v/>
      </c>
      <c r="O1226" s="15">
        <f>($E1226-$C1226)*100</f>
        <v/>
      </c>
      <c r="P1226" s="15">
        <f>($G1226-$E1226)*100</f>
        <v/>
      </c>
      <c r="Q1226" s="15">
        <f>($G1226-$C1226)*100</f>
        <v/>
      </c>
      <c r="R1226" s="15">
        <f>IF($H1226="","",($H1226-$F1226)*100)</f>
        <v/>
      </c>
      <c r="S1226" s="15">
        <f>IF($H1226="","",($H1226-$G1226)*100)</f>
        <v/>
      </c>
    </row>
    <row r="1227">
      <c r="A1227" s="11" t="n">
        <v>45072</v>
      </c>
      <c r="B1227" s="22" t="n">
        <v>-0.125</v>
      </c>
      <c r="C1227" s="22" t="n">
        <v>-0.066</v>
      </c>
      <c r="D1227" s="22" t="n">
        <v>0.115</v>
      </c>
      <c r="E1227" s="22" t="n">
        <v>0.432</v>
      </c>
      <c r="F1227" s="22" t="n">
        <v>1.025</v>
      </c>
      <c r="G1227" s="22" t="n">
        <v>1.265</v>
      </c>
      <c r="H1227" s="22" t="n">
        <v>1.404</v>
      </c>
      <c r="I1227" s="22" t="n">
        <v>3.96</v>
      </c>
      <c r="J1227" s="22" t="n">
        <v>5.25</v>
      </c>
      <c r="K1227" s="22" t="n">
        <v>3.8</v>
      </c>
      <c r="L1227" s="17">
        <f>$J1227-$B1227</f>
        <v/>
      </c>
      <c r="M1227" s="17">
        <f>$I1227-$L1227</f>
        <v/>
      </c>
      <c r="N1227" s="23">
        <f>($G1227-$M1227)*100</f>
        <v/>
      </c>
      <c r="O1227" s="15">
        <f>($E1227-$C1227)*100</f>
        <v/>
      </c>
      <c r="P1227" s="15">
        <f>($G1227-$E1227)*100</f>
        <v/>
      </c>
      <c r="Q1227" s="15">
        <f>($G1227-$C1227)*100</f>
        <v/>
      </c>
      <c r="R1227" s="15">
        <f>IF($H1227="","",($H1227-$F1227)*100)</f>
        <v/>
      </c>
      <c r="S1227" s="15">
        <f>IF($H1227="","",($H1227-$G1227)*100)</f>
        <v/>
      </c>
    </row>
    <row r="1228">
      <c r="A1228" s="11" t="n">
        <v>45079</v>
      </c>
      <c r="B1228" s="22" t="n">
        <v>-0.135</v>
      </c>
      <c r="C1228" s="22" t="n">
        <v>-0.075</v>
      </c>
      <c r="D1228" s="22" t="n">
        <v>0.08799999999999999</v>
      </c>
      <c r="E1228" s="22" t="n">
        <v>0.43</v>
      </c>
      <c r="F1228" s="22" t="n">
        <v>1.036</v>
      </c>
      <c r="G1228" s="22" t="n">
        <v>1.286</v>
      </c>
      <c r="H1228" s="22" t="n">
        <v>1.435</v>
      </c>
      <c r="I1228" s="22" t="n">
        <v>3.88</v>
      </c>
      <c r="J1228" s="22" t="n">
        <v>5.22</v>
      </c>
      <c r="K1228" s="22" t="n">
        <v>3.69</v>
      </c>
      <c r="L1228" s="17">
        <f>$J1228-$B1228</f>
        <v/>
      </c>
      <c r="M1228" s="17">
        <f>$I1228-$L1228</f>
        <v/>
      </c>
      <c r="N1228" s="23">
        <f>($G1228-$M1228)*100</f>
        <v/>
      </c>
      <c r="O1228" s="15">
        <f>($E1228-$C1228)*100</f>
        <v/>
      </c>
      <c r="P1228" s="15">
        <f>($G1228-$E1228)*100</f>
        <v/>
      </c>
      <c r="Q1228" s="15">
        <f>($G1228-$C1228)*100</f>
        <v/>
      </c>
      <c r="R1228" s="15">
        <f>IF($H1228="","",($H1228-$F1228)*100)</f>
        <v/>
      </c>
      <c r="S1228" s="15">
        <f>IF($H1228="","",($H1228-$G1228)*100)</f>
        <v/>
      </c>
    </row>
    <row r="1229">
      <c r="A1229" s="11" t="n">
        <v>45086</v>
      </c>
      <c r="B1229" s="22" t="n">
        <v>-0.145</v>
      </c>
      <c r="C1229" s="22" t="n">
        <v>-0.065</v>
      </c>
      <c r="D1229" s="22" t="n">
        <v>0.098</v>
      </c>
      <c r="E1229" s="22" t="n">
        <v>0.451</v>
      </c>
      <c r="F1229" s="22" t="n">
        <v>1.03</v>
      </c>
      <c r="G1229" s="22" t="n">
        <v>1.278</v>
      </c>
      <c r="H1229" s="22" t="n">
        <v>1.432</v>
      </c>
      <c r="I1229" s="22" t="n">
        <v>3.89</v>
      </c>
      <c r="J1229" s="22" t="n">
        <v>5.17</v>
      </c>
      <c r="K1229" s="22" t="n">
        <v>3.75</v>
      </c>
      <c r="L1229" s="17">
        <f>$J1229-$B1229</f>
        <v/>
      </c>
      <c r="M1229" s="17">
        <f>$I1229-$L1229</f>
        <v/>
      </c>
      <c r="N1229" s="23">
        <f>($G1229-$M1229)*100</f>
        <v/>
      </c>
      <c r="O1229" s="15">
        <f>($E1229-$C1229)*100</f>
        <v/>
      </c>
      <c r="P1229" s="15">
        <f>($G1229-$E1229)*100</f>
        <v/>
      </c>
      <c r="Q1229" s="15">
        <f>($G1229-$C1229)*100</f>
        <v/>
      </c>
      <c r="R1229" s="15">
        <f>IF($H1229="","",($H1229-$F1229)*100)</f>
        <v/>
      </c>
      <c r="S1229" s="15">
        <f>IF($H1229="","",($H1229-$G1229)*100)</f>
        <v/>
      </c>
    </row>
    <row r="1230">
      <c r="A1230" s="11" t="n">
        <v>45093</v>
      </c>
      <c r="B1230" s="22" t="n">
        <v>-0.139</v>
      </c>
      <c r="C1230" s="22" t="n">
        <v>-0.065</v>
      </c>
      <c r="D1230" s="22" t="n">
        <v>0.093</v>
      </c>
      <c r="E1230" s="22" t="n">
        <v>0.422</v>
      </c>
      <c r="F1230" s="22" t="n">
        <v>1.008</v>
      </c>
      <c r="G1230" s="22" t="n">
        <v>1.252</v>
      </c>
      <c r="H1230" s="22" t="n">
        <v>1.375</v>
      </c>
      <c r="I1230" s="22" t="n">
        <v>3.86</v>
      </c>
      <c r="J1230" s="22" t="n">
        <v>5.24</v>
      </c>
      <c r="K1230" s="22" t="n">
        <v>3.77</v>
      </c>
      <c r="L1230" s="17">
        <f>$J1230-$B1230</f>
        <v/>
      </c>
      <c r="M1230" s="17">
        <f>$I1230-$L1230</f>
        <v/>
      </c>
      <c r="N1230" s="23">
        <f>($G1230-$M1230)*100</f>
        <v/>
      </c>
      <c r="O1230" s="15">
        <f>($E1230-$C1230)*100</f>
        <v/>
      </c>
      <c r="P1230" s="15">
        <f>($G1230-$E1230)*100</f>
        <v/>
      </c>
      <c r="Q1230" s="15">
        <f>($G1230-$C1230)*100</f>
        <v/>
      </c>
      <c r="R1230" s="15">
        <f>IF($H1230="","",($H1230-$F1230)*100)</f>
        <v/>
      </c>
      <c r="S1230" s="15">
        <f>IF($H1230="","",($H1230-$G1230)*100)</f>
        <v/>
      </c>
    </row>
    <row r="1231">
      <c r="A1231" s="11" t="n">
        <v>45100</v>
      </c>
      <c r="B1231" s="22" t="n">
        <v>-0.152</v>
      </c>
      <c r="C1231" s="22" t="n">
        <v>-0.074</v>
      </c>
      <c r="D1231" s="22" t="n">
        <v>0.073</v>
      </c>
      <c r="E1231" s="22" t="n">
        <v>0.39</v>
      </c>
      <c r="F1231" s="22" t="n">
        <v>0.986</v>
      </c>
      <c r="G1231" s="22" t="n">
        <v>1.235</v>
      </c>
      <c r="H1231" s="22" t="n">
        <v>1.37</v>
      </c>
      <c r="I1231" s="22" t="n">
        <v>3.82</v>
      </c>
      <c r="J1231" s="22" t="n">
        <v>5.25</v>
      </c>
      <c r="K1231" s="22" t="n">
        <v>3.74</v>
      </c>
      <c r="L1231" s="17">
        <f>$J1231-$B1231</f>
        <v/>
      </c>
      <c r="M1231" s="17">
        <f>$I1231-$L1231</f>
        <v/>
      </c>
      <c r="N1231" s="23">
        <f>($G1231-$M1231)*100</f>
        <v/>
      </c>
      <c r="O1231" s="15">
        <f>($E1231-$C1231)*100</f>
        <v/>
      </c>
      <c r="P1231" s="15">
        <f>($G1231-$E1231)*100</f>
        <v/>
      </c>
      <c r="Q1231" s="15">
        <f>($G1231-$C1231)*100</f>
        <v/>
      </c>
      <c r="R1231" s="15">
        <f>IF($H1231="","",($H1231-$F1231)*100)</f>
        <v/>
      </c>
      <c r="S1231" s="15">
        <f>IF($H1231="","",($H1231-$G1231)*100)</f>
        <v/>
      </c>
    </row>
    <row r="1232">
      <c r="A1232" s="11" t="n">
        <v>45107</v>
      </c>
      <c r="B1232" s="22" t="n">
        <v>-0.125</v>
      </c>
      <c r="C1232" s="22" t="n">
        <v>-0.075</v>
      </c>
      <c r="D1232" s="22" t="n">
        <v>0.08</v>
      </c>
      <c r="E1232" s="22" t="n">
        <v>0.426</v>
      </c>
      <c r="F1232" s="22" t="n">
        <v>1.014</v>
      </c>
      <c r="G1232" s="22" t="n">
        <v>1.262</v>
      </c>
      <c r="H1232" s="22" t="n">
        <v>1.404</v>
      </c>
      <c r="I1232" s="22" t="n">
        <v>3.85</v>
      </c>
      <c r="J1232" s="22" t="n">
        <v>5.4</v>
      </c>
      <c r="K1232" s="22" t="n">
        <v>3.81</v>
      </c>
      <c r="L1232" s="17">
        <f>$J1232-$B1232</f>
        <v/>
      </c>
      <c r="M1232" s="17">
        <f>$I1232-$L1232</f>
        <v/>
      </c>
      <c r="N1232" s="23">
        <f>($G1232-$M1232)*100</f>
        <v/>
      </c>
      <c r="O1232" s="15">
        <f>($E1232-$C1232)*100</f>
        <v/>
      </c>
      <c r="P1232" s="15">
        <f>($G1232-$E1232)*100</f>
        <v/>
      </c>
      <c r="Q1232" s="15">
        <f>($G1232-$C1232)*100</f>
        <v/>
      </c>
      <c r="R1232" s="15">
        <f>IF($H1232="","",($H1232-$F1232)*100)</f>
        <v/>
      </c>
      <c r="S1232" s="15">
        <f>IF($H1232="","",($H1232-$G1232)*100)</f>
        <v/>
      </c>
    </row>
    <row r="1233">
      <c r="A1233" s="11" t="n">
        <v>45114</v>
      </c>
      <c r="B1233" s="22" t="n">
        <v>-0.106</v>
      </c>
      <c r="C1233" s="22" t="n">
        <v>-0.039</v>
      </c>
      <c r="D1233" s="22" t="n">
        <v>0.123</v>
      </c>
      <c r="E1233" s="22" t="n">
        <v>0.439</v>
      </c>
      <c r="F1233" s="22" t="n">
        <v>1.043</v>
      </c>
      <c r="G1233" s="22" t="n">
        <v>1.266</v>
      </c>
      <c r="H1233" s="22" t="n">
        <v>1.409</v>
      </c>
      <c r="I1233" s="22" t="n">
        <v>4.05</v>
      </c>
      <c r="J1233" s="22" t="n">
        <v>5.41</v>
      </c>
      <c r="K1233" s="22" t="n">
        <v>4.06</v>
      </c>
      <c r="L1233" s="17">
        <f>$J1233-$B1233</f>
        <v/>
      </c>
      <c r="M1233" s="17">
        <f>$I1233-$L1233</f>
        <v/>
      </c>
      <c r="N1233" s="23">
        <f>($G1233-$M1233)*100</f>
        <v/>
      </c>
      <c r="O1233" s="15">
        <f>($E1233-$C1233)*100</f>
        <v/>
      </c>
      <c r="P1233" s="15">
        <f>($G1233-$E1233)*100</f>
        <v/>
      </c>
      <c r="Q1233" s="15">
        <f>($G1233-$C1233)*100</f>
        <v/>
      </c>
      <c r="R1233" s="15">
        <f>IF($H1233="","",($H1233-$F1233)*100)</f>
        <v/>
      </c>
      <c r="S1233" s="15">
        <f>IF($H1233="","",($H1233-$G1233)*100)</f>
        <v/>
      </c>
    </row>
    <row r="1234">
      <c r="A1234" s="11" t="n">
        <v>45121</v>
      </c>
      <c r="B1234" s="22" t="n">
        <v>-0.129</v>
      </c>
      <c r="C1234" s="22" t="n">
        <v>-0.038</v>
      </c>
      <c r="D1234" s="22" t="n">
        <v>0.133</v>
      </c>
      <c r="E1234" s="22" t="n">
        <v>0.48</v>
      </c>
      <c r="F1234" s="22" t="n">
        <v>1.12</v>
      </c>
      <c r="G1234" s="22" t="n">
        <v>1.365</v>
      </c>
      <c r="H1234" s="22" t="n">
        <v>1.508</v>
      </c>
      <c r="I1234" s="22" t="n">
        <v>3.93</v>
      </c>
      <c r="J1234" s="22" t="n">
        <v>5.34</v>
      </c>
      <c r="K1234" s="22" t="n">
        <v>3.83</v>
      </c>
      <c r="L1234" s="17">
        <f>$J1234-$B1234</f>
        <v/>
      </c>
      <c r="M1234" s="17">
        <f>$I1234-$L1234</f>
        <v/>
      </c>
      <c r="N1234" s="23">
        <f>($G1234-$M1234)*100</f>
        <v/>
      </c>
      <c r="O1234" s="15">
        <f>($E1234-$C1234)*100</f>
        <v/>
      </c>
      <c r="P1234" s="15">
        <f>($G1234-$E1234)*100</f>
        <v/>
      </c>
      <c r="Q1234" s="15">
        <f>($G1234-$C1234)*100</f>
        <v/>
      </c>
      <c r="R1234" s="15">
        <f>IF($H1234="","",($H1234-$F1234)*100)</f>
        <v/>
      </c>
      <c r="S1234" s="15">
        <f>IF($H1234="","",($H1234-$G1234)*100)</f>
        <v/>
      </c>
    </row>
    <row r="1235">
      <c r="A1235" s="11" t="n">
        <v>45128</v>
      </c>
      <c r="B1235" s="22" t="n">
        <v>-0.127</v>
      </c>
      <c r="C1235" s="22" t="n">
        <v>-0.026</v>
      </c>
      <c r="D1235" s="22" t="n">
        <v>0.128</v>
      </c>
      <c r="E1235" s="22" t="n">
        <v>0.481</v>
      </c>
      <c r="F1235" s="22" t="n">
        <v>1.107</v>
      </c>
      <c r="G1235" s="22" t="n">
        <v>1.34</v>
      </c>
      <c r="H1235" s="22" t="n">
        <v>1.484</v>
      </c>
      <c r="I1235" s="22" t="n">
        <v>3.91</v>
      </c>
      <c r="J1235" s="22" t="n">
        <v>5.35</v>
      </c>
      <c r="K1235" s="22" t="n">
        <v>3.84</v>
      </c>
      <c r="L1235" s="17">
        <f>$J1235-$B1235</f>
        <v/>
      </c>
      <c r="M1235" s="17">
        <f>$I1235-$L1235</f>
        <v/>
      </c>
      <c r="N1235" s="23">
        <f>($G1235-$M1235)*100</f>
        <v/>
      </c>
      <c r="O1235" s="15">
        <f>($E1235-$C1235)*100</f>
        <v/>
      </c>
      <c r="P1235" s="15">
        <f>($G1235-$E1235)*100</f>
        <v/>
      </c>
      <c r="Q1235" s="15">
        <f>($G1235-$C1235)*100</f>
        <v/>
      </c>
      <c r="R1235" s="15">
        <f>IF($H1235="","",($H1235-$F1235)*100)</f>
        <v/>
      </c>
      <c r="S1235" s="15">
        <f>IF($H1235="","",($H1235-$G1235)*100)</f>
        <v/>
      </c>
    </row>
    <row r="1236">
      <c r="A1236" s="11" t="n">
        <v>45135</v>
      </c>
      <c r="B1236" s="22" t="n">
        <v>-0.104</v>
      </c>
      <c r="C1236" s="22" t="n">
        <v>-0.015</v>
      </c>
      <c r="D1236" s="22" t="n">
        <v>0.162</v>
      </c>
      <c r="E1236" s="22" t="n">
        <v>0.551</v>
      </c>
      <c r="F1236" s="22" t="n">
        <v>1.127</v>
      </c>
      <c r="G1236" s="22" t="n">
        <v>1.356</v>
      </c>
      <c r="H1236" s="22" t="n">
        <v>1.506</v>
      </c>
      <c r="I1236" s="22" t="n">
        <v>4.03</v>
      </c>
      <c r="J1236" s="22" t="n">
        <v>5.37</v>
      </c>
      <c r="K1236" s="22" t="n">
        <v>3.96</v>
      </c>
      <c r="L1236" s="17">
        <f>$J1236-$B1236</f>
        <v/>
      </c>
      <c r="M1236" s="17">
        <f>$I1236-$L1236</f>
        <v/>
      </c>
      <c r="N1236" s="23">
        <f>($G1236-$M1236)*100</f>
        <v/>
      </c>
      <c r="O1236" s="15">
        <f>($E1236-$C1236)*100</f>
        <v/>
      </c>
      <c r="P1236" s="15">
        <f>($G1236-$E1236)*100</f>
        <v/>
      </c>
      <c r="Q1236" s="15">
        <f>($G1236-$C1236)*100</f>
        <v/>
      </c>
      <c r="R1236" s="15">
        <f>IF($H1236="","",($H1236-$F1236)*100)</f>
        <v/>
      </c>
      <c r="S1236" s="15">
        <f>IF($H1236="","",($H1236-$G1236)*100)</f>
        <v/>
      </c>
    </row>
    <row r="1237">
      <c r="A1237" s="11" t="n">
        <v>45142</v>
      </c>
      <c r="B1237" s="22" t="n">
        <v>-0.08500000000000001</v>
      </c>
      <c r="C1237" s="22" t="n">
        <v>0.021</v>
      </c>
      <c r="D1237" s="22" t="n">
        <v>0.226</v>
      </c>
      <c r="E1237" s="22" t="n">
        <v>0.643</v>
      </c>
      <c r="F1237" s="22" t="n">
        <v>1.317</v>
      </c>
      <c r="G1237" s="22" t="n">
        <v>1.553</v>
      </c>
      <c r="H1237" s="22" t="n">
        <v>1.719</v>
      </c>
      <c r="I1237" s="22" t="n">
        <v>4.21</v>
      </c>
      <c r="J1237" s="22" t="n">
        <v>5.33</v>
      </c>
      <c r="K1237" s="22" t="n">
        <v>4.05</v>
      </c>
      <c r="L1237" s="17">
        <f>$J1237-$B1237</f>
        <v/>
      </c>
      <c r="M1237" s="17">
        <f>$I1237-$L1237</f>
        <v/>
      </c>
      <c r="N1237" s="23">
        <f>($G1237-$M1237)*100</f>
        <v/>
      </c>
      <c r="O1237" s="15">
        <f>($E1237-$C1237)*100</f>
        <v/>
      </c>
      <c r="P1237" s="15">
        <f>($G1237-$E1237)*100</f>
        <v/>
      </c>
      <c r="Q1237" s="15">
        <f>($G1237-$C1237)*100</f>
        <v/>
      </c>
      <c r="R1237" s="15">
        <f>IF($H1237="","",($H1237-$F1237)*100)</f>
        <v/>
      </c>
      <c r="S1237" s="15">
        <f>IF($H1237="","",($H1237-$G1237)*100)</f>
        <v/>
      </c>
    </row>
    <row r="1238">
      <c r="A1238" s="11" t="n">
        <v>45149</v>
      </c>
      <c r="B1238" s="22" t="n">
        <v>-0.08799999999999999</v>
      </c>
      <c r="C1238" s="22" t="n">
        <v>0.012</v>
      </c>
      <c r="D1238" s="22" t="n">
        <v>0.199</v>
      </c>
      <c r="E1238" s="22" t="n">
        <v>0.591</v>
      </c>
      <c r="F1238" s="22" t="n">
        <v>1.252</v>
      </c>
      <c r="G1238" s="22" t="n">
        <v>1.495</v>
      </c>
      <c r="H1238" s="22" t="n">
        <v>1.654</v>
      </c>
      <c r="I1238" s="22" t="n">
        <v>4.27</v>
      </c>
      <c r="J1238" s="22" t="n">
        <v>5.36</v>
      </c>
      <c r="K1238" s="22" t="n">
        <v>4.16</v>
      </c>
      <c r="L1238" s="17">
        <f>$J1238-$B1238</f>
        <v/>
      </c>
      <c r="M1238" s="17">
        <f>$I1238-$L1238</f>
        <v/>
      </c>
      <c r="N1238" s="23">
        <f>($G1238-$M1238)*100</f>
        <v/>
      </c>
      <c r="O1238" s="15">
        <f>($E1238-$C1238)*100</f>
        <v/>
      </c>
      <c r="P1238" s="15">
        <f>($G1238-$E1238)*100</f>
        <v/>
      </c>
      <c r="Q1238" s="15">
        <f>($G1238-$C1238)*100</f>
        <v/>
      </c>
      <c r="R1238" s="15">
        <f>IF($H1238="","",($H1238-$F1238)*100)</f>
        <v/>
      </c>
      <c r="S1238" s="15">
        <f>IF($H1238="","",($H1238-$G1238)*100)</f>
        <v/>
      </c>
    </row>
    <row r="1239">
      <c r="A1239" s="11" t="n">
        <v>45156</v>
      </c>
      <c r="B1239" s="22" t="n">
        <v>-0.081</v>
      </c>
      <c r="C1239" s="22" t="n">
        <v>0.022</v>
      </c>
      <c r="D1239" s="22" t="n">
        <v>0.227</v>
      </c>
      <c r="E1239" s="22" t="n">
        <v>0.632</v>
      </c>
      <c r="F1239" s="22" t="n">
        <v>1.327</v>
      </c>
      <c r="G1239" s="22" t="n">
        <v>1.565</v>
      </c>
      <c r="H1239" s="22" t="n">
        <v>1.71</v>
      </c>
      <c r="I1239" s="22" t="n">
        <v>4.38</v>
      </c>
      <c r="J1239" s="22" t="n">
        <v>5.35</v>
      </c>
      <c r="K1239" s="22" t="n">
        <v>4.26</v>
      </c>
      <c r="L1239" s="17">
        <f>$J1239-$B1239</f>
        <v/>
      </c>
      <c r="M1239" s="17">
        <f>$I1239-$L1239</f>
        <v/>
      </c>
      <c r="N1239" s="23">
        <f>($G1239-$M1239)*100</f>
        <v/>
      </c>
      <c r="O1239" s="15">
        <f>($E1239-$C1239)*100</f>
        <v/>
      </c>
      <c r="P1239" s="15">
        <f>($G1239-$E1239)*100</f>
        <v/>
      </c>
      <c r="Q1239" s="15">
        <f>($G1239-$C1239)*100</f>
        <v/>
      </c>
      <c r="R1239" s="15">
        <f>IF($H1239="","",($H1239-$F1239)*100)</f>
        <v/>
      </c>
      <c r="S1239" s="15">
        <f>IF($H1239="","",($H1239-$G1239)*100)</f>
        <v/>
      </c>
    </row>
    <row r="1240">
      <c r="A1240" s="11" t="n">
        <v>45163</v>
      </c>
      <c r="B1240" s="22" t="n">
        <v>-0.08500000000000001</v>
      </c>
      <c r="C1240" s="22" t="n">
        <v>0.01</v>
      </c>
      <c r="D1240" s="22" t="n">
        <v>0.248</v>
      </c>
      <c r="E1240" s="22" t="n">
        <v>0.663</v>
      </c>
      <c r="F1240" s="22" t="n">
        <v>1.358</v>
      </c>
      <c r="G1240" s="22" t="n">
        <v>1.589</v>
      </c>
      <c r="H1240" s="22" t="n">
        <v>1.721</v>
      </c>
      <c r="I1240" s="22" t="n">
        <v>4.3</v>
      </c>
      <c r="J1240" s="22" t="n">
        <v>5.44</v>
      </c>
      <c r="K1240" s="22" t="n">
        <v>4.25</v>
      </c>
      <c r="L1240" s="17">
        <f>$J1240-$B1240</f>
        <v/>
      </c>
      <c r="M1240" s="17">
        <f>$I1240-$L1240</f>
        <v/>
      </c>
      <c r="N1240" s="23">
        <f>($G1240-$M1240)*100</f>
        <v/>
      </c>
      <c r="O1240" s="15">
        <f>($E1240-$C1240)*100</f>
        <v/>
      </c>
      <c r="P1240" s="15">
        <f>($G1240-$E1240)*100</f>
        <v/>
      </c>
      <c r="Q1240" s="15">
        <f>($G1240-$C1240)*100</f>
        <v/>
      </c>
      <c r="R1240" s="15">
        <f>IF($H1240="","",($H1240-$F1240)*100)</f>
        <v/>
      </c>
      <c r="S1240" s="15">
        <f>IF($H1240="","",($H1240-$G1240)*100)</f>
        <v/>
      </c>
    </row>
    <row r="1241">
      <c r="A1241" s="11" t="n">
        <v>45170</v>
      </c>
      <c r="B1241" s="22" t="n">
        <v>-0.075</v>
      </c>
      <c r="C1241" s="22" t="n">
        <v>0.02</v>
      </c>
      <c r="D1241" s="22" t="n">
        <v>0.222</v>
      </c>
      <c r="E1241" s="22" t="n">
        <v>0.636</v>
      </c>
      <c r="F1241" s="22" t="n">
        <v>1.325</v>
      </c>
      <c r="G1241" s="22" t="n">
        <v>1.569</v>
      </c>
      <c r="H1241" s="22" t="n">
        <v>1.712</v>
      </c>
      <c r="I1241" s="22" t="n">
        <v>4.29</v>
      </c>
      <c r="J1241" s="22" t="n">
        <v>5.36</v>
      </c>
      <c r="K1241" s="22" t="n">
        <v>4.18</v>
      </c>
      <c r="L1241" s="17">
        <f>$J1241-$B1241</f>
        <v/>
      </c>
      <c r="M1241" s="17">
        <f>$I1241-$L1241</f>
        <v/>
      </c>
      <c r="N1241" s="23">
        <f>($G1241-$M1241)*100</f>
        <v/>
      </c>
      <c r="O1241" s="15">
        <f>($E1241-$C1241)*100</f>
        <v/>
      </c>
      <c r="P1241" s="15">
        <f>($G1241-$E1241)*100</f>
        <v/>
      </c>
      <c r="Q1241" s="15">
        <f>($G1241-$C1241)*100</f>
        <v/>
      </c>
      <c r="R1241" s="15">
        <f>IF($H1241="","",($H1241-$F1241)*100)</f>
        <v/>
      </c>
      <c r="S1241" s="15">
        <f>IF($H1241="","",($H1241-$G1241)*100)</f>
        <v/>
      </c>
    </row>
    <row r="1242">
      <c r="A1242" s="11" t="n">
        <v>45177</v>
      </c>
      <c r="B1242" s="22" t="n">
        <v>-0.097</v>
      </c>
      <c r="C1242" s="22" t="n">
        <v>0.007</v>
      </c>
      <c r="D1242" s="22" t="n">
        <v>0.234</v>
      </c>
      <c r="E1242" s="22" t="n">
        <v>0.658</v>
      </c>
      <c r="F1242" s="22" t="n">
        <v>1.373</v>
      </c>
      <c r="G1242" s="22" t="n">
        <v>1.593</v>
      </c>
      <c r="H1242" s="22" t="n">
        <v>1.738</v>
      </c>
      <c r="I1242" s="22" t="n">
        <v>4.33</v>
      </c>
      <c r="J1242" s="22" t="n">
        <v>5.42</v>
      </c>
      <c r="K1242" s="22" t="n">
        <v>4.26</v>
      </c>
      <c r="L1242" s="17">
        <f>$J1242-$B1242</f>
        <v/>
      </c>
      <c r="M1242" s="17">
        <f>$I1242-$L1242</f>
        <v/>
      </c>
      <c r="N1242" s="23">
        <f>($G1242-$M1242)*100</f>
        <v/>
      </c>
      <c r="O1242" s="15">
        <f>($E1242-$C1242)*100</f>
        <v/>
      </c>
      <c r="P1242" s="15">
        <f>($G1242-$E1242)*100</f>
        <v/>
      </c>
      <c r="Q1242" s="15">
        <f>($G1242-$C1242)*100</f>
        <v/>
      </c>
      <c r="R1242" s="15">
        <f>IF($H1242="","",($H1242-$F1242)*100)</f>
        <v/>
      </c>
      <c r="S1242" s="15">
        <f>IF($H1242="","",($H1242-$G1242)*100)</f>
        <v/>
      </c>
    </row>
    <row r="1243">
      <c r="A1243" s="11" t="n">
        <v>45184</v>
      </c>
      <c r="B1243" s="22" t="n">
        <v>-0.059</v>
      </c>
      <c r="C1243" s="22" t="n">
        <v>0.03</v>
      </c>
      <c r="D1243" s="22" t="n">
        <v>0.29</v>
      </c>
      <c r="E1243" s="22" t="n">
        <v>0.715</v>
      </c>
      <c r="F1243" s="22" t="n">
        <v>1.399</v>
      </c>
      <c r="G1243" s="22" t="n">
        <v>1.598</v>
      </c>
      <c r="H1243" s="22" t="n">
        <v>1.734</v>
      </c>
      <c r="I1243" s="22" t="n">
        <v>4.42</v>
      </c>
      <c r="J1243" s="22" t="n">
        <v>5.43</v>
      </c>
      <c r="K1243" s="22" t="n">
        <v>4.33</v>
      </c>
      <c r="L1243" s="17">
        <f>$J1243-$B1243</f>
        <v/>
      </c>
      <c r="M1243" s="17">
        <f>$I1243-$L1243</f>
        <v/>
      </c>
      <c r="N1243" s="23">
        <f>($G1243-$M1243)*100</f>
        <v/>
      </c>
      <c r="O1243" s="15">
        <f>($E1243-$C1243)*100</f>
        <v/>
      </c>
      <c r="P1243" s="15">
        <f>($G1243-$E1243)*100</f>
        <v/>
      </c>
      <c r="Q1243" s="15">
        <f>($G1243-$C1243)*100</f>
        <v/>
      </c>
      <c r="R1243" s="15">
        <f>IF($H1243="","",($H1243-$F1243)*100)</f>
        <v/>
      </c>
      <c r="S1243" s="15">
        <f>IF($H1243="","",($H1243-$G1243)*100)</f>
        <v/>
      </c>
    </row>
    <row r="1244">
      <c r="A1244" s="11" t="n">
        <v>45191</v>
      </c>
      <c r="B1244" s="22" t="n">
        <v>-0.055</v>
      </c>
      <c r="C1244" s="22" t="n">
        <v>0.035</v>
      </c>
      <c r="D1244" s="22" t="n">
        <v>0.324</v>
      </c>
      <c r="E1244" s="22" t="n">
        <v>0.754</v>
      </c>
      <c r="F1244" s="22" t="n">
        <v>1.428</v>
      </c>
      <c r="G1244" s="22" t="n">
        <v>1.611</v>
      </c>
      <c r="H1244" s="22" t="n">
        <v>1.751</v>
      </c>
      <c r="I1244" s="22" t="n">
        <v>4.53</v>
      </c>
      <c r="J1244" s="22" t="n">
        <v>5.46</v>
      </c>
      <c r="K1244" s="22" t="n">
        <v>4.44</v>
      </c>
      <c r="L1244" s="17">
        <f>$J1244-$B1244</f>
        <v/>
      </c>
      <c r="M1244" s="17">
        <f>$I1244-$L1244</f>
        <v/>
      </c>
      <c r="N1244" s="23">
        <f>($G1244-$M1244)*100</f>
        <v/>
      </c>
      <c r="O1244" s="15">
        <f>($E1244-$C1244)*100</f>
        <v/>
      </c>
      <c r="P1244" s="15">
        <f>($G1244-$E1244)*100</f>
        <v/>
      </c>
      <c r="Q1244" s="15">
        <f>($G1244-$C1244)*100</f>
        <v/>
      </c>
      <c r="R1244" s="15">
        <f>IF($H1244="","",($H1244-$F1244)*100)</f>
        <v/>
      </c>
      <c r="S1244" s="15">
        <f>IF($H1244="","",($H1244-$G1244)*100)</f>
        <v/>
      </c>
    </row>
    <row r="1245">
      <c r="A1245" s="11" t="n">
        <v>45198</v>
      </c>
      <c r="B1245" s="22" t="n">
        <v>-0.064</v>
      </c>
      <c r="C1245" s="22" t="n">
        <v>0.044</v>
      </c>
      <c r="D1245" s="22" t="n">
        <v>0.341</v>
      </c>
      <c r="E1245" s="22" t="n">
        <v>0.774</v>
      </c>
      <c r="F1245" s="22" t="n">
        <v>1.456</v>
      </c>
      <c r="G1245" s="22" t="n">
        <v>1.649</v>
      </c>
      <c r="H1245" s="22" t="n">
        <v>1.776</v>
      </c>
      <c r="I1245" s="22" t="n">
        <v>4.73</v>
      </c>
      <c r="J1245" s="22" t="n">
        <v>5.46</v>
      </c>
      <c r="K1245" s="22" t="n">
        <v>4.59</v>
      </c>
      <c r="L1245" s="17">
        <f>$J1245-$B1245</f>
        <v/>
      </c>
      <c r="M1245" s="17">
        <f>$I1245-$L1245</f>
        <v/>
      </c>
      <c r="N1245" s="23">
        <f>($G1245-$M1245)*100</f>
        <v/>
      </c>
      <c r="O1245" s="15">
        <f>($E1245-$C1245)*100</f>
        <v/>
      </c>
      <c r="P1245" s="15">
        <f>($G1245-$E1245)*100</f>
        <v/>
      </c>
      <c r="Q1245" s="15">
        <f>($G1245-$C1245)*100</f>
        <v/>
      </c>
      <c r="R1245" s="15">
        <f>IF($H1245="","",($H1245-$F1245)*100)</f>
        <v/>
      </c>
      <c r="S1245" s="15">
        <f>IF($H1245="","",($H1245-$G1245)*100)</f>
        <v/>
      </c>
    </row>
    <row r="1246">
      <c r="A1246" s="11" t="n">
        <v>45205</v>
      </c>
      <c r="B1246" s="22" t="n">
        <v>-0.064</v>
      </c>
      <c r="C1246" s="22" t="n">
        <v>0.061</v>
      </c>
      <c r="D1246" s="22" t="n">
        <v>0.358</v>
      </c>
      <c r="E1246" s="22" t="n">
        <v>0.802</v>
      </c>
      <c r="F1246" s="22" t="n">
        <v>1.547</v>
      </c>
      <c r="G1246" s="22" t="n">
        <v>1.75</v>
      </c>
      <c r="H1246" s="22" t="n">
        <v>1.871</v>
      </c>
      <c r="I1246" s="22" t="n">
        <v>4.95</v>
      </c>
      <c r="J1246" s="22" t="n">
        <v>5.43</v>
      </c>
      <c r="K1246" s="22" t="n">
        <v>4.78</v>
      </c>
      <c r="L1246" s="17">
        <f>$J1246-$B1246</f>
        <v/>
      </c>
      <c r="M1246" s="17">
        <f>$I1246-$L1246</f>
        <v/>
      </c>
      <c r="N1246" s="23">
        <f>($G1246-$M1246)*100</f>
        <v/>
      </c>
      <c r="O1246" s="15">
        <f>($E1246-$C1246)*100</f>
        <v/>
      </c>
      <c r="P1246" s="15">
        <f>($G1246-$E1246)*100</f>
        <v/>
      </c>
      <c r="Q1246" s="15">
        <f>($G1246-$C1246)*100</f>
        <v/>
      </c>
      <c r="R1246" s="15">
        <f>IF($H1246="","",($H1246-$F1246)*100)</f>
        <v/>
      </c>
      <c r="S1246" s="15">
        <f>IF($H1246="","",($H1246-$G1246)*100)</f>
        <v/>
      </c>
    </row>
    <row r="1247">
      <c r="A1247" s="11" t="n">
        <v>45212</v>
      </c>
      <c r="B1247" s="22" t="n">
        <v>-0.075</v>
      </c>
      <c r="C1247" s="22" t="n">
        <v>0.044</v>
      </c>
      <c r="D1247" s="22" t="n">
        <v>0.322</v>
      </c>
      <c r="E1247" s="22" t="n">
        <v>0.765</v>
      </c>
      <c r="F1247" s="22" t="n">
        <v>1.492</v>
      </c>
      <c r="G1247" s="22" t="n">
        <v>1.699</v>
      </c>
      <c r="H1247" s="22" t="n">
        <v>1.828</v>
      </c>
      <c r="I1247" s="22" t="n">
        <v>4.78</v>
      </c>
      <c r="J1247" s="22" t="n">
        <v>5.41</v>
      </c>
      <c r="K1247" s="22" t="n">
        <v>4.63</v>
      </c>
      <c r="L1247" s="17">
        <f>$J1247-$B1247</f>
        <v/>
      </c>
      <c r="M1247" s="17">
        <f>$I1247-$L1247</f>
        <v/>
      </c>
      <c r="N1247" s="23">
        <f>($G1247-$M1247)*100</f>
        <v/>
      </c>
      <c r="O1247" s="15">
        <f>($E1247-$C1247)*100</f>
        <v/>
      </c>
      <c r="P1247" s="15">
        <f>($G1247-$E1247)*100</f>
        <v/>
      </c>
      <c r="Q1247" s="15">
        <f>($G1247-$C1247)*100</f>
        <v/>
      </c>
      <c r="R1247" s="15">
        <f>IF($H1247="","",($H1247-$F1247)*100)</f>
        <v/>
      </c>
      <c r="S1247" s="15">
        <f>IF($H1247="","",($H1247-$G1247)*100)</f>
        <v/>
      </c>
    </row>
    <row r="1248">
      <c r="A1248" s="11" t="n">
        <v>45219</v>
      </c>
      <c r="B1248" s="22" t="n">
        <v>-0.06</v>
      </c>
      <c r="C1248" s="22" t="n">
        <v>0.075</v>
      </c>
      <c r="D1248" s="22" t="n">
        <v>0.366</v>
      </c>
      <c r="E1248" s="22" t="n">
        <v>0.841</v>
      </c>
      <c r="F1248" s="22" t="n">
        <v>1.616</v>
      </c>
      <c r="G1248" s="22" t="n">
        <v>1.817</v>
      </c>
      <c r="H1248" s="22" t="n">
        <v>1.929</v>
      </c>
      <c r="I1248" s="22" t="n">
        <v>5.09</v>
      </c>
      <c r="J1248" s="22" t="n">
        <v>5.41</v>
      </c>
      <c r="K1248" s="22" t="n">
        <v>4.93</v>
      </c>
      <c r="L1248" s="17">
        <f>$J1248-$B1248</f>
        <v/>
      </c>
      <c r="M1248" s="17">
        <f>$I1248-$L1248</f>
        <v/>
      </c>
      <c r="N1248" s="23">
        <f>($G1248-$M1248)*100</f>
        <v/>
      </c>
      <c r="O1248" s="15">
        <f>($E1248-$C1248)*100</f>
        <v/>
      </c>
      <c r="P1248" s="15">
        <f>($G1248-$E1248)*100</f>
        <v/>
      </c>
      <c r="Q1248" s="15">
        <f>($G1248-$C1248)*100</f>
        <v/>
      </c>
      <c r="R1248" s="15">
        <f>IF($H1248="","",($H1248-$F1248)*100)</f>
        <v/>
      </c>
      <c r="S1248" s="15">
        <f>IF($H1248="","",($H1248-$G1248)*100)</f>
        <v/>
      </c>
    </row>
    <row r="1249">
      <c r="A1249" s="11" t="n">
        <v>45226</v>
      </c>
      <c r="B1249" s="22" t="n">
        <v>-0.047</v>
      </c>
      <c r="C1249" s="22" t="n">
        <v>0.094</v>
      </c>
      <c r="D1249" s="22" t="n">
        <v>0.386</v>
      </c>
      <c r="E1249" s="22" t="n">
        <v>0.875</v>
      </c>
      <c r="F1249" s="22" t="n">
        <v>1.647</v>
      </c>
      <c r="G1249" s="22" t="n">
        <v>1.831</v>
      </c>
      <c r="H1249" s="22" t="n">
        <v>1.94</v>
      </c>
      <c r="I1249" s="22" t="n">
        <v>5.03</v>
      </c>
      <c r="J1249" s="22" t="n">
        <v>5.39</v>
      </c>
      <c r="K1249" s="22" t="n">
        <v>4.84</v>
      </c>
      <c r="L1249" s="17">
        <f>$J1249-$B1249</f>
        <v/>
      </c>
      <c r="M1249" s="17">
        <f>$I1249-$L1249</f>
        <v/>
      </c>
      <c r="N1249" s="23">
        <f>($G1249-$M1249)*100</f>
        <v/>
      </c>
      <c r="O1249" s="15">
        <f>($E1249-$C1249)*100</f>
        <v/>
      </c>
      <c r="P1249" s="15">
        <f>($G1249-$E1249)*100</f>
        <v/>
      </c>
      <c r="Q1249" s="15">
        <f>($G1249-$C1249)*100</f>
        <v/>
      </c>
      <c r="R1249" s="15">
        <f>IF($H1249="","",($H1249-$F1249)*100)</f>
        <v/>
      </c>
      <c r="S1249" s="15">
        <f>IF($H1249="","",($H1249-$G1249)*100)</f>
        <v/>
      </c>
    </row>
    <row r="1250">
      <c r="A1250" s="11" t="n">
        <v>45233</v>
      </c>
      <c r="B1250" s="22" t="n">
        <v>-0.025</v>
      </c>
      <c r="C1250" s="22" t="n">
        <v>0.135</v>
      </c>
      <c r="D1250" s="22" t="n">
        <v>0.46</v>
      </c>
      <c r="E1250" s="22" t="n">
        <v>0.92</v>
      </c>
      <c r="F1250" s="22" t="n">
        <v>1.672</v>
      </c>
      <c r="G1250" s="22" t="n">
        <v>1.851</v>
      </c>
      <c r="H1250" s="22" t="n">
        <v>1.949</v>
      </c>
      <c r="I1250" s="22" t="n">
        <v>4.77</v>
      </c>
      <c r="J1250" s="22" t="n">
        <v>5.29</v>
      </c>
      <c r="K1250" s="22" t="n">
        <v>4.57</v>
      </c>
      <c r="L1250" s="17">
        <f>$J1250-$B1250</f>
        <v/>
      </c>
      <c r="M1250" s="17">
        <f>$I1250-$L1250</f>
        <v/>
      </c>
      <c r="N1250" s="23">
        <f>($G1250-$M1250)*100</f>
        <v/>
      </c>
      <c r="O1250" s="15">
        <f>($E1250-$C1250)*100</f>
        <v/>
      </c>
      <c r="P1250" s="15">
        <f>($G1250-$E1250)*100</f>
        <v/>
      </c>
      <c r="Q1250" s="15">
        <f>($G1250-$C1250)*100</f>
        <v/>
      </c>
      <c r="R1250" s="15">
        <f>IF($H1250="","",($H1250-$F1250)*100)</f>
        <v/>
      </c>
      <c r="S1250" s="15">
        <f>IF($H1250="","",($H1250-$G1250)*100)</f>
        <v/>
      </c>
    </row>
    <row r="1251">
      <c r="A1251" s="11" t="n">
        <v>45240</v>
      </c>
      <c r="B1251" s="22" t="n">
        <v>-0.042</v>
      </c>
      <c r="C1251" s="22" t="n">
        <v>0.108</v>
      </c>
      <c r="D1251" s="22" t="n">
        <v>0.427</v>
      </c>
      <c r="E1251" s="22" t="n">
        <v>0.859</v>
      </c>
      <c r="F1251" s="22" t="n">
        <v>1.555</v>
      </c>
      <c r="G1251" s="22" t="n">
        <v>1.743</v>
      </c>
      <c r="H1251" s="22" t="n">
        <v>1.834</v>
      </c>
      <c r="I1251" s="22" t="n">
        <v>4.73</v>
      </c>
      <c r="J1251" s="22" t="n">
        <v>5.38</v>
      </c>
      <c r="K1251" s="22" t="n">
        <v>4.61</v>
      </c>
      <c r="L1251" s="17">
        <f>$J1251-$B1251</f>
        <v/>
      </c>
      <c r="M1251" s="17">
        <f>$I1251-$L1251</f>
        <v/>
      </c>
      <c r="N1251" s="23">
        <f>($G1251-$M1251)*100</f>
        <v/>
      </c>
      <c r="O1251" s="15">
        <f>($E1251-$C1251)*100</f>
        <v/>
      </c>
      <c r="P1251" s="15">
        <f>($G1251-$E1251)*100</f>
        <v/>
      </c>
      <c r="Q1251" s="15">
        <f>($G1251-$C1251)*100</f>
        <v/>
      </c>
      <c r="R1251" s="15">
        <f>IF($H1251="","",($H1251-$F1251)*100)</f>
        <v/>
      </c>
      <c r="S1251" s="15">
        <f>IF($H1251="","",($H1251-$G1251)*100)</f>
        <v/>
      </c>
    </row>
    <row r="1252">
      <c r="A1252" s="11" t="n">
        <v>45247</v>
      </c>
      <c r="B1252" s="22" t="n">
        <v>-0.09</v>
      </c>
      <c r="C1252" s="22" t="n">
        <v>0.046</v>
      </c>
      <c r="D1252" s="22" t="n">
        <v>0.33</v>
      </c>
      <c r="E1252" s="22" t="n">
        <v>0.765</v>
      </c>
      <c r="F1252" s="22" t="n">
        <v>1.484</v>
      </c>
      <c r="G1252" s="22" t="n">
        <v>1.694</v>
      </c>
      <c r="H1252" s="22" t="n">
        <v>1.794</v>
      </c>
      <c r="I1252" s="22" t="n">
        <v>4.59</v>
      </c>
      <c r="J1252" s="22" t="n">
        <v>5.24</v>
      </c>
      <c r="K1252" s="22" t="n">
        <v>4.44</v>
      </c>
      <c r="L1252" s="17">
        <f>$J1252-$B1252</f>
        <v/>
      </c>
      <c r="M1252" s="17">
        <f>$I1252-$L1252</f>
        <v/>
      </c>
      <c r="N1252" s="23">
        <f>($G1252-$M1252)*100</f>
        <v/>
      </c>
      <c r="O1252" s="15">
        <f>($E1252-$C1252)*100</f>
        <v/>
      </c>
      <c r="P1252" s="15">
        <f>($G1252-$E1252)*100</f>
        <v/>
      </c>
      <c r="Q1252" s="15">
        <f>($G1252-$C1252)*100</f>
        <v/>
      </c>
      <c r="R1252" s="15">
        <f>IF($H1252="","",($H1252-$F1252)*100)</f>
        <v/>
      </c>
      <c r="S1252" s="15">
        <f>IF($H1252="","",($H1252-$G1252)*100)</f>
        <v/>
      </c>
    </row>
    <row r="1253">
      <c r="A1253" s="11" t="n">
        <v>45254</v>
      </c>
      <c r="B1253" s="22" t="n">
        <v>-0.058</v>
      </c>
      <c r="C1253" s="22" t="n">
        <v>0.068</v>
      </c>
      <c r="D1253" s="22" t="n">
        <v>0.367</v>
      </c>
      <c r="E1253" s="22" t="n">
        <v>0.786</v>
      </c>
      <c r="F1253" s="22" t="n">
        <v>1.498</v>
      </c>
      <c r="G1253" s="22" t="n">
        <v>1.699</v>
      </c>
      <c r="H1253" s="22" t="n">
        <v>1.796</v>
      </c>
      <c r="I1253" s="22" t="n">
        <v>4.6</v>
      </c>
      <c r="J1253" s="22" t="n">
        <v>5.27</v>
      </c>
      <c r="K1253" s="22" t="n">
        <v>4.47</v>
      </c>
      <c r="L1253" s="17">
        <f>$J1253-$B1253</f>
        <v/>
      </c>
      <c r="M1253" s="17">
        <f>$I1253-$L1253</f>
        <v/>
      </c>
      <c r="N1253" s="23">
        <f>($G1253-$M1253)*100</f>
        <v/>
      </c>
      <c r="O1253" s="15">
        <f>($E1253-$C1253)*100</f>
        <v/>
      </c>
      <c r="P1253" s="15">
        <f>($G1253-$E1253)*100</f>
        <v/>
      </c>
      <c r="Q1253" s="15">
        <f>($G1253-$C1253)*100</f>
        <v/>
      </c>
      <c r="R1253" s="15">
        <f>IF($H1253="","",($H1253-$F1253)*100)</f>
        <v/>
      </c>
      <c r="S1253" s="15">
        <f>IF($H1253="","",($H1253-$G1253)*100)</f>
        <v/>
      </c>
    </row>
    <row r="1254">
      <c r="A1254" s="11" t="n">
        <v>45261</v>
      </c>
      <c r="B1254" s="22" t="n">
        <v>-0.055</v>
      </c>
      <c r="C1254" s="22" t="n">
        <v>0.04</v>
      </c>
      <c r="D1254" s="22" t="n">
        <v>0.281</v>
      </c>
      <c r="E1254" s="22" t="n">
        <v>0.72</v>
      </c>
      <c r="F1254" s="22" t="n">
        <v>1.449</v>
      </c>
      <c r="G1254" s="22" t="n">
        <v>1.683</v>
      </c>
      <c r="H1254" s="22" t="n">
        <v>1.81</v>
      </c>
      <c r="I1254" s="22" t="n">
        <v>4.4</v>
      </c>
      <c r="J1254" s="22" t="n">
        <v>5.05</v>
      </c>
      <c r="K1254" s="22" t="n">
        <v>4.22</v>
      </c>
      <c r="L1254" s="17">
        <f>$J1254-$B1254</f>
        <v/>
      </c>
      <c r="M1254" s="17">
        <f>$I1254-$L1254</f>
        <v/>
      </c>
      <c r="N1254" s="23">
        <f>($G1254-$M1254)*100</f>
        <v/>
      </c>
      <c r="O1254" s="15">
        <f>($E1254-$C1254)*100</f>
        <v/>
      </c>
      <c r="P1254" s="15">
        <f>($G1254-$E1254)*100</f>
        <v/>
      </c>
      <c r="Q1254" s="15">
        <f>($G1254-$C1254)*100</f>
        <v/>
      </c>
      <c r="R1254" s="15">
        <f>IF($H1254="","",($H1254-$F1254)*100)</f>
        <v/>
      </c>
      <c r="S1254" s="15">
        <f>IF($H1254="","",($H1254-$G1254)*100)</f>
        <v/>
      </c>
    </row>
    <row r="1255">
      <c r="A1255" s="11" t="n">
        <v>45268</v>
      </c>
      <c r="B1255" s="22" t="n">
        <v>-0.023</v>
      </c>
      <c r="C1255" s="22" t="n">
        <v>0.092</v>
      </c>
      <c r="D1255" s="22" t="n">
        <v>0.372</v>
      </c>
      <c r="E1255" s="22" t="n">
        <v>0.791</v>
      </c>
      <c r="F1255" s="22" t="n">
        <v>1.544</v>
      </c>
      <c r="G1255" s="22" t="n">
        <v>1.759</v>
      </c>
      <c r="H1255" s="22" t="n">
        <v>1.86</v>
      </c>
      <c r="I1255" s="22" t="n">
        <v>4.31</v>
      </c>
      <c r="J1255" s="22" t="n">
        <v>5.13</v>
      </c>
      <c r="K1255" s="22" t="n">
        <v>4.23</v>
      </c>
      <c r="L1255" s="17">
        <f>$J1255-$B1255</f>
        <v/>
      </c>
      <c r="M1255" s="17">
        <f>$I1255-$L1255</f>
        <v/>
      </c>
      <c r="N1255" s="23">
        <f>($G1255-$M1255)*100</f>
        <v/>
      </c>
      <c r="O1255" s="15">
        <f>($E1255-$C1255)*100</f>
        <v/>
      </c>
      <c r="P1255" s="15">
        <f>($G1255-$E1255)*100</f>
        <v/>
      </c>
      <c r="Q1255" s="15">
        <f>($G1255-$C1255)*100</f>
        <v/>
      </c>
      <c r="R1255" s="15">
        <f>IF($H1255="","",($H1255-$F1255)*100)</f>
        <v/>
      </c>
      <c r="S1255" s="15">
        <f>IF($H1255="","",($H1255-$G1255)*100)</f>
        <v/>
      </c>
    </row>
    <row r="1256">
      <c r="A1256" s="11" t="n">
        <v>45275</v>
      </c>
      <c r="B1256" s="22" t="n">
        <v>-0.017</v>
      </c>
      <c r="C1256" s="22" t="n">
        <v>0.08699999999999999</v>
      </c>
      <c r="D1256" s="22" t="n">
        <v>0.327</v>
      </c>
      <c r="E1256" s="22" t="n">
        <v>0.728</v>
      </c>
      <c r="F1256" s="22" t="n">
        <v>1.443</v>
      </c>
      <c r="G1256" s="22" t="n">
        <v>1.652</v>
      </c>
      <c r="H1256" s="22" t="n">
        <v>1.757</v>
      </c>
      <c r="I1256" s="22" t="n">
        <v>4</v>
      </c>
      <c r="J1256" s="22" t="n">
        <v>4.95</v>
      </c>
      <c r="K1256" s="22" t="n">
        <v>3.91</v>
      </c>
      <c r="L1256" s="17">
        <f>$J1256-$B1256</f>
        <v/>
      </c>
      <c r="M1256" s="17">
        <f>$I1256-$L1256</f>
        <v/>
      </c>
      <c r="N1256" s="23">
        <f>($G1256-$M1256)*100</f>
        <v/>
      </c>
      <c r="O1256" s="15">
        <f>($E1256-$C1256)*100</f>
        <v/>
      </c>
      <c r="P1256" s="15">
        <f>($G1256-$E1256)*100</f>
        <v/>
      </c>
      <c r="Q1256" s="15">
        <f>($G1256-$C1256)*100</f>
        <v/>
      </c>
      <c r="R1256" s="15">
        <f>IF($H1256="","",($H1256-$F1256)*100)</f>
        <v/>
      </c>
      <c r="S1256" s="15">
        <f>IF($H1256="","",($H1256-$G1256)*100)</f>
        <v/>
      </c>
    </row>
    <row r="1257">
      <c r="A1257" s="11" t="n">
        <v>45282</v>
      </c>
      <c r="B1257" s="22" t="n">
        <v>-0.042</v>
      </c>
      <c r="C1257" s="22" t="n">
        <v>0.046</v>
      </c>
      <c r="D1257" s="22" t="n">
        <v>0.268</v>
      </c>
      <c r="E1257" s="22" t="n">
        <v>0.651</v>
      </c>
      <c r="F1257" s="22" t="n">
        <v>1.384</v>
      </c>
      <c r="G1257" s="22" t="n">
        <v>1.619</v>
      </c>
      <c r="H1257" s="22" t="n">
        <v>1.732</v>
      </c>
      <c r="I1257" s="22" t="n">
        <v>4.05</v>
      </c>
      <c r="J1257" s="22" t="n">
        <v>4.82</v>
      </c>
      <c r="K1257" s="22" t="n">
        <v>3.9</v>
      </c>
      <c r="L1257" s="17">
        <f>$J1257-$B1257</f>
        <v/>
      </c>
      <c r="M1257" s="17">
        <f>$I1257-$L1257</f>
        <v/>
      </c>
      <c r="N1257" s="23">
        <f>($G1257-$M1257)*100</f>
        <v/>
      </c>
      <c r="O1257" s="15">
        <f>($E1257-$C1257)*100</f>
        <v/>
      </c>
      <c r="P1257" s="15">
        <f>($G1257-$E1257)*100</f>
        <v/>
      </c>
      <c r="Q1257" s="15">
        <f>($G1257-$C1257)*100</f>
        <v/>
      </c>
      <c r="R1257" s="15">
        <f>IF($H1257="","",($H1257-$F1257)*100)</f>
        <v/>
      </c>
      <c r="S1257" s="15">
        <f>IF($H1257="","",($H1257-$G1257)*100)</f>
        <v/>
      </c>
    </row>
    <row r="1258">
      <c r="A1258" s="11" t="n">
        <v>45289</v>
      </c>
      <c r="B1258" s="22" t="n">
        <v>-0.026</v>
      </c>
      <c r="C1258" s="22" t="n">
        <v>0.048</v>
      </c>
      <c r="D1258" s="22" t="n">
        <v>0.233</v>
      </c>
      <c r="E1258" s="22" t="n">
        <v>0.647</v>
      </c>
      <c r="F1258" s="22" t="n">
        <v>1.404</v>
      </c>
      <c r="G1258" s="22" t="n">
        <v>1.662</v>
      </c>
      <c r="H1258" s="22" t="n">
        <v>1.793</v>
      </c>
      <c r="I1258" s="22" t="n">
        <v>4.03</v>
      </c>
      <c r="J1258" s="22" t="n">
        <v>4.79</v>
      </c>
      <c r="K1258" s="22" t="n">
        <v>3.88</v>
      </c>
      <c r="L1258" s="17">
        <f>$J1258-$B1258</f>
        <v/>
      </c>
      <c r="M1258" s="17">
        <f>$I1258-$L1258</f>
        <v/>
      </c>
      <c r="N1258" s="23">
        <f>($G1258-$M1258)*100</f>
        <v/>
      </c>
      <c r="O1258" s="15">
        <f>($E1258-$C1258)*100</f>
        <v/>
      </c>
      <c r="P1258" s="15">
        <f>($G1258-$E1258)*100</f>
        <v/>
      </c>
      <c r="Q1258" s="15">
        <f>($G1258-$C1258)*100</f>
        <v/>
      </c>
      <c r="R1258" s="15">
        <f>IF($H1258="","",($H1258-$F1258)*100)</f>
        <v/>
      </c>
      <c r="S1258" s="15">
        <f>IF($H1258="","",($H1258-$G1258)*100)</f>
        <v/>
      </c>
    </row>
    <row r="1259">
      <c r="A1259" s="11" t="n">
        <v>45296</v>
      </c>
      <c r="B1259" s="22" t="n">
        <v>-0.045</v>
      </c>
      <c r="C1259" s="22" t="n">
        <v>0.035</v>
      </c>
      <c r="D1259" s="22" t="n">
        <v>0.217</v>
      </c>
      <c r="E1259" s="22" t="n">
        <v>0.634</v>
      </c>
      <c r="F1259" s="22" t="n">
        <v>1.383</v>
      </c>
      <c r="G1259" s="22" t="n">
        <v>1.64</v>
      </c>
      <c r="H1259" s="22" t="n">
        <v>1.773</v>
      </c>
      <c r="I1259" s="22" t="n">
        <v>4.21</v>
      </c>
      <c r="J1259" s="22" t="n">
        <v>4.84</v>
      </c>
      <c r="K1259" s="22" t="n">
        <v>4.05</v>
      </c>
      <c r="L1259" s="17">
        <f>$J1259-$B1259</f>
        <v/>
      </c>
      <c r="M1259" s="17">
        <f>$I1259-$L1259</f>
        <v/>
      </c>
      <c r="N1259" s="23">
        <f>($G1259-$M1259)*100</f>
        <v/>
      </c>
      <c r="O1259" s="15">
        <f>($E1259-$C1259)*100</f>
        <v/>
      </c>
      <c r="P1259" s="15">
        <f>($G1259-$E1259)*100</f>
        <v/>
      </c>
      <c r="Q1259" s="15">
        <f>($G1259-$C1259)*100</f>
        <v/>
      </c>
      <c r="R1259" s="15">
        <f>IF($H1259="","",($H1259-$F1259)*100)</f>
        <v/>
      </c>
      <c r="S1259" s="15">
        <f>IF($H1259="","",($H1259-$G1259)*100)</f>
        <v/>
      </c>
    </row>
    <row r="1260">
      <c r="A1260" s="11" t="n">
        <v>45303</v>
      </c>
      <c r="B1260" s="22" t="n">
        <v>-0.08500000000000001</v>
      </c>
      <c r="C1260" s="22" t="n">
        <v>0.005</v>
      </c>
      <c r="D1260" s="22" t="n">
        <v>0.196</v>
      </c>
      <c r="E1260" s="22" t="n">
        <v>0.591</v>
      </c>
      <c r="F1260" s="22" t="n">
        <v>1.336</v>
      </c>
      <c r="G1260" s="22" t="n">
        <v>1.61</v>
      </c>
      <c r="H1260" s="22" t="n">
        <v>1.745</v>
      </c>
      <c r="I1260" s="22" t="n">
        <v>4.2</v>
      </c>
      <c r="J1260" s="22" t="n">
        <v>4.65</v>
      </c>
      <c r="K1260" s="22" t="n">
        <v>3.96</v>
      </c>
      <c r="L1260" s="17">
        <f>$J1260-$B1260</f>
        <v/>
      </c>
      <c r="M1260" s="17">
        <f>$I1260-$L1260</f>
        <v/>
      </c>
      <c r="N1260" s="23">
        <f>($G1260-$M1260)*100</f>
        <v/>
      </c>
      <c r="O1260" s="15">
        <f>($E1260-$C1260)*100</f>
        <v/>
      </c>
      <c r="P1260" s="15">
        <f>($G1260-$E1260)*100</f>
        <v/>
      </c>
      <c r="Q1260" s="15">
        <f>($G1260-$C1260)*100</f>
        <v/>
      </c>
      <c r="R1260" s="15">
        <f>IF($H1260="","",($H1260-$F1260)*100)</f>
        <v/>
      </c>
      <c r="S1260" s="15">
        <f>IF($H1260="","",($H1260-$G1260)*100)</f>
        <v/>
      </c>
    </row>
    <row r="1261">
      <c r="A1261" s="11" t="n">
        <v>45310</v>
      </c>
      <c r="B1261" s="22" t="n">
        <v>-0.065</v>
      </c>
      <c r="C1261" s="22" t="n">
        <v>0.031</v>
      </c>
      <c r="D1261" s="22" t="n">
        <v>0.256</v>
      </c>
      <c r="E1261" s="22" t="n">
        <v>0.671</v>
      </c>
      <c r="F1261" s="22" t="n">
        <v>1.454</v>
      </c>
      <c r="G1261" s="22" t="n">
        <v>1.745</v>
      </c>
      <c r="H1261" s="22" t="n">
        <v>1.907</v>
      </c>
      <c r="I1261" s="22" t="n">
        <v>4.36</v>
      </c>
      <c r="J1261" s="22" t="n">
        <v>4.84</v>
      </c>
      <c r="K1261" s="22" t="n">
        <v>4.15</v>
      </c>
      <c r="L1261" s="17">
        <f>$J1261-$B1261</f>
        <v/>
      </c>
      <c r="M1261" s="17">
        <f>$I1261-$L1261</f>
        <v/>
      </c>
      <c r="N1261" s="23">
        <f>($G1261-$M1261)*100</f>
        <v/>
      </c>
      <c r="O1261" s="15">
        <f>($E1261-$C1261)*100</f>
        <v/>
      </c>
      <c r="P1261" s="15">
        <f>($G1261-$E1261)*100</f>
        <v/>
      </c>
      <c r="Q1261" s="15">
        <f>($G1261-$C1261)*100</f>
        <v/>
      </c>
      <c r="R1261" s="15">
        <f>IF($H1261="","",($H1261-$F1261)*100)</f>
        <v/>
      </c>
      <c r="S1261" s="15">
        <f>IF($H1261="","",($H1261-$G1261)*100)</f>
        <v/>
      </c>
    </row>
    <row r="1262">
      <c r="A1262" s="11" t="n">
        <v>45317</v>
      </c>
      <c r="B1262" s="22" t="n">
        <v>-0.045</v>
      </c>
      <c r="C1262" s="22" t="n">
        <v>0.052</v>
      </c>
      <c r="D1262" s="22" t="n">
        <v>0.3</v>
      </c>
      <c r="E1262" s="22" t="n">
        <v>0.721</v>
      </c>
      <c r="F1262" s="22" t="n">
        <v>1.506</v>
      </c>
      <c r="G1262" s="22" t="n">
        <v>1.782</v>
      </c>
      <c r="H1262" s="22" t="n">
        <v>1.924</v>
      </c>
      <c r="I1262" s="22" t="n">
        <v>4.38</v>
      </c>
      <c r="J1262" s="22" t="n">
        <v>4.78</v>
      </c>
      <c r="K1262" s="22" t="n">
        <v>4.15</v>
      </c>
      <c r="L1262" s="17">
        <f>$J1262-$B1262</f>
        <v/>
      </c>
      <c r="M1262" s="17">
        <f>$I1262-$L1262</f>
        <v/>
      </c>
      <c r="N1262" s="23">
        <f>($G1262-$M1262)*100</f>
        <v/>
      </c>
      <c r="O1262" s="15">
        <f>($E1262-$C1262)*100</f>
        <v/>
      </c>
      <c r="P1262" s="15">
        <f>($G1262-$E1262)*100</f>
        <v/>
      </c>
      <c r="Q1262" s="15">
        <f>($G1262-$C1262)*100</f>
        <v/>
      </c>
      <c r="R1262" s="15">
        <f>IF($H1262="","",($H1262-$F1262)*100)</f>
        <v/>
      </c>
      <c r="S1262" s="15">
        <f>IF($H1262="","",($H1262-$G1262)*100)</f>
        <v/>
      </c>
    </row>
    <row r="1263">
      <c r="A1263" s="11" t="n">
        <v>45324</v>
      </c>
      <c r="B1263" s="22" t="n">
        <v>-0.025</v>
      </c>
      <c r="C1263" s="22" t="n">
        <v>0.1</v>
      </c>
      <c r="D1263" s="22" t="n">
        <v>0.282</v>
      </c>
      <c r="E1263" s="22" t="n">
        <v>0.667</v>
      </c>
      <c r="F1263" s="22" t="n">
        <v>1.441</v>
      </c>
      <c r="G1263" s="22" t="n">
        <v>1.723</v>
      </c>
      <c r="H1263" s="22" t="n">
        <v>1.856</v>
      </c>
      <c r="I1263" s="22" t="n">
        <v>4.22</v>
      </c>
      <c r="J1263" s="22" t="n">
        <v>4.81</v>
      </c>
      <c r="K1263" s="22" t="n">
        <v>4.03</v>
      </c>
      <c r="L1263" s="17">
        <f>$J1263-$B1263</f>
        <v/>
      </c>
      <c r="M1263" s="17">
        <f>$I1263-$L1263</f>
        <v/>
      </c>
      <c r="N1263" s="23">
        <f>($G1263-$M1263)*100</f>
        <v/>
      </c>
      <c r="O1263" s="15">
        <f>($E1263-$C1263)*100</f>
        <v/>
      </c>
      <c r="P1263" s="15">
        <f>($G1263-$E1263)*100</f>
        <v/>
      </c>
      <c r="Q1263" s="15">
        <f>($G1263-$C1263)*100</f>
        <v/>
      </c>
      <c r="R1263" s="15">
        <f>IF($H1263="","",($H1263-$F1263)*100)</f>
        <v/>
      </c>
      <c r="S1263" s="15">
        <f>IF($H1263="","",($H1263-$G1263)*100)</f>
        <v/>
      </c>
    </row>
    <row r="1264">
      <c r="A1264" s="11" t="n">
        <v>45331</v>
      </c>
      <c r="B1264" s="22" t="n">
        <v>-0.002</v>
      </c>
      <c r="C1264" s="22" t="n">
        <v>0.116</v>
      </c>
      <c r="D1264" s="22" t="n">
        <v>0.332</v>
      </c>
      <c r="E1264" s="22" t="n">
        <v>0.731</v>
      </c>
      <c r="F1264" s="22" t="n">
        <v>1.49</v>
      </c>
      <c r="G1264" s="22" t="n">
        <v>1.758</v>
      </c>
      <c r="H1264" s="22" t="n">
        <v>1.876</v>
      </c>
      <c r="I1264" s="22" t="n">
        <v>4.37</v>
      </c>
      <c r="J1264" s="22" t="n">
        <v>4.86</v>
      </c>
      <c r="K1264" s="22" t="n">
        <v>4.17</v>
      </c>
      <c r="L1264" s="17">
        <f>$J1264-$B1264</f>
        <v/>
      </c>
      <c r="M1264" s="17">
        <f>$I1264-$L1264</f>
        <v/>
      </c>
      <c r="N1264" s="23">
        <f>($G1264-$M1264)*100</f>
        <v/>
      </c>
      <c r="O1264" s="15">
        <f>($E1264-$C1264)*100</f>
        <v/>
      </c>
      <c r="P1264" s="15">
        <f>($G1264-$E1264)*100</f>
        <v/>
      </c>
      <c r="Q1264" s="15">
        <f>($G1264-$C1264)*100</f>
        <v/>
      </c>
      <c r="R1264" s="15">
        <f>IF($H1264="","",($H1264-$F1264)*100)</f>
        <v/>
      </c>
      <c r="S1264" s="15">
        <f>IF($H1264="","",($H1264-$G1264)*100)</f>
        <v/>
      </c>
    </row>
    <row r="1265">
      <c r="A1265" s="11" t="n">
        <v>45338</v>
      </c>
      <c r="B1265" s="22" t="n">
        <v>0</v>
      </c>
      <c r="C1265" s="22" t="n">
        <v>0.143</v>
      </c>
      <c r="D1265" s="22" t="n">
        <v>0.354</v>
      </c>
      <c r="E1265" s="22" t="n">
        <v>0.737</v>
      </c>
      <c r="F1265" s="22" t="n">
        <v>1.491</v>
      </c>
      <c r="G1265" s="22" t="n">
        <v>1.75</v>
      </c>
      <c r="H1265" s="22" t="n">
        <v>1.869</v>
      </c>
      <c r="I1265" s="22" t="n">
        <v>4.45</v>
      </c>
      <c r="J1265" s="22" t="n">
        <v>4.98</v>
      </c>
      <c r="K1265" s="22" t="n">
        <v>4.3</v>
      </c>
      <c r="L1265" s="17">
        <f>$J1265-$B1265</f>
        <v/>
      </c>
      <c r="M1265" s="17">
        <f>$I1265-$L1265</f>
        <v/>
      </c>
      <c r="N1265" s="23">
        <f>($G1265-$M1265)*100</f>
        <v/>
      </c>
      <c r="O1265" s="15">
        <f>($E1265-$C1265)*100</f>
        <v/>
      </c>
      <c r="P1265" s="15">
        <f>($G1265-$E1265)*100</f>
        <v/>
      </c>
      <c r="Q1265" s="15">
        <f>($G1265-$C1265)*100</f>
        <v/>
      </c>
      <c r="R1265" s="15">
        <f>IF($H1265="","",($H1265-$F1265)*100)</f>
        <v/>
      </c>
      <c r="S1265" s="15">
        <f>IF($H1265="","",($H1265-$G1265)*100)</f>
        <v/>
      </c>
    </row>
    <row r="1266">
      <c r="A1266" s="11" t="n">
        <v>45345</v>
      </c>
      <c r="B1266" s="22" t="n">
        <v>0.03</v>
      </c>
      <c r="C1266" s="22" t="n">
        <v>0.158</v>
      </c>
      <c r="D1266" s="22" t="n">
        <v>0.366</v>
      </c>
      <c r="E1266" s="22" t="n">
        <v>0.727</v>
      </c>
      <c r="F1266" s="22" t="n">
        <v>1.443</v>
      </c>
      <c r="G1266" s="22" t="n">
        <v>1.699</v>
      </c>
      <c r="H1266" s="22" t="n">
        <v>1.817</v>
      </c>
      <c r="I1266" s="22" t="n">
        <v>4.37</v>
      </c>
      <c r="J1266" s="22" t="n">
        <v>5</v>
      </c>
      <c r="K1266" s="22" t="n">
        <v>4.26</v>
      </c>
      <c r="L1266" s="17">
        <f>$J1266-$B1266</f>
        <v/>
      </c>
      <c r="M1266" s="17">
        <f>$I1266-$L1266</f>
        <v/>
      </c>
      <c r="N1266" s="23">
        <f>($G1266-$M1266)*100</f>
        <v/>
      </c>
      <c r="O1266" s="15">
        <f>($E1266-$C1266)*100</f>
        <v/>
      </c>
      <c r="P1266" s="15">
        <f>($G1266-$E1266)*100</f>
        <v/>
      </c>
      <c r="Q1266" s="15">
        <f>($G1266-$C1266)*100</f>
        <v/>
      </c>
      <c r="R1266" s="15">
        <f>IF($H1266="","",($H1266-$F1266)*100)</f>
        <v/>
      </c>
      <c r="S1266" s="15">
        <f>IF($H1266="","",($H1266-$G1266)*100)</f>
        <v/>
      </c>
    </row>
    <row r="1267">
      <c r="A1267" s="11" t="n">
        <v>45352</v>
      </c>
      <c r="B1267" s="22" t="n">
        <v>0.035</v>
      </c>
      <c r="C1267" s="22" t="n">
        <v>0.18</v>
      </c>
      <c r="D1267" s="22" t="n">
        <v>0.377</v>
      </c>
      <c r="E1267" s="22" t="n">
        <v>0.728</v>
      </c>
      <c r="F1267" s="22" t="n">
        <v>1.444</v>
      </c>
      <c r="G1267" s="22" t="n">
        <v>1.722</v>
      </c>
      <c r="H1267" s="22" t="n">
        <v>1.845</v>
      </c>
      <c r="I1267" s="22" t="n">
        <v>4.33</v>
      </c>
      <c r="J1267" s="22" t="n">
        <v>4.94</v>
      </c>
      <c r="K1267" s="22" t="n">
        <v>4.19</v>
      </c>
      <c r="L1267" s="17">
        <f>$J1267-$B1267</f>
        <v/>
      </c>
      <c r="M1267" s="17">
        <f>$I1267-$L1267</f>
        <v/>
      </c>
      <c r="N1267" s="23">
        <f>($G1267-$M1267)*100</f>
        <v/>
      </c>
      <c r="O1267" s="15">
        <f>($E1267-$C1267)*100</f>
        <v/>
      </c>
      <c r="P1267" s="15">
        <f>($G1267-$E1267)*100</f>
        <v/>
      </c>
      <c r="Q1267" s="15">
        <f>($G1267-$C1267)*100</f>
        <v/>
      </c>
      <c r="R1267" s="15">
        <f>IF($H1267="","",($H1267-$F1267)*100)</f>
        <v/>
      </c>
      <c r="S1267" s="15">
        <f>IF($H1267="","",($H1267-$G1267)*100)</f>
        <v/>
      </c>
    </row>
    <row r="1268">
      <c r="A1268" s="11" t="n">
        <v>45359</v>
      </c>
      <c r="B1268" s="22" t="n">
        <v>0.037</v>
      </c>
      <c r="C1268" s="22" t="n">
        <v>0.202</v>
      </c>
      <c r="D1268" s="22" t="n">
        <v>0.388</v>
      </c>
      <c r="E1268" s="22" t="n">
        <v>0.746</v>
      </c>
      <c r="F1268" s="22" t="n">
        <v>1.483</v>
      </c>
      <c r="G1268" s="22" t="n">
        <v>1.759</v>
      </c>
      <c r="H1268" s="22" t="n">
        <v>1.9</v>
      </c>
      <c r="I1268" s="22" t="n">
        <v>4.26</v>
      </c>
      <c r="J1268" s="22" t="n">
        <v>4.92</v>
      </c>
      <c r="K1268" s="22" t="n">
        <v>4.09</v>
      </c>
      <c r="L1268" s="17">
        <f>$J1268-$B1268</f>
        <v/>
      </c>
      <c r="M1268" s="17">
        <f>$I1268-$L1268</f>
        <v/>
      </c>
      <c r="N1268" s="23">
        <f>($G1268-$M1268)*100</f>
        <v/>
      </c>
      <c r="O1268" s="15">
        <f>($E1268-$C1268)*100</f>
        <v/>
      </c>
      <c r="P1268" s="15">
        <f>($G1268-$E1268)*100</f>
        <v/>
      </c>
      <c r="Q1268" s="15">
        <f>($G1268-$C1268)*100</f>
        <v/>
      </c>
      <c r="R1268" s="15">
        <f>IF($H1268="","",($H1268-$F1268)*100)</f>
        <v/>
      </c>
      <c r="S1268" s="15">
        <f>IF($H1268="","",($H1268-$G1268)*100)</f>
        <v/>
      </c>
    </row>
    <row r="1269">
      <c r="A1269" s="11" t="n">
        <v>45366</v>
      </c>
      <c r="B1269" s="22" t="n">
        <v>0.059</v>
      </c>
      <c r="C1269" s="22" t="n">
        <v>0.193</v>
      </c>
      <c r="D1269" s="22" t="n">
        <v>0.393</v>
      </c>
      <c r="E1269" s="22" t="n">
        <v>0.802</v>
      </c>
      <c r="F1269" s="22" t="n">
        <v>1.542</v>
      </c>
      <c r="G1269" s="22" t="n">
        <v>1.812</v>
      </c>
      <c r="H1269" s="22" t="n">
        <v>1.956</v>
      </c>
      <c r="I1269" s="22" t="n">
        <v>4.43</v>
      </c>
      <c r="J1269" s="22" t="n">
        <v>5.05</v>
      </c>
      <c r="K1269" s="22" t="n">
        <v>4.31</v>
      </c>
      <c r="L1269" s="17">
        <f>$J1269-$B1269</f>
        <v/>
      </c>
      <c r="M1269" s="17">
        <f>$I1269-$L1269</f>
        <v/>
      </c>
      <c r="N1269" s="23">
        <f>($G1269-$M1269)*100</f>
        <v/>
      </c>
      <c r="O1269" s="15">
        <f>($E1269-$C1269)*100</f>
        <v/>
      </c>
      <c r="P1269" s="15">
        <f>($G1269-$E1269)*100</f>
        <v/>
      </c>
      <c r="Q1269" s="15">
        <f>($G1269-$C1269)*100</f>
        <v/>
      </c>
      <c r="R1269" s="15">
        <f>IF($H1269="","",($H1269-$F1269)*100)</f>
        <v/>
      </c>
      <c r="S1269" s="15">
        <f>IF($H1269="","",($H1269-$G1269)*100)</f>
        <v/>
      </c>
    </row>
    <row r="1270">
      <c r="A1270" s="11" t="n">
        <v>45373</v>
      </c>
      <c r="B1270" s="22" t="n">
        <v>0.07099999999999999</v>
      </c>
      <c r="C1270" s="22" t="n">
        <v>0.206</v>
      </c>
      <c r="D1270" s="22" t="n">
        <v>0.41</v>
      </c>
      <c r="E1270" s="22" t="n">
        <v>0.762</v>
      </c>
      <c r="F1270" s="22" t="n">
        <v>1.492</v>
      </c>
      <c r="G1270" s="22" t="n">
        <v>1.786</v>
      </c>
      <c r="H1270" s="22" t="n">
        <v>1.932</v>
      </c>
      <c r="I1270" s="22" t="n">
        <v>4.39</v>
      </c>
      <c r="J1270" s="22" t="n">
        <v>4.98</v>
      </c>
      <c r="K1270" s="22" t="n">
        <v>4.22</v>
      </c>
      <c r="L1270" s="17">
        <f>$J1270-$B1270</f>
        <v/>
      </c>
      <c r="M1270" s="17">
        <f>$I1270-$L1270</f>
        <v/>
      </c>
      <c r="N1270" s="23">
        <f>($G1270-$M1270)*100</f>
        <v/>
      </c>
      <c r="O1270" s="15">
        <f>($E1270-$C1270)*100</f>
        <v/>
      </c>
      <c r="P1270" s="15">
        <f>($G1270-$E1270)*100</f>
        <v/>
      </c>
      <c r="Q1270" s="15">
        <f>($G1270-$C1270)*100</f>
        <v/>
      </c>
      <c r="R1270" s="15">
        <f>IF($H1270="","",($H1270-$F1270)*100)</f>
        <v/>
      </c>
      <c r="S1270" s="15">
        <f>IF($H1270="","",($H1270-$G1270)*100)</f>
        <v/>
      </c>
    </row>
    <row r="1271">
      <c r="A1271" s="11" t="n">
        <v>45380</v>
      </c>
      <c r="B1271" s="22" t="n">
        <v>0.054</v>
      </c>
      <c r="C1271" s="22" t="n">
        <v>0.189</v>
      </c>
      <c r="D1271" s="22" t="n">
        <v>0.372</v>
      </c>
      <c r="E1271" s="22" t="n">
        <v>0.75</v>
      </c>
      <c r="F1271" s="22" t="n">
        <v>1.484</v>
      </c>
      <c r="G1271" s="22" t="n">
        <v>1.789</v>
      </c>
      <c r="H1271" s="22" t="n">
        <v>1.939</v>
      </c>
      <c r="I1271" s="22" t="n">
        <v>4.34</v>
      </c>
      <c r="J1271" s="22" t="n">
        <v>5.03</v>
      </c>
      <c r="K1271" s="22" t="n">
        <v>4.2</v>
      </c>
      <c r="L1271" s="17">
        <f>$J1271-$B1271</f>
        <v/>
      </c>
      <c r="M1271" s="17">
        <f>$I1271-$L1271</f>
        <v/>
      </c>
      <c r="N1271" s="23">
        <f>($G1271-$M1271)*100</f>
        <v/>
      </c>
      <c r="O1271" s="15">
        <f>($E1271-$C1271)*100</f>
        <v/>
      </c>
      <c r="P1271" s="15">
        <f>($G1271-$E1271)*100</f>
        <v/>
      </c>
      <c r="Q1271" s="15">
        <f>($G1271-$C1271)*100</f>
        <v/>
      </c>
      <c r="R1271" s="15">
        <f>IF($H1271="","",($H1271-$F1271)*100)</f>
        <v/>
      </c>
      <c r="S1271" s="15">
        <f>IF($H1271="","",($H1271-$G1271)*100)</f>
        <v/>
      </c>
    </row>
    <row r="1272">
      <c r="A1272" s="11" t="n">
        <v>45387</v>
      </c>
      <c r="B1272" s="22" t="n">
        <v>0.036</v>
      </c>
      <c r="C1272" s="22" t="n">
        <v>0.211</v>
      </c>
      <c r="D1272" s="22" t="n">
        <v>0.404</v>
      </c>
      <c r="E1272" s="22" t="n">
        <v>0.771</v>
      </c>
      <c r="F1272" s="22" t="n">
        <v>1.52</v>
      </c>
      <c r="G1272" s="22" t="n">
        <v>1.806</v>
      </c>
      <c r="H1272" s="22" t="n">
        <v>1.967</v>
      </c>
      <c r="I1272" s="22" t="n">
        <v>4.54</v>
      </c>
      <c r="J1272" s="22" t="n">
        <v>5.05</v>
      </c>
      <c r="K1272" s="22" t="n">
        <v>4.39</v>
      </c>
      <c r="L1272" s="17">
        <f>$J1272-$B1272</f>
        <v/>
      </c>
      <c r="M1272" s="17">
        <f>$I1272-$L1272</f>
        <v/>
      </c>
      <c r="N1272" s="23">
        <f>($G1272-$M1272)*100</f>
        <v/>
      </c>
      <c r="O1272" s="15">
        <f>($E1272-$C1272)*100</f>
        <v/>
      </c>
      <c r="P1272" s="15">
        <f>($G1272-$E1272)*100</f>
        <v/>
      </c>
      <c r="Q1272" s="15">
        <f>($G1272-$C1272)*100</f>
        <v/>
      </c>
      <c r="R1272" s="15">
        <f>IF($H1272="","",($H1272-$F1272)*100)</f>
        <v/>
      </c>
      <c r="S1272" s="15">
        <f>IF($H1272="","",($H1272-$G1272)*100)</f>
        <v/>
      </c>
    </row>
    <row r="1273">
      <c r="A1273" s="11" t="n">
        <v>45394</v>
      </c>
      <c r="B1273" s="22" t="n">
        <v>0.079</v>
      </c>
      <c r="C1273" s="22" t="n">
        <v>0.281</v>
      </c>
      <c r="D1273" s="22" t="n">
        <v>0.496</v>
      </c>
      <c r="E1273" s="22" t="n">
        <v>0.864</v>
      </c>
      <c r="F1273" s="22" t="n">
        <v>1.635</v>
      </c>
      <c r="G1273" s="22" t="n">
        <v>1.894</v>
      </c>
      <c r="H1273" s="22" t="n">
        <v>2.056</v>
      </c>
      <c r="I1273" s="22" t="n">
        <v>4.61</v>
      </c>
      <c r="J1273" s="22" t="n">
        <v>5.13</v>
      </c>
      <c r="K1273" s="22" t="n">
        <v>4.5</v>
      </c>
      <c r="L1273" s="17">
        <f>$J1273-$B1273</f>
        <v/>
      </c>
      <c r="M1273" s="17">
        <f>$I1273-$L1273</f>
        <v/>
      </c>
      <c r="N1273" s="23">
        <f>($G1273-$M1273)*100</f>
        <v/>
      </c>
      <c r="O1273" s="15">
        <f>($E1273-$C1273)*100</f>
        <v/>
      </c>
      <c r="P1273" s="15">
        <f>($G1273-$E1273)*100</f>
        <v/>
      </c>
      <c r="Q1273" s="15">
        <f>($G1273-$C1273)*100</f>
        <v/>
      </c>
      <c r="R1273" s="15">
        <f>IF($H1273="","",($H1273-$F1273)*100)</f>
        <v/>
      </c>
      <c r="S1273" s="15">
        <f>IF($H1273="","",($H1273-$G1273)*100)</f>
        <v/>
      </c>
    </row>
    <row r="1274">
      <c r="A1274" s="11" t="n">
        <v>45401</v>
      </c>
      <c r="B1274" s="22" t="n">
        <v>0.091</v>
      </c>
      <c r="C1274" s="22" t="n">
        <v>0.263</v>
      </c>
      <c r="D1274" s="22" t="n">
        <v>0.457</v>
      </c>
      <c r="E1274" s="22" t="n">
        <v>0.837</v>
      </c>
      <c r="F1274" s="22" t="n">
        <v>1.595</v>
      </c>
      <c r="G1274" s="22" t="n">
        <v>1.869</v>
      </c>
      <c r="H1274" s="22" t="n">
        <v>2.027</v>
      </c>
      <c r="I1274" s="22" t="n">
        <v>4.72</v>
      </c>
      <c r="J1274" s="22" t="n">
        <v>5.17</v>
      </c>
      <c r="K1274" s="22" t="n">
        <v>4.62</v>
      </c>
      <c r="L1274" s="17">
        <f>$J1274-$B1274</f>
        <v/>
      </c>
      <c r="M1274" s="17">
        <f>$I1274-$L1274</f>
        <v/>
      </c>
      <c r="N1274" s="23">
        <f>($G1274-$M1274)*100</f>
        <v/>
      </c>
      <c r="O1274" s="15">
        <f>($E1274-$C1274)*100</f>
        <v/>
      </c>
      <c r="P1274" s="15">
        <f>($G1274-$E1274)*100</f>
        <v/>
      </c>
      <c r="Q1274" s="15">
        <f>($G1274-$C1274)*100</f>
        <v/>
      </c>
      <c r="R1274" s="15">
        <f>IF($H1274="","",($H1274-$F1274)*100)</f>
        <v/>
      </c>
      <c r="S1274" s="15">
        <f>IF($H1274="","",($H1274-$G1274)*100)</f>
        <v/>
      </c>
    </row>
    <row r="1275">
      <c r="A1275" s="11" t="n">
        <v>45408</v>
      </c>
      <c r="B1275" s="22" t="n">
        <v>0.101</v>
      </c>
      <c r="C1275" s="22" t="n">
        <v>0.298</v>
      </c>
      <c r="D1275" s="22" t="n">
        <v>0.514</v>
      </c>
      <c r="E1275" s="22" t="n">
        <v>0.925</v>
      </c>
      <c r="F1275" s="22" t="n">
        <v>1.681</v>
      </c>
      <c r="G1275" s="22" t="n">
        <v>1.936</v>
      </c>
      <c r="H1275" s="22" t="n">
        <v>2.103</v>
      </c>
      <c r="I1275" s="22" t="n">
        <v>4.78</v>
      </c>
      <c r="J1275" s="22" t="n">
        <v>5.21</v>
      </c>
      <c r="K1275" s="22" t="n">
        <v>4.67</v>
      </c>
      <c r="L1275" s="17">
        <f>$J1275-$B1275</f>
        <v/>
      </c>
      <c r="M1275" s="17">
        <f>$I1275-$L1275</f>
        <v/>
      </c>
      <c r="N1275" s="23">
        <f>($G1275-$M1275)*100</f>
        <v/>
      </c>
      <c r="O1275" s="15">
        <f>($E1275-$C1275)*100</f>
        <v/>
      </c>
      <c r="P1275" s="15">
        <f>($G1275-$E1275)*100</f>
        <v/>
      </c>
      <c r="Q1275" s="15">
        <f>($G1275-$C1275)*100</f>
        <v/>
      </c>
      <c r="R1275" s="15">
        <f>IF($H1275="","",($H1275-$F1275)*100)</f>
        <v/>
      </c>
      <c r="S1275" s="15">
        <f>IF($H1275="","",($H1275-$G1275)*100)</f>
        <v/>
      </c>
    </row>
    <row r="1276">
      <c r="A1276" s="11" t="n">
        <v>45415</v>
      </c>
      <c r="B1276" s="22" t="n">
        <v>0.095</v>
      </c>
      <c r="C1276" s="22" t="n">
        <v>0.29</v>
      </c>
      <c r="D1276" s="22" t="n">
        <v>0.494</v>
      </c>
      <c r="E1276" s="22" t="n">
        <v>0.908</v>
      </c>
      <c r="F1276" s="22" t="n">
        <v>1.682</v>
      </c>
      <c r="G1276" s="22" t="n">
        <v>1.952</v>
      </c>
      <c r="H1276" s="22" t="n">
        <v>2.12</v>
      </c>
      <c r="I1276" s="22" t="n">
        <v>4.66</v>
      </c>
      <c r="J1276" s="22" t="n">
        <v>5.12</v>
      </c>
      <c r="K1276" s="22" t="n">
        <v>4.5</v>
      </c>
      <c r="L1276" s="17">
        <f>$J1276-$B1276</f>
        <v/>
      </c>
      <c r="M1276" s="17">
        <f>$I1276-$L1276</f>
        <v/>
      </c>
      <c r="N1276" s="23">
        <f>($G1276-$M1276)*100</f>
        <v/>
      </c>
      <c r="O1276" s="15">
        <f>($E1276-$C1276)*100</f>
        <v/>
      </c>
      <c r="P1276" s="15">
        <f>($G1276-$E1276)*100</f>
        <v/>
      </c>
      <c r="Q1276" s="15">
        <f>($G1276-$C1276)*100</f>
        <v/>
      </c>
      <c r="R1276" s="15">
        <f>IF($H1276="","",($H1276-$F1276)*100)</f>
        <v/>
      </c>
      <c r="S1276" s="15">
        <f>IF($H1276="","",($H1276-$G1276)*100)</f>
        <v/>
      </c>
    </row>
    <row r="1277">
      <c r="A1277" s="11" t="n">
        <v>45422</v>
      </c>
      <c r="B1277" s="22" t="n">
        <v>0.128</v>
      </c>
      <c r="C1277" s="22" t="n">
        <v>0.319</v>
      </c>
      <c r="D1277" s="22" t="n">
        <v>0.526</v>
      </c>
      <c r="E1277" s="22" t="n">
        <v>0.917</v>
      </c>
      <c r="F1277" s="22" t="n">
        <v>1.691</v>
      </c>
      <c r="G1277" s="22" t="n">
        <v>1.965</v>
      </c>
      <c r="H1277" s="22" t="n">
        <v>2.144</v>
      </c>
      <c r="I1277" s="22" t="n">
        <v>4.64</v>
      </c>
      <c r="J1277" s="22" t="n">
        <v>5.17</v>
      </c>
      <c r="K1277" s="22" t="n">
        <v>4.5</v>
      </c>
      <c r="L1277" s="17">
        <f>$J1277-$B1277</f>
        <v/>
      </c>
      <c r="M1277" s="17">
        <f>$I1277-$L1277</f>
        <v/>
      </c>
      <c r="N1277" s="23">
        <f>($G1277-$M1277)*100</f>
        <v/>
      </c>
      <c r="O1277" s="15">
        <f>($E1277-$C1277)*100</f>
        <v/>
      </c>
      <c r="P1277" s="15">
        <f>($G1277-$E1277)*100</f>
        <v/>
      </c>
      <c r="Q1277" s="15">
        <f>($G1277-$C1277)*100</f>
        <v/>
      </c>
      <c r="R1277" s="15">
        <f>IF($H1277="","",($H1277-$F1277)*100)</f>
        <v/>
      </c>
      <c r="S1277" s="15">
        <f>IF($H1277="","",($H1277-$G1277)*100)</f>
        <v/>
      </c>
    </row>
    <row r="1278">
      <c r="A1278" s="11" t="n">
        <v>45429</v>
      </c>
      <c r="B1278" s="22" t="n">
        <v>0.166</v>
      </c>
      <c r="C1278" s="22" t="n">
        <v>0.337</v>
      </c>
      <c r="D1278" s="22" t="n">
        <v>0.555</v>
      </c>
      <c r="E1278" s="22" t="n">
        <v>0.957</v>
      </c>
      <c r="F1278" s="22" t="n">
        <v>1.744</v>
      </c>
      <c r="G1278" s="22" t="n">
        <v>2.011</v>
      </c>
      <c r="H1278" s="22" t="n">
        <v>2.215</v>
      </c>
      <c r="I1278" s="22" t="n">
        <v>4.56</v>
      </c>
      <c r="J1278" s="22" t="n">
        <v>5.14</v>
      </c>
      <c r="K1278" s="22" t="n">
        <v>4.42</v>
      </c>
      <c r="L1278" s="17">
        <f>$J1278-$B1278</f>
        <v/>
      </c>
      <c r="M1278" s="17">
        <f>$I1278-$L1278</f>
        <v/>
      </c>
      <c r="N1278" s="23">
        <f>($G1278-$M1278)*100</f>
        <v/>
      </c>
      <c r="O1278" s="15">
        <f>($E1278-$C1278)*100</f>
        <v/>
      </c>
      <c r="P1278" s="15">
        <f>($G1278-$E1278)*100</f>
        <v/>
      </c>
      <c r="Q1278" s="15">
        <f>($G1278-$C1278)*100</f>
        <v/>
      </c>
      <c r="R1278" s="15">
        <f>IF($H1278="","",($H1278-$F1278)*100)</f>
        <v/>
      </c>
      <c r="S1278" s="15">
        <f>IF($H1278="","",($H1278-$G1278)*100)</f>
        <v/>
      </c>
    </row>
    <row r="1279">
      <c r="A1279" s="11" t="n">
        <v>45436</v>
      </c>
      <c r="B1279" s="22" t="n">
        <v>0.17</v>
      </c>
      <c r="C1279" s="22" t="n">
        <v>0.345</v>
      </c>
      <c r="D1279" s="22" t="n">
        <v>0.596</v>
      </c>
      <c r="E1279" s="22" t="n">
        <v>1.016</v>
      </c>
      <c r="F1279" s="22" t="n">
        <v>1.835</v>
      </c>
      <c r="G1279" s="22" t="n">
        <v>2.104</v>
      </c>
      <c r="H1279" s="22" t="n">
        <v>2.302</v>
      </c>
      <c r="I1279" s="22" t="n">
        <v>4.57</v>
      </c>
      <c r="J1279" s="22" t="n">
        <v>5.21</v>
      </c>
      <c r="K1279" s="22" t="n">
        <v>4.46</v>
      </c>
      <c r="L1279" s="17">
        <f>$J1279-$B1279</f>
        <v/>
      </c>
      <c r="M1279" s="17">
        <f>$I1279-$L1279</f>
        <v/>
      </c>
      <c r="N1279" s="23">
        <f>($G1279-$M1279)*100</f>
        <v/>
      </c>
      <c r="O1279" s="15">
        <f>($E1279-$C1279)*100</f>
        <v/>
      </c>
      <c r="P1279" s="15">
        <f>($G1279-$E1279)*100</f>
        <v/>
      </c>
      <c r="Q1279" s="15">
        <f>($G1279-$C1279)*100</f>
        <v/>
      </c>
      <c r="R1279" s="15">
        <f>IF($H1279="","",($H1279-$F1279)*100)</f>
        <v/>
      </c>
      <c r="S1279" s="15">
        <f>IF($H1279="","",($H1279-$G1279)*100)</f>
        <v/>
      </c>
    </row>
    <row r="1280">
      <c r="A1280" s="11" t="n">
        <v>45443</v>
      </c>
      <c r="B1280" s="22" t="n">
        <v>0.234</v>
      </c>
      <c r="C1280" s="22" t="n">
        <v>0.399</v>
      </c>
      <c r="D1280" s="22" t="n">
        <v>0.647</v>
      </c>
      <c r="E1280" s="22" t="n">
        <v>1.08</v>
      </c>
      <c r="F1280" s="22" t="n">
        <v>1.85</v>
      </c>
      <c r="G1280" s="22" t="n">
        <v>2.155</v>
      </c>
      <c r="H1280" s="22" t="n">
        <v>2.346</v>
      </c>
      <c r="I1280" s="22" t="n">
        <v>4.65</v>
      </c>
      <c r="J1280" s="22" t="n">
        <v>5.18</v>
      </c>
      <c r="K1280" s="22" t="n">
        <v>4.51</v>
      </c>
      <c r="L1280" s="17">
        <f>$J1280-$B1280</f>
        <v/>
      </c>
      <c r="M1280" s="17">
        <f>$I1280-$L1280</f>
        <v/>
      </c>
      <c r="N1280" s="23">
        <f>($G1280-$M1280)*100</f>
        <v/>
      </c>
      <c r="O1280" s="15">
        <f>($E1280-$C1280)*100</f>
        <v/>
      </c>
      <c r="P1280" s="15">
        <f>($G1280-$E1280)*100</f>
        <v/>
      </c>
      <c r="Q1280" s="15">
        <f>($G1280-$C1280)*100</f>
        <v/>
      </c>
      <c r="R1280" s="15">
        <f>IF($H1280="","",($H1280-$F1280)*100)</f>
        <v/>
      </c>
      <c r="S1280" s="15">
        <f>IF($H1280="","",($H1280-$G1280)*100)</f>
        <v/>
      </c>
    </row>
    <row r="1281">
      <c r="A1281" s="11" t="n">
        <v>45450</v>
      </c>
      <c r="B1281" s="22" t="n">
        <v>0.181</v>
      </c>
      <c r="C1281" s="22" t="n">
        <v>0.351</v>
      </c>
      <c r="D1281" s="22" t="n">
        <v>0.5590000000000001</v>
      </c>
      <c r="E1281" s="22" t="n">
        <v>0.986</v>
      </c>
      <c r="F1281" s="22" t="n">
        <v>1.761</v>
      </c>
      <c r="G1281" s="22" t="n">
        <v>2.043</v>
      </c>
      <c r="H1281" s="22" t="n">
        <v>2.237</v>
      </c>
      <c r="I1281" s="22" t="n">
        <v>4.55</v>
      </c>
      <c r="J1281" s="22" t="n">
        <v>5.17</v>
      </c>
      <c r="K1281" s="22" t="n">
        <v>4.43</v>
      </c>
      <c r="L1281" s="17">
        <f>$J1281-$B1281</f>
        <v/>
      </c>
      <c r="M1281" s="17">
        <f>$I1281-$L1281</f>
        <v/>
      </c>
      <c r="N1281" s="23">
        <f>($G1281-$M1281)*100</f>
        <v/>
      </c>
      <c r="O1281" s="15">
        <f>($E1281-$C1281)*100</f>
        <v/>
      </c>
      <c r="P1281" s="15">
        <f>($G1281-$E1281)*100</f>
        <v/>
      </c>
      <c r="Q1281" s="15">
        <f>($G1281-$C1281)*100</f>
        <v/>
      </c>
      <c r="R1281" s="15">
        <f>IF($H1281="","",($H1281-$F1281)*100)</f>
        <v/>
      </c>
      <c r="S1281" s="15">
        <f>IF($H1281="","",($H1281-$G1281)*100)</f>
        <v/>
      </c>
    </row>
    <row r="1282">
      <c r="A1282" s="11" t="n">
        <v>45457</v>
      </c>
      <c r="B1282" s="22" t="n">
        <v>0.154</v>
      </c>
      <c r="C1282" s="22" t="n">
        <v>0.302</v>
      </c>
      <c r="D1282" s="22" t="n">
        <v>0.527</v>
      </c>
      <c r="E1282" s="22" t="n">
        <v>0.95</v>
      </c>
      <c r="F1282" s="22" t="n">
        <v>1.732</v>
      </c>
      <c r="G1282" s="22" t="n">
        <v>2.044</v>
      </c>
      <c r="H1282" s="22" t="n">
        <v>2.227</v>
      </c>
      <c r="I1282" s="22" t="n">
        <v>4.34</v>
      </c>
      <c r="J1282" s="22" t="n">
        <v>5.07</v>
      </c>
      <c r="K1282" s="22" t="n">
        <v>4.2</v>
      </c>
      <c r="L1282" s="17">
        <f>$J1282-$B1282</f>
        <v/>
      </c>
      <c r="M1282" s="17">
        <f>$I1282-$L1282</f>
        <v/>
      </c>
      <c r="N1282" s="23">
        <f>($G1282-$M1282)*100</f>
        <v/>
      </c>
      <c r="O1282" s="15">
        <f>($E1282-$C1282)*100</f>
        <v/>
      </c>
      <c r="P1282" s="15">
        <f>($G1282-$E1282)*100</f>
        <v/>
      </c>
      <c r="Q1282" s="15">
        <f>($G1282-$C1282)*100</f>
        <v/>
      </c>
      <c r="R1282" s="15">
        <f>IF($H1282="","",($H1282-$F1282)*100)</f>
        <v/>
      </c>
      <c r="S1282" s="15">
        <f>IF($H1282="","",($H1282-$G1282)*100)</f>
        <v/>
      </c>
    </row>
    <row r="1283">
      <c r="A1283" s="11" t="n">
        <v>45464</v>
      </c>
      <c r="B1283" s="22" t="n">
        <v>0.148</v>
      </c>
      <c r="C1283" s="22" t="n">
        <v>0.313</v>
      </c>
      <c r="D1283" s="22" t="n">
        <v>0.5570000000000001</v>
      </c>
      <c r="E1283" s="22" t="n">
        <v>0.999</v>
      </c>
      <c r="F1283" s="22" t="n">
        <v>1.792</v>
      </c>
      <c r="G1283" s="22" t="n">
        <v>2.086</v>
      </c>
      <c r="H1283" s="22" t="n">
        <v>2.275</v>
      </c>
      <c r="I1283" s="22" t="n">
        <v>4.39</v>
      </c>
      <c r="J1283" s="22" t="n">
        <v>5.1</v>
      </c>
      <c r="K1283" s="22" t="n">
        <v>4.25</v>
      </c>
      <c r="L1283" s="17">
        <f>$J1283-$B1283</f>
        <v/>
      </c>
      <c r="M1283" s="17">
        <f>$I1283-$L1283</f>
        <v/>
      </c>
      <c r="N1283" s="23">
        <f>($G1283-$M1283)*100</f>
        <v/>
      </c>
      <c r="O1283" s="15">
        <f>($E1283-$C1283)*100</f>
        <v/>
      </c>
      <c r="P1283" s="15">
        <f>($G1283-$E1283)*100</f>
        <v/>
      </c>
      <c r="Q1283" s="15">
        <f>($G1283-$C1283)*100</f>
        <v/>
      </c>
      <c r="R1283" s="15">
        <f>IF($H1283="","",($H1283-$F1283)*100)</f>
        <v/>
      </c>
      <c r="S1283" s="15">
        <f>IF($H1283="","",($H1283-$G1283)*100)</f>
        <v/>
      </c>
    </row>
    <row r="1284">
      <c r="A1284" s="11" t="n">
        <v>45471</v>
      </c>
      <c r="B1284" s="22" t="n">
        <v>0.172</v>
      </c>
      <c r="C1284" s="22" t="n">
        <v>0.353</v>
      </c>
      <c r="D1284" s="22" t="n">
        <v>0.602</v>
      </c>
      <c r="E1284" s="22" t="n">
        <v>1.062</v>
      </c>
      <c r="F1284" s="22" t="n">
        <v>1.848</v>
      </c>
      <c r="G1284" s="22" t="n">
        <v>2.153</v>
      </c>
      <c r="H1284" s="22" t="n">
        <v>2.349</v>
      </c>
      <c r="I1284" s="22" t="n">
        <v>4.51</v>
      </c>
      <c r="J1284" s="22" t="n">
        <v>5.09</v>
      </c>
      <c r="K1284" s="22" t="n">
        <v>4.36</v>
      </c>
      <c r="L1284" s="17">
        <f>$J1284-$B1284</f>
        <v/>
      </c>
      <c r="M1284" s="17">
        <f>$I1284-$L1284</f>
        <v/>
      </c>
      <c r="N1284" s="23">
        <f>($G1284-$M1284)*100</f>
        <v/>
      </c>
      <c r="O1284" s="15">
        <f>($E1284-$C1284)*100</f>
        <v/>
      </c>
      <c r="P1284" s="15">
        <f>($G1284-$E1284)*100</f>
        <v/>
      </c>
      <c r="Q1284" s="15">
        <f>($G1284-$C1284)*100</f>
        <v/>
      </c>
      <c r="R1284" s="15">
        <f>IF($H1284="","",($H1284-$F1284)*100)</f>
        <v/>
      </c>
      <c r="S1284" s="15">
        <f>IF($H1284="","",($H1284-$G1284)*100)</f>
        <v/>
      </c>
    </row>
    <row r="1285">
      <c r="A1285" s="11" t="n">
        <v>45478</v>
      </c>
      <c r="B1285" s="22" t="n">
        <v>0.148</v>
      </c>
      <c r="C1285" s="22" t="n">
        <v>0.346</v>
      </c>
      <c r="D1285" s="22" t="n">
        <v>0.598</v>
      </c>
      <c r="E1285" s="22" t="n">
        <v>1.072</v>
      </c>
      <c r="F1285" s="22" t="n">
        <v>1.902</v>
      </c>
      <c r="G1285" s="22" t="n">
        <v>2.2</v>
      </c>
      <c r="H1285" s="22" t="n">
        <v>2.379</v>
      </c>
      <c r="I1285" s="22" t="n">
        <v>4.47</v>
      </c>
      <c r="J1285" s="22" t="n">
        <v>4.98</v>
      </c>
      <c r="K1285" s="22" t="n">
        <v>4.28</v>
      </c>
      <c r="L1285" s="17">
        <f>$J1285-$B1285</f>
        <v/>
      </c>
      <c r="M1285" s="17">
        <f>$I1285-$L1285</f>
        <v/>
      </c>
      <c r="N1285" s="23">
        <f>($G1285-$M1285)*100</f>
        <v/>
      </c>
      <c r="O1285" s="15">
        <f>($E1285-$C1285)*100</f>
        <v/>
      </c>
      <c r="P1285" s="15">
        <f>($G1285-$E1285)*100</f>
        <v/>
      </c>
      <c r="Q1285" s="15">
        <f>($G1285-$C1285)*100</f>
        <v/>
      </c>
      <c r="R1285" s="15">
        <f>IF($H1285="","",($H1285-$F1285)*100)</f>
        <v/>
      </c>
      <c r="S1285" s="15">
        <f>IF($H1285="","",($H1285-$G1285)*100)</f>
        <v/>
      </c>
    </row>
    <row r="1286">
      <c r="A1286" s="11" t="n">
        <v>45485</v>
      </c>
      <c r="B1286" s="22" t="n">
        <v>0.122</v>
      </c>
      <c r="C1286" s="22" t="n">
        <v>0.333</v>
      </c>
      <c r="D1286" s="22" t="n">
        <v>0.586</v>
      </c>
      <c r="E1286" s="22" t="n">
        <v>1.055</v>
      </c>
      <c r="F1286" s="22" t="n">
        <v>1.873</v>
      </c>
      <c r="G1286" s="22" t="n">
        <v>2.177</v>
      </c>
      <c r="H1286" s="22" t="n">
        <v>2.387</v>
      </c>
      <c r="I1286" s="22" t="n">
        <v>4.39</v>
      </c>
      <c r="J1286" s="22" t="n">
        <v>4.87</v>
      </c>
      <c r="K1286" s="22" t="n">
        <v>4.18</v>
      </c>
      <c r="L1286" s="17">
        <f>$J1286-$B1286</f>
        <v/>
      </c>
      <c r="M1286" s="17">
        <f>$I1286-$L1286</f>
        <v/>
      </c>
      <c r="N1286" s="23">
        <f>($G1286-$M1286)*100</f>
        <v/>
      </c>
      <c r="O1286" s="15">
        <f>($E1286-$C1286)*100</f>
        <v/>
      </c>
      <c r="P1286" s="15">
        <f>($G1286-$E1286)*100</f>
        <v/>
      </c>
      <c r="Q1286" s="15">
        <f>($G1286-$C1286)*100</f>
        <v/>
      </c>
      <c r="R1286" s="15">
        <f>IF($H1286="","",($H1286-$F1286)*100)</f>
        <v/>
      </c>
      <c r="S1286" s="15">
        <f>IF($H1286="","",($H1286-$G1286)*100)</f>
        <v/>
      </c>
    </row>
    <row r="1287">
      <c r="A1287" s="11" t="n">
        <v>45492</v>
      </c>
      <c r="B1287" s="22" t="n">
        <v>0.141</v>
      </c>
      <c r="C1287" s="22" t="n">
        <v>0.352</v>
      </c>
      <c r="D1287" s="22" t="n">
        <v>0.598</v>
      </c>
      <c r="E1287" s="22" t="n">
        <v>1.053</v>
      </c>
      <c r="F1287" s="22" t="n">
        <v>1.843</v>
      </c>
      <c r="G1287" s="22" t="n">
        <v>2.148</v>
      </c>
      <c r="H1287" s="22" t="n">
        <v>2.345</v>
      </c>
      <c r="I1287" s="22" t="n">
        <v>4.45</v>
      </c>
      <c r="J1287" s="22" t="n">
        <v>4.87</v>
      </c>
      <c r="K1287" s="22" t="n">
        <v>4.25</v>
      </c>
      <c r="L1287" s="17">
        <f>$J1287-$B1287</f>
        <v/>
      </c>
      <c r="M1287" s="17">
        <f>$I1287-$L1287</f>
        <v/>
      </c>
      <c r="N1287" s="23">
        <f>($G1287-$M1287)*100</f>
        <v/>
      </c>
      <c r="O1287" s="15">
        <f>($E1287-$C1287)*100</f>
        <v/>
      </c>
      <c r="P1287" s="15">
        <f>($G1287-$E1287)*100</f>
        <v/>
      </c>
      <c r="Q1287" s="15">
        <f>($G1287-$C1287)*100</f>
        <v/>
      </c>
      <c r="R1287" s="15">
        <f>IF($H1287="","",($H1287-$F1287)*100)</f>
        <v/>
      </c>
      <c r="S1287" s="15">
        <f>IF($H1287="","",($H1287-$G1287)*100)</f>
        <v/>
      </c>
    </row>
    <row r="1288">
      <c r="A1288" s="11" t="n">
        <v>45499</v>
      </c>
      <c r="B1288" s="22" t="n">
        <v>0.19</v>
      </c>
      <c r="C1288" s="22" t="n">
        <v>0.408</v>
      </c>
      <c r="D1288" s="22" t="n">
        <v>0.631</v>
      </c>
      <c r="E1288" s="22" t="n">
        <v>1.068</v>
      </c>
      <c r="F1288" s="22" t="n">
        <v>1.835</v>
      </c>
      <c r="G1288" s="22" t="n">
        <v>2.154</v>
      </c>
      <c r="H1288" s="22" t="n">
        <v>2.369</v>
      </c>
      <c r="I1288" s="22" t="n">
        <v>4.45</v>
      </c>
      <c r="J1288" s="22" t="n">
        <v>4.79</v>
      </c>
      <c r="K1288" s="22" t="n">
        <v>4.2</v>
      </c>
      <c r="L1288" s="17">
        <f>$J1288-$B1288</f>
        <v/>
      </c>
      <c r="M1288" s="17">
        <f>$I1288-$L1288</f>
        <v/>
      </c>
      <c r="N1288" s="23">
        <f>($G1288-$M1288)*100</f>
        <v/>
      </c>
      <c r="O1288" s="15">
        <f>($E1288-$C1288)*100</f>
        <v/>
      </c>
      <c r="P1288" s="15">
        <f>($G1288-$E1288)*100</f>
        <v/>
      </c>
      <c r="Q1288" s="15">
        <f>($G1288-$C1288)*100</f>
        <v/>
      </c>
      <c r="R1288" s="15">
        <f>IF($H1288="","",($H1288-$F1288)*100)</f>
        <v/>
      </c>
      <c r="S1288" s="15">
        <f>IF($H1288="","",($H1288-$G1288)*100)</f>
        <v/>
      </c>
    </row>
    <row r="1289">
      <c r="A1289" s="11" t="n">
        <v>45506</v>
      </c>
      <c r="B1289" s="22" t="n">
        <v>0.256</v>
      </c>
      <c r="C1289" s="22" t="n">
        <v>0.41</v>
      </c>
      <c r="D1289" s="22" t="n">
        <v>0.583</v>
      </c>
      <c r="E1289" s="22" t="n">
        <v>0.974</v>
      </c>
      <c r="F1289" s="22" t="n">
        <v>1.746</v>
      </c>
      <c r="G1289" s="22" t="n">
        <v>2.098</v>
      </c>
      <c r="H1289" s="22" t="n">
        <v>2.302</v>
      </c>
      <c r="I1289" s="22" t="n">
        <v>4.11</v>
      </c>
      <c r="J1289" s="22" t="n">
        <v>4.33</v>
      </c>
      <c r="K1289" s="22" t="n">
        <v>3.8</v>
      </c>
      <c r="L1289" s="17">
        <f>$J1289-$B1289</f>
        <v/>
      </c>
      <c r="M1289" s="17">
        <f>$I1289-$L1289</f>
        <v/>
      </c>
      <c r="N1289" s="23">
        <f>($G1289-$M1289)*100</f>
        <v/>
      </c>
      <c r="O1289" s="15">
        <f>($E1289-$C1289)*100</f>
        <v/>
      </c>
      <c r="P1289" s="15">
        <f>($G1289-$E1289)*100</f>
        <v/>
      </c>
      <c r="Q1289" s="15">
        <f>($G1289-$C1289)*100</f>
        <v/>
      </c>
      <c r="R1289" s="15">
        <f>IF($H1289="","",($H1289-$F1289)*100)</f>
        <v/>
      </c>
      <c r="S1289" s="15">
        <f>IF($H1289="","",($H1289-$G1289)*100)</f>
        <v/>
      </c>
    </row>
    <row r="1290">
      <c r="A1290" s="11" t="n">
        <v>45513</v>
      </c>
      <c r="B1290" s="22" t="n">
        <v>0.198</v>
      </c>
      <c r="C1290" s="22" t="n">
        <v>0.301</v>
      </c>
      <c r="D1290" s="22" t="n">
        <v>0.445</v>
      </c>
      <c r="E1290" s="22" t="n">
        <v>0.881</v>
      </c>
      <c r="F1290" s="22" t="n">
        <v>1.722</v>
      </c>
      <c r="G1290" s="22" t="n">
        <v>2.081</v>
      </c>
      <c r="H1290" s="22" t="n">
        <v>2.274</v>
      </c>
      <c r="I1290" s="22" t="n">
        <v>4.23</v>
      </c>
      <c r="J1290" s="22" t="n">
        <v>4.5</v>
      </c>
      <c r="K1290" s="22" t="n">
        <v>3.94</v>
      </c>
      <c r="L1290" s="17">
        <f>$J1290-$B1290</f>
        <v/>
      </c>
      <c r="M1290" s="17">
        <f>$I1290-$L1290</f>
        <v/>
      </c>
      <c r="N1290" s="23">
        <f>($G1290-$M1290)*100</f>
        <v/>
      </c>
      <c r="O1290" s="15">
        <f>($E1290-$C1290)*100</f>
        <v/>
      </c>
      <c r="P1290" s="15">
        <f>($G1290-$E1290)*100</f>
        <v/>
      </c>
      <c r="Q1290" s="15">
        <f>($G1290-$C1290)*100</f>
        <v/>
      </c>
      <c r="R1290" s="15">
        <f>IF($H1290="","",($H1290-$F1290)*100)</f>
        <v/>
      </c>
      <c r="S1290" s="15">
        <f>IF($H1290="","",($H1290-$G1290)*100)</f>
        <v/>
      </c>
    </row>
    <row r="1291">
      <c r="A1291" s="11" t="n">
        <v>45520</v>
      </c>
      <c r="B1291" s="22" t="n">
        <v>0.245</v>
      </c>
      <c r="C1291" s="22" t="n">
        <v>0.357</v>
      </c>
      <c r="D1291" s="22" t="n">
        <v>0.494</v>
      </c>
      <c r="E1291" s="22" t="n">
        <v>0.898</v>
      </c>
      <c r="F1291" s="22" t="n">
        <v>1.719</v>
      </c>
      <c r="G1291" s="22" t="n">
        <v>2.068</v>
      </c>
      <c r="H1291" s="22" t="n">
        <v>2.275</v>
      </c>
      <c r="I1291" s="22" t="n">
        <v>4.15</v>
      </c>
      <c r="J1291" s="22" t="n">
        <v>4.49</v>
      </c>
      <c r="K1291" s="22" t="n">
        <v>3.89</v>
      </c>
      <c r="L1291" s="17">
        <f>$J1291-$B1291</f>
        <v/>
      </c>
      <c r="M1291" s="17">
        <f>$I1291-$L1291</f>
        <v/>
      </c>
      <c r="N1291" s="23">
        <f>($G1291-$M1291)*100</f>
        <v/>
      </c>
      <c r="O1291" s="15">
        <f>($E1291-$C1291)*100</f>
        <v/>
      </c>
      <c r="P1291" s="15">
        <f>($G1291-$E1291)*100</f>
        <v/>
      </c>
      <c r="Q1291" s="15">
        <f>($G1291-$C1291)*100</f>
        <v/>
      </c>
      <c r="R1291" s="15">
        <f>IF($H1291="","",($H1291-$F1291)*100)</f>
        <v/>
      </c>
      <c r="S1291" s="15">
        <f>IF($H1291="","",($H1291-$G1291)*100)</f>
        <v/>
      </c>
    </row>
    <row r="1292">
      <c r="A1292" s="11" t="n">
        <v>45527</v>
      </c>
      <c r="B1292" s="22" t="n">
        <v>0.256</v>
      </c>
      <c r="C1292" s="22" t="n">
        <v>0.372</v>
      </c>
      <c r="D1292" s="22" t="n">
        <v>0.507</v>
      </c>
      <c r="E1292" s="22" t="n">
        <v>0.919</v>
      </c>
      <c r="F1292" s="22" t="n">
        <v>1.733</v>
      </c>
      <c r="G1292" s="22" t="n">
        <v>2.086</v>
      </c>
      <c r="H1292" s="22" t="n">
        <v>2.298</v>
      </c>
      <c r="I1292" s="22" t="n">
        <v>4.1</v>
      </c>
      <c r="J1292" s="22" t="n">
        <v>4.36</v>
      </c>
      <c r="K1292" s="22" t="n">
        <v>3.81</v>
      </c>
      <c r="L1292" s="17">
        <f>$J1292-$B1292</f>
        <v/>
      </c>
      <c r="M1292" s="17">
        <f>$I1292-$L1292</f>
        <v/>
      </c>
      <c r="N1292" s="23">
        <f>($G1292-$M1292)*100</f>
        <v/>
      </c>
      <c r="O1292" s="15">
        <f>($E1292-$C1292)*100</f>
        <v/>
      </c>
      <c r="P1292" s="15">
        <f>($G1292-$E1292)*100</f>
        <v/>
      </c>
      <c r="Q1292" s="15">
        <f>($G1292-$C1292)*100</f>
        <v/>
      </c>
      <c r="R1292" s="15">
        <f>IF($H1292="","",($H1292-$F1292)*100)</f>
        <v/>
      </c>
      <c r="S1292" s="15">
        <f>IF($H1292="","",($H1292-$G1292)*100)</f>
        <v/>
      </c>
    </row>
    <row r="1293">
      <c r="A1293" s="11" t="n">
        <v>45534</v>
      </c>
      <c r="B1293" s="22" t="n">
        <v>0.254</v>
      </c>
      <c r="C1293" s="22" t="n">
        <v>0.363</v>
      </c>
      <c r="D1293" s="22" t="n">
        <v>0.502</v>
      </c>
      <c r="E1293" s="22" t="n">
        <v>0.922</v>
      </c>
      <c r="F1293" s="22" t="n">
        <v>1.742</v>
      </c>
      <c r="G1293" s="22" t="n">
        <v>2.111</v>
      </c>
      <c r="H1293" s="22" t="n">
        <v>2.343</v>
      </c>
      <c r="I1293" s="22" t="n">
        <v>4.2</v>
      </c>
      <c r="J1293" s="22" t="n">
        <v>4.38</v>
      </c>
      <c r="K1293" s="22" t="n">
        <v>3.91</v>
      </c>
      <c r="L1293" s="17">
        <f>$J1293-$B1293</f>
        <v/>
      </c>
      <c r="M1293" s="17">
        <f>$I1293-$L1293</f>
        <v/>
      </c>
      <c r="N1293" s="23">
        <f>($G1293-$M1293)*100</f>
        <v/>
      </c>
      <c r="O1293" s="15">
        <f>($E1293-$C1293)*100</f>
        <v/>
      </c>
      <c r="P1293" s="15">
        <f>($G1293-$E1293)*100</f>
        <v/>
      </c>
      <c r="Q1293" s="15">
        <f>($G1293-$C1293)*100</f>
        <v/>
      </c>
      <c r="R1293" s="15">
        <f>IF($H1293="","",($H1293-$F1293)*100)</f>
        <v/>
      </c>
      <c r="S1293" s="15">
        <f>IF($H1293="","",($H1293-$G1293)*100)</f>
        <v/>
      </c>
    </row>
    <row r="1294">
      <c r="A1294" s="11" t="n">
        <v>45541</v>
      </c>
      <c r="B1294" s="22" t="n">
        <v>0.262</v>
      </c>
      <c r="C1294" s="22" t="n">
        <v>0.38</v>
      </c>
      <c r="D1294" s="22" t="n">
        <v>0.499</v>
      </c>
      <c r="E1294" s="22" t="n">
        <v>0.88</v>
      </c>
      <c r="F1294" s="22" t="n">
        <v>1.694</v>
      </c>
      <c r="G1294" s="22" t="n">
        <v>2.045</v>
      </c>
      <c r="H1294" s="22" t="n">
        <v>2.27</v>
      </c>
      <c r="I1294" s="22" t="n">
        <v>4.03</v>
      </c>
      <c r="J1294" s="22" t="n">
        <v>4.1</v>
      </c>
      <c r="K1294" s="22" t="n">
        <v>3.72</v>
      </c>
      <c r="L1294" s="17">
        <f>$J1294-$B1294</f>
        <v/>
      </c>
      <c r="M1294" s="17">
        <f>$I1294-$L1294</f>
        <v/>
      </c>
      <c r="N1294" s="23">
        <f>($G1294-$M1294)*100</f>
        <v/>
      </c>
      <c r="O1294" s="15">
        <f>($E1294-$C1294)*100</f>
        <v/>
      </c>
      <c r="P1294" s="15">
        <f>($G1294-$E1294)*100</f>
        <v/>
      </c>
      <c r="Q1294" s="15">
        <f>($G1294-$C1294)*100</f>
        <v/>
      </c>
      <c r="R1294" s="15">
        <f>IF($H1294="","",($H1294-$F1294)*100)</f>
        <v/>
      </c>
      <c r="S1294" s="15">
        <f>IF($H1294="","",($H1294-$G1294)*100)</f>
        <v/>
      </c>
    </row>
    <row r="1295">
      <c r="A1295" s="11" t="n">
        <v>45548</v>
      </c>
      <c r="B1295" s="22" t="n">
        <v>0.247</v>
      </c>
      <c r="C1295" s="22" t="n">
        <v>0.392</v>
      </c>
      <c r="D1295" s="22" t="n">
        <v>0.503</v>
      </c>
      <c r="E1295" s="22" t="n">
        <v>0.878</v>
      </c>
      <c r="F1295" s="22" t="n">
        <v>1.676</v>
      </c>
      <c r="G1295" s="22" t="n">
        <v>2.045</v>
      </c>
      <c r="H1295" s="22" t="n">
        <v>2.286</v>
      </c>
      <c r="I1295" s="22" t="n">
        <v>3.98</v>
      </c>
      <c r="J1295" s="22" t="n">
        <v>4</v>
      </c>
      <c r="K1295" s="22" t="n">
        <v>3.66</v>
      </c>
      <c r="L1295" s="17">
        <f>$J1295-$B1295</f>
        <v/>
      </c>
      <c r="M1295" s="17">
        <f>$I1295-$L1295</f>
        <v/>
      </c>
      <c r="N1295" s="23">
        <f>($G1295-$M1295)*100</f>
        <v/>
      </c>
      <c r="O1295" s="15">
        <f>($E1295-$C1295)*100</f>
        <v/>
      </c>
      <c r="P1295" s="15">
        <f>($G1295-$E1295)*100</f>
        <v/>
      </c>
      <c r="Q1295" s="15">
        <f>($G1295-$C1295)*100</f>
        <v/>
      </c>
      <c r="R1295" s="15">
        <f>IF($H1295="","",($H1295-$F1295)*100)</f>
        <v/>
      </c>
      <c r="S1295" s="15">
        <f>IF($H1295="","",($H1295-$G1295)*100)</f>
        <v/>
      </c>
    </row>
    <row r="1296">
      <c r="A1296" s="11" t="n">
        <v>45555</v>
      </c>
      <c r="B1296" s="22" t="n">
        <v>0.228</v>
      </c>
      <c r="C1296" s="22" t="n">
        <v>0.395</v>
      </c>
      <c r="D1296" s="22" t="n">
        <v>0.515</v>
      </c>
      <c r="E1296" s="22" t="n">
        <v>0.898</v>
      </c>
      <c r="F1296" s="22" t="n">
        <v>1.732</v>
      </c>
      <c r="G1296" s="22" t="n">
        <v>2.103</v>
      </c>
      <c r="H1296" s="22" t="n">
        <v>2.362</v>
      </c>
      <c r="I1296" s="22" t="n">
        <v>4.07</v>
      </c>
      <c r="J1296" s="22" t="n">
        <v>3.92</v>
      </c>
      <c r="K1296" s="22" t="n">
        <v>3.73</v>
      </c>
      <c r="L1296" s="17">
        <f>$J1296-$B1296</f>
        <v/>
      </c>
      <c r="M1296" s="17">
        <f>$I1296-$L1296</f>
        <v/>
      </c>
      <c r="N1296" s="23">
        <f>($G1296-$M1296)*100</f>
        <v/>
      </c>
      <c r="O1296" s="15">
        <f>($E1296-$C1296)*100</f>
        <v/>
      </c>
      <c r="P1296" s="15">
        <f>($G1296-$E1296)*100</f>
        <v/>
      </c>
      <c r="Q1296" s="15">
        <f>($G1296-$C1296)*100</f>
        <v/>
      </c>
      <c r="R1296" s="15">
        <f>IF($H1296="","",($H1296-$F1296)*100)</f>
        <v/>
      </c>
      <c r="S1296" s="15">
        <f>IF($H1296="","",($H1296-$G1296)*100)</f>
        <v/>
      </c>
    </row>
    <row r="1297">
      <c r="A1297" s="11" t="n">
        <v>45562</v>
      </c>
      <c r="B1297" s="22" t="n">
        <v>0.172</v>
      </c>
      <c r="C1297" s="22" t="n">
        <v>0.323</v>
      </c>
      <c r="D1297" s="22" t="n">
        <v>0.449</v>
      </c>
      <c r="E1297" s="22" t="n">
        <v>0.849</v>
      </c>
      <c r="F1297" s="22" t="n">
        <v>1.708</v>
      </c>
      <c r="G1297" s="22" t="n">
        <v>2.122</v>
      </c>
      <c r="H1297" s="22" t="n">
        <v>2.381</v>
      </c>
      <c r="I1297" s="22" t="n">
        <v>4.1</v>
      </c>
      <c r="J1297" s="22" t="n">
        <v>3.9</v>
      </c>
      <c r="K1297" s="22" t="n">
        <v>3.75</v>
      </c>
      <c r="L1297" s="17">
        <f>$J1297-$B1297</f>
        <v/>
      </c>
      <c r="M1297" s="17">
        <f>$I1297-$L1297</f>
        <v/>
      </c>
      <c r="N1297" s="23">
        <f>($G1297-$M1297)*100</f>
        <v/>
      </c>
      <c r="O1297" s="15">
        <f>($E1297-$C1297)*100</f>
        <v/>
      </c>
      <c r="P1297" s="15">
        <f>($G1297-$E1297)*100</f>
        <v/>
      </c>
      <c r="Q1297" s="15">
        <f>($G1297-$C1297)*100</f>
        <v/>
      </c>
      <c r="R1297" s="15">
        <f>IF($H1297="","",($H1297-$F1297)*100)</f>
        <v/>
      </c>
      <c r="S1297" s="15">
        <f>IF($H1297="","",($H1297-$G1297)*100)</f>
        <v/>
      </c>
    </row>
    <row r="1298">
      <c r="A1298" s="11" t="n">
        <v>45569</v>
      </c>
      <c r="B1298" s="22" t="n">
        <v>0.208</v>
      </c>
      <c r="C1298" s="22" t="n">
        <v>0.37</v>
      </c>
      <c r="D1298" s="22" t="n">
        <v>0.506</v>
      </c>
      <c r="E1298" s="22" t="n">
        <v>0.886</v>
      </c>
      <c r="F1298" s="22" t="n">
        <v>1.701</v>
      </c>
      <c r="G1298" s="22" t="n">
        <v>2.1</v>
      </c>
      <c r="H1298" s="22" t="n">
        <v>2.353</v>
      </c>
      <c r="I1298" s="22" t="n">
        <v>4.26</v>
      </c>
      <c r="J1298" s="22" t="n">
        <v>4.2</v>
      </c>
      <c r="K1298" s="22" t="n">
        <v>3.98</v>
      </c>
      <c r="L1298" s="17">
        <f>$J1298-$B1298</f>
        <v/>
      </c>
      <c r="M1298" s="17">
        <f>$I1298-$L1298</f>
        <v/>
      </c>
      <c r="N1298" s="23">
        <f>($G1298-$M1298)*100</f>
        <v/>
      </c>
      <c r="O1298" s="15">
        <f>($E1298-$C1298)*100</f>
        <v/>
      </c>
      <c r="P1298" s="15">
        <f>($G1298-$E1298)*100</f>
        <v/>
      </c>
      <c r="Q1298" s="15">
        <f>($G1298-$C1298)*100</f>
        <v/>
      </c>
      <c r="R1298" s="15">
        <f>IF($H1298="","",($H1298-$F1298)*100)</f>
        <v/>
      </c>
      <c r="S1298" s="15">
        <f>IF($H1298="","",($H1298-$G1298)*100)</f>
        <v/>
      </c>
    </row>
    <row r="1299">
      <c r="A1299" s="11" t="n">
        <v>45576</v>
      </c>
      <c r="B1299" s="22" t="n">
        <v>0.248</v>
      </c>
      <c r="C1299" s="22" t="n">
        <v>0.412</v>
      </c>
      <c r="D1299" s="22" t="n">
        <v>0.579</v>
      </c>
      <c r="E1299" s="22" t="n">
        <v>0.95</v>
      </c>
      <c r="F1299" s="22" t="n">
        <v>1.775</v>
      </c>
      <c r="G1299" s="22" t="n">
        <v>2.154</v>
      </c>
      <c r="H1299" s="22" t="n">
        <v>2.44</v>
      </c>
      <c r="I1299" s="22" t="n">
        <v>4.39</v>
      </c>
      <c r="J1299" s="22" t="n">
        <v>4.18</v>
      </c>
      <c r="K1299" s="22" t="n">
        <v>4.08</v>
      </c>
      <c r="L1299" s="17">
        <f>$J1299-$B1299</f>
        <v/>
      </c>
      <c r="M1299" s="17">
        <f>$I1299-$L1299</f>
        <v/>
      </c>
      <c r="N1299" s="23">
        <f>($G1299-$M1299)*100</f>
        <v/>
      </c>
      <c r="O1299" s="15">
        <f>($E1299-$C1299)*100</f>
        <v/>
      </c>
      <c r="P1299" s="15">
        <f>($G1299-$E1299)*100</f>
        <v/>
      </c>
      <c r="Q1299" s="15">
        <f>($G1299-$C1299)*100</f>
        <v/>
      </c>
      <c r="R1299" s="15">
        <f>IF($H1299="","",($H1299-$F1299)*100)</f>
        <v/>
      </c>
      <c r="S1299" s="15">
        <f>IF($H1299="","",($H1299-$G1299)*100)</f>
        <v/>
      </c>
    </row>
    <row r="1300">
      <c r="A1300" s="11" t="n">
        <v>45583</v>
      </c>
      <c r="B1300" s="22" t="n">
        <v>0.282</v>
      </c>
      <c r="C1300" s="22" t="n">
        <v>0.438</v>
      </c>
      <c r="D1300" s="22" t="n">
        <v>0.589</v>
      </c>
      <c r="E1300" s="22" t="n">
        <v>0.972</v>
      </c>
      <c r="F1300" s="22" t="n">
        <v>1.79</v>
      </c>
      <c r="G1300" s="22" t="n">
        <v>2.139</v>
      </c>
      <c r="H1300" s="22" t="n">
        <v>2.405</v>
      </c>
      <c r="I1300" s="22" t="n">
        <v>4.38</v>
      </c>
      <c r="J1300" s="22" t="n">
        <v>4.19</v>
      </c>
      <c r="K1300" s="22" t="n">
        <v>4.08</v>
      </c>
      <c r="L1300" s="17">
        <f>$J1300-$B1300</f>
        <v/>
      </c>
      <c r="M1300" s="17">
        <f>$I1300-$L1300</f>
        <v/>
      </c>
      <c r="N1300" s="23">
        <f>($G1300-$M1300)*100</f>
        <v/>
      </c>
      <c r="O1300" s="15">
        <f>($E1300-$C1300)*100</f>
        <v/>
      </c>
      <c r="P1300" s="15">
        <f>($G1300-$E1300)*100</f>
        <v/>
      </c>
      <c r="Q1300" s="15">
        <f>($G1300-$C1300)*100</f>
        <v/>
      </c>
      <c r="R1300" s="15">
        <f>IF($H1300="","",($H1300-$F1300)*100)</f>
        <v/>
      </c>
      <c r="S1300" s="15">
        <f>IF($H1300="","",($H1300-$G1300)*100)</f>
        <v/>
      </c>
    </row>
    <row r="1301">
      <c r="A1301" s="11" t="n">
        <v>45590</v>
      </c>
      <c r="B1301" s="22" t="n">
        <v>0.311</v>
      </c>
      <c r="C1301" s="22" t="n">
        <v>0.449</v>
      </c>
      <c r="D1301" s="22" t="n">
        <v>0.58</v>
      </c>
      <c r="E1301" s="22" t="n">
        <v>0.955</v>
      </c>
      <c r="F1301" s="22" t="n">
        <v>1.789</v>
      </c>
      <c r="G1301" s="22" t="n">
        <v>2.159</v>
      </c>
      <c r="H1301" s="22" t="n">
        <v>2.428</v>
      </c>
      <c r="I1301" s="22" t="n">
        <v>4.51</v>
      </c>
      <c r="J1301" s="22" t="n">
        <v>4.29</v>
      </c>
      <c r="K1301" s="22" t="n">
        <v>4.25</v>
      </c>
      <c r="L1301" s="17">
        <f>$J1301-$B1301</f>
        <v/>
      </c>
      <c r="M1301" s="17">
        <f>$I1301-$L1301</f>
        <v/>
      </c>
      <c r="N1301" s="23">
        <f>($G1301-$M1301)*100</f>
        <v/>
      </c>
      <c r="O1301" s="15">
        <f>($E1301-$C1301)*100</f>
        <v/>
      </c>
      <c r="P1301" s="15">
        <f>($G1301-$E1301)*100</f>
        <v/>
      </c>
      <c r="Q1301" s="15">
        <f>($G1301-$C1301)*100</f>
        <v/>
      </c>
      <c r="R1301" s="15">
        <f>IF($H1301="","",($H1301-$F1301)*100)</f>
        <v/>
      </c>
      <c r="S1301" s="15">
        <f>IF($H1301="","",($H1301-$G1301)*100)</f>
        <v/>
      </c>
    </row>
    <row r="1302">
      <c r="A1302" s="11" t="n">
        <v>45597</v>
      </c>
      <c r="B1302" s="22" t="n">
        <v>0.321</v>
      </c>
      <c r="C1302" s="22" t="n">
        <v>0.465</v>
      </c>
      <c r="D1302" s="22" t="n">
        <v>0.585</v>
      </c>
      <c r="E1302" s="22" t="n">
        <v>0.952</v>
      </c>
      <c r="F1302" s="22" t="n">
        <v>1.786</v>
      </c>
      <c r="G1302" s="22" t="n">
        <v>2.189</v>
      </c>
      <c r="H1302" s="22" t="n">
        <v>2.496</v>
      </c>
      <c r="I1302" s="22" t="n">
        <v>4.57</v>
      </c>
      <c r="J1302" s="22" t="n">
        <v>4.28</v>
      </c>
      <c r="K1302" s="22" t="n">
        <v>4.37</v>
      </c>
      <c r="L1302" s="17">
        <f>$J1302-$B1302</f>
        <v/>
      </c>
      <c r="M1302" s="17">
        <f>$I1302-$L1302</f>
        <v/>
      </c>
      <c r="N1302" s="23">
        <f>($G1302-$M1302)*100</f>
        <v/>
      </c>
      <c r="O1302" s="15">
        <f>($E1302-$C1302)*100</f>
        <v/>
      </c>
      <c r="P1302" s="15">
        <f>($G1302-$E1302)*100</f>
        <v/>
      </c>
      <c r="Q1302" s="15">
        <f>($G1302-$C1302)*100</f>
        <v/>
      </c>
      <c r="R1302" s="15">
        <f>IF($H1302="","",($H1302-$F1302)*100)</f>
        <v/>
      </c>
      <c r="S1302" s="15">
        <f>IF($H1302="","",($H1302-$G1302)*100)</f>
        <v/>
      </c>
    </row>
    <row r="1303">
      <c r="A1303" s="11" t="n">
        <v>45604</v>
      </c>
      <c r="B1303" s="22" t="n">
        <v>0.36</v>
      </c>
      <c r="C1303" s="22" t="n">
        <v>0.501</v>
      </c>
      <c r="D1303" s="22" t="n">
        <v>0.644</v>
      </c>
      <c r="E1303" s="22" t="n">
        <v>1.011</v>
      </c>
      <c r="F1303" s="22" t="n">
        <v>1.835</v>
      </c>
      <c r="G1303" s="22" t="n">
        <v>2.218</v>
      </c>
      <c r="H1303" s="22" t="n">
        <v>2.502</v>
      </c>
      <c r="I1303" s="22" t="n">
        <v>4.47</v>
      </c>
      <c r="J1303" s="22" t="n">
        <v>4.32</v>
      </c>
      <c r="K1303" s="22" t="n">
        <v>4.3</v>
      </c>
      <c r="L1303" s="17">
        <f>$J1303-$B1303</f>
        <v/>
      </c>
      <c r="M1303" s="17">
        <f>$I1303-$L1303</f>
        <v/>
      </c>
      <c r="N1303" s="23">
        <f>($G1303-$M1303)*100</f>
        <v/>
      </c>
      <c r="O1303" s="15">
        <f>($E1303-$C1303)*100</f>
        <v/>
      </c>
      <c r="P1303" s="15">
        <f>($G1303-$E1303)*100</f>
        <v/>
      </c>
      <c r="Q1303" s="15">
        <f>($G1303-$C1303)*100</f>
        <v/>
      </c>
      <c r="R1303" s="15">
        <f>IF($H1303="","",($H1303-$F1303)*100)</f>
        <v/>
      </c>
      <c r="S1303" s="15">
        <f>IF($H1303="","",($H1303-$G1303)*100)</f>
        <v/>
      </c>
    </row>
    <row r="1304">
      <c r="A1304" s="11" t="n">
        <v>45611</v>
      </c>
      <c r="B1304" s="22" t="n">
        <v>0.424</v>
      </c>
      <c r="C1304" s="22" t="n">
        <v>0.552</v>
      </c>
      <c r="D1304" s="22" t="n">
        <v>0.712</v>
      </c>
      <c r="E1304" s="22" t="n">
        <v>1.082</v>
      </c>
      <c r="F1304" s="22" t="n">
        <v>1.884</v>
      </c>
      <c r="G1304" s="22" t="n">
        <v>2.264</v>
      </c>
      <c r="H1304" s="22" t="n">
        <v>2.579</v>
      </c>
      <c r="I1304" s="22" t="n">
        <v>4.6</v>
      </c>
      <c r="J1304" s="22" t="n">
        <v>4.34</v>
      </c>
      <c r="K1304" s="22" t="n">
        <v>4.43</v>
      </c>
      <c r="L1304" s="17">
        <f>$J1304-$B1304</f>
        <v/>
      </c>
      <c r="M1304" s="17">
        <f>$I1304-$L1304</f>
        <v/>
      </c>
      <c r="N1304" s="23">
        <f>($G1304-$M1304)*100</f>
        <v/>
      </c>
      <c r="O1304" s="15">
        <f>($E1304-$C1304)*100</f>
        <v/>
      </c>
      <c r="P1304" s="15">
        <f>($G1304-$E1304)*100</f>
        <v/>
      </c>
      <c r="Q1304" s="15">
        <f>($G1304-$C1304)*100</f>
        <v/>
      </c>
      <c r="R1304" s="15">
        <f>IF($H1304="","",($H1304-$F1304)*100)</f>
        <v/>
      </c>
      <c r="S1304" s="15">
        <f>IF($H1304="","",($H1304-$G1304)*100)</f>
        <v/>
      </c>
    </row>
    <row r="1305">
      <c r="A1305" s="11" t="n">
        <v>45618</v>
      </c>
      <c r="B1305" s="22" t="n">
        <v>0.468</v>
      </c>
      <c r="C1305" s="22" t="n">
        <v>0.59</v>
      </c>
      <c r="D1305" s="22" t="n">
        <v>0.745</v>
      </c>
      <c r="E1305" s="22" t="n">
        <v>1.092</v>
      </c>
      <c r="F1305" s="22" t="n">
        <v>1.89</v>
      </c>
      <c r="G1305" s="22" t="n">
        <v>2.255</v>
      </c>
      <c r="H1305" s="22" t="n">
        <v>2.547</v>
      </c>
      <c r="I1305" s="22" t="n">
        <v>4.6</v>
      </c>
      <c r="J1305" s="22" t="n">
        <v>4.42</v>
      </c>
      <c r="K1305" s="22" t="n">
        <v>4.41</v>
      </c>
      <c r="L1305" s="17">
        <f>$J1305-$B1305</f>
        <v/>
      </c>
      <c r="M1305" s="17">
        <f>$I1305-$L1305</f>
        <v/>
      </c>
      <c r="N1305" s="23">
        <f>($G1305-$M1305)*100</f>
        <v/>
      </c>
      <c r="O1305" s="15">
        <f>($E1305-$C1305)*100</f>
        <v/>
      </c>
      <c r="P1305" s="15">
        <f>($G1305-$E1305)*100</f>
        <v/>
      </c>
      <c r="Q1305" s="15">
        <f>($G1305-$C1305)*100</f>
        <v/>
      </c>
      <c r="R1305" s="15">
        <f>IF($H1305="","",($H1305-$F1305)*100)</f>
        <v/>
      </c>
      <c r="S1305" s="15">
        <f>IF($H1305="","",($H1305-$G1305)*100)</f>
        <v/>
      </c>
    </row>
    <row r="1306">
      <c r="A1306" s="11" t="n">
        <v>45625</v>
      </c>
      <c r="B1306" s="22" t="n">
        <v>0.482</v>
      </c>
      <c r="C1306" s="22" t="n">
        <v>0.599</v>
      </c>
      <c r="D1306" s="22" t="n">
        <v>0.728</v>
      </c>
      <c r="E1306" s="22" t="n">
        <v>1.064</v>
      </c>
      <c r="F1306" s="22" t="n">
        <v>1.855</v>
      </c>
      <c r="G1306" s="22" t="n">
        <v>2.252</v>
      </c>
      <c r="H1306" s="22" t="n">
        <v>2.568</v>
      </c>
      <c r="I1306" s="22" t="n">
        <v>4.36</v>
      </c>
      <c r="J1306" s="22" t="n">
        <v>4.3</v>
      </c>
      <c r="K1306" s="22" t="n">
        <v>4.18</v>
      </c>
      <c r="L1306" s="17">
        <f>$J1306-$B1306</f>
        <v/>
      </c>
      <c r="M1306" s="17">
        <f>$I1306-$L1306</f>
        <v/>
      </c>
      <c r="N1306" s="23">
        <f>($G1306-$M1306)*100</f>
        <v/>
      </c>
      <c r="O1306" s="15">
        <f>($E1306-$C1306)*100</f>
        <v/>
      </c>
      <c r="P1306" s="15">
        <f>($G1306-$E1306)*100</f>
        <v/>
      </c>
      <c r="Q1306" s="15">
        <f>($G1306-$C1306)*100</f>
        <v/>
      </c>
      <c r="R1306" s="15">
        <f>IF($H1306="","",($H1306-$F1306)*100)</f>
        <v/>
      </c>
      <c r="S1306" s="15">
        <f>IF($H1306="","",($H1306-$G1306)*100)</f>
        <v/>
      </c>
    </row>
    <row r="1307">
      <c r="A1307" s="11" t="n">
        <v>45632</v>
      </c>
      <c r="B1307" s="22" t="n">
        <v>0.446</v>
      </c>
      <c r="C1307" s="22" t="n">
        <v>0.59</v>
      </c>
      <c r="D1307" s="22" t="n">
        <v>0.725</v>
      </c>
      <c r="E1307" s="22" t="n">
        <v>1.068</v>
      </c>
      <c r="F1307" s="22" t="n">
        <v>1.861</v>
      </c>
      <c r="G1307" s="22" t="n">
        <v>2.236</v>
      </c>
      <c r="H1307" s="22" t="n">
        <v>2.57</v>
      </c>
      <c r="I1307" s="22" t="n">
        <v>4.34</v>
      </c>
      <c r="J1307" s="22" t="n">
        <v>4.19</v>
      </c>
      <c r="K1307" s="22" t="n">
        <v>4.15</v>
      </c>
      <c r="L1307" s="17">
        <f>$J1307-$B1307</f>
        <v/>
      </c>
      <c r="M1307" s="17">
        <f>$I1307-$L1307</f>
        <v/>
      </c>
      <c r="N1307" s="23">
        <f>($G1307-$M1307)*100</f>
        <v/>
      </c>
      <c r="O1307" s="15">
        <f>($E1307-$C1307)*100</f>
        <v/>
      </c>
      <c r="P1307" s="15">
        <f>($G1307-$E1307)*100</f>
        <v/>
      </c>
      <c r="Q1307" s="15">
        <f>($G1307-$C1307)*100</f>
        <v/>
      </c>
      <c r="R1307" s="15">
        <f>IF($H1307="","",($H1307-$F1307)*100)</f>
        <v/>
      </c>
      <c r="S1307" s="15">
        <f>IF($H1307="","",($H1307-$G1307)*100)</f>
        <v/>
      </c>
    </row>
    <row r="1308">
      <c r="A1308" s="11" t="n">
        <v>45639</v>
      </c>
      <c r="B1308" s="22" t="n">
        <v>0.412</v>
      </c>
      <c r="C1308" s="22" t="n">
        <v>0.5639999999999999</v>
      </c>
      <c r="D1308" s="22" t="n">
        <v>0.697</v>
      </c>
      <c r="E1308" s="22" t="n">
        <v>1.055</v>
      </c>
      <c r="F1308" s="22" t="n">
        <v>1.848</v>
      </c>
      <c r="G1308" s="22" t="n">
        <v>2.22</v>
      </c>
      <c r="H1308" s="22" t="n">
        <v>2.551</v>
      </c>
      <c r="I1308" s="22" t="n">
        <v>4.61</v>
      </c>
      <c r="J1308" s="22" t="n">
        <v>4.24</v>
      </c>
      <c r="K1308" s="22" t="n">
        <v>4.4</v>
      </c>
      <c r="L1308" s="17">
        <f>$J1308-$B1308</f>
        <v/>
      </c>
      <c r="M1308" s="17">
        <f>$I1308-$L1308</f>
        <v/>
      </c>
      <c r="N1308" s="23">
        <f>($G1308-$M1308)*100</f>
        <v/>
      </c>
      <c r="O1308" s="15">
        <f>($E1308-$C1308)*100</f>
        <v/>
      </c>
      <c r="P1308" s="15">
        <f>($G1308-$E1308)*100</f>
        <v/>
      </c>
      <c r="Q1308" s="15">
        <f>($G1308-$C1308)*100</f>
        <v/>
      </c>
      <c r="R1308" s="15">
        <f>IF($H1308="","",($H1308-$F1308)*100)</f>
        <v/>
      </c>
      <c r="S1308" s="15">
        <f>IF($H1308="","",($H1308-$G1308)*100)</f>
        <v/>
      </c>
    </row>
    <row r="1309">
      <c r="A1309" s="11" t="n">
        <v>45646</v>
      </c>
      <c r="B1309" s="22" t="n">
        <v>0.39</v>
      </c>
      <c r="C1309" s="22" t="n">
        <v>0.576</v>
      </c>
      <c r="D1309" s="22" t="n">
        <v>0.706</v>
      </c>
      <c r="E1309" s="22" t="n">
        <v>1.07</v>
      </c>
      <c r="F1309" s="22" t="n">
        <v>1.855</v>
      </c>
      <c r="G1309" s="22" t="n">
        <v>2.229</v>
      </c>
      <c r="H1309" s="22" t="n">
        <v>2.559</v>
      </c>
      <c r="I1309" s="22" t="n">
        <v>4.72</v>
      </c>
      <c r="J1309" s="22" t="n">
        <v>4.27</v>
      </c>
      <c r="K1309" s="22" t="n">
        <v>4.52</v>
      </c>
      <c r="L1309" s="17">
        <f>$J1309-$B1309</f>
        <v/>
      </c>
      <c r="M1309" s="17">
        <f>$I1309-$L1309</f>
        <v/>
      </c>
      <c r="N1309" s="23">
        <f>($G1309-$M1309)*100</f>
        <v/>
      </c>
      <c r="O1309" s="15">
        <f>($E1309-$C1309)*100</f>
        <v/>
      </c>
      <c r="P1309" s="15">
        <f>($G1309-$E1309)*100</f>
        <v/>
      </c>
      <c r="Q1309" s="15">
        <f>($G1309-$C1309)*100</f>
        <v/>
      </c>
      <c r="R1309" s="15">
        <f>IF($H1309="","",($H1309-$F1309)*100)</f>
        <v/>
      </c>
      <c r="S1309" s="15">
        <f>IF($H1309="","",($H1309-$G1309)*100)</f>
        <v/>
      </c>
    </row>
    <row r="1310">
      <c r="A1310" s="11" t="n">
        <v>45653</v>
      </c>
      <c r="B1310" s="22" t="n">
        <v>0.413</v>
      </c>
      <c r="C1310" s="22" t="n">
        <v>0.602</v>
      </c>
      <c r="D1310" s="22" t="n">
        <v>0.76</v>
      </c>
      <c r="E1310" s="22" t="n">
        <v>1.119</v>
      </c>
      <c r="F1310" s="22" t="n">
        <v>1.898</v>
      </c>
      <c r="G1310" s="22" t="n">
        <v>2.259</v>
      </c>
      <c r="H1310" s="22" t="n">
        <v>2.56</v>
      </c>
      <c r="I1310" s="22" t="n">
        <v>4.82</v>
      </c>
      <c r="J1310" s="22" t="n">
        <v>4.2</v>
      </c>
      <c r="K1310" s="22" t="n">
        <v>4.62</v>
      </c>
      <c r="L1310" s="17">
        <f>$J1310-$B1310</f>
        <v/>
      </c>
      <c r="M1310" s="17">
        <f>$I1310-$L1310</f>
        <v/>
      </c>
      <c r="N1310" s="23">
        <f>($G1310-$M1310)*100</f>
        <v/>
      </c>
      <c r="O1310" s="15">
        <f>($E1310-$C1310)*100</f>
        <v/>
      </c>
      <c r="P1310" s="15">
        <f>($G1310-$E1310)*100</f>
        <v/>
      </c>
      <c r="Q1310" s="15">
        <f>($G1310-$C1310)*100</f>
        <v/>
      </c>
      <c r="R1310" s="15">
        <f>IF($H1310="","",($H1310-$F1310)*100)</f>
        <v/>
      </c>
      <c r="S1310" s="15">
        <f>IF($H1310="","",($H1310-$G1310)*100)</f>
        <v/>
      </c>
    </row>
    <row r="1311">
      <c r="A1311" s="11" t="n">
        <v>45660</v>
      </c>
      <c r="B1311" s="22" t="n">
        <v>0.427</v>
      </c>
      <c r="C1311" s="22" t="n">
        <v>0.599</v>
      </c>
      <c r="D1311" s="22" t="n">
        <v>0.743</v>
      </c>
      <c r="E1311" s="22" t="n">
        <v>1.111</v>
      </c>
      <c r="F1311" s="22" t="n">
        <v>1.89</v>
      </c>
      <c r="G1311" s="22" t="n">
        <v>2.252</v>
      </c>
      <c r="H1311" s="22" t="n">
        <v>2.556</v>
      </c>
      <c r="I1311" s="22" t="n">
        <v>4.82</v>
      </c>
      <c r="J1311" s="22" t="n">
        <v>4.18</v>
      </c>
      <c r="K1311" s="22" t="n">
        <v>4.6</v>
      </c>
      <c r="L1311" s="17">
        <f>$J1311-$B1311</f>
        <v/>
      </c>
      <c r="M1311" s="17">
        <f>$I1311-$L1311</f>
        <v/>
      </c>
      <c r="N1311" s="23">
        <f>($G1311-$M1311)*100</f>
        <v/>
      </c>
      <c r="O1311" s="15">
        <f>($E1311-$C1311)*100</f>
        <v/>
      </c>
      <c r="P1311" s="15">
        <f>($G1311-$E1311)*100</f>
        <v/>
      </c>
      <c r="Q1311" s="15">
        <f>($G1311-$C1311)*100</f>
        <v/>
      </c>
      <c r="R1311" s="15">
        <f>IF($H1311="","",($H1311-$F1311)*100)</f>
        <v/>
      </c>
      <c r="S1311" s="15">
        <f>IF($H1311="","",($H1311-$G1311)*100)</f>
        <v/>
      </c>
    </row>
    <row r="1312">
      <c r="A1312" s="11" t="n">
        <v>45667</v>
      </c>
      <c r="B1312" s="22" t="n">
        <v>0.443</v>
      </c>
      <c r="C1312" s="22" t="n">
        <v>0.649</v>
      </c>
      <c r="D1312" s="22" t="n">
        <v>0.832</v>
      </c>
      <c r="E1312" s="22" t="n">
        <v>1.202</v>
      </c>
      <c r="F1312" s="22" t="n">
        <v>1.959</v>
      </c>
      <c r="G1312" s="22" t="n">
        <v>2.301</v>
      </c>
      <c r="H1312" s="22" t="n">
        <v>2.639</v>
      </c>
      <c r="I1312" s="22" t="n">
        <v>4.96</v>
      </c>
      <c r="J1312" s="22" t="n">
        <v>4.25</v>
      </c>
      <c r="K1312" s="22" t="n">
        <v>4.77</v>
      </c>
      <c r="L1312" s="17">
        <f>$J1312-$B1312</f>
        <v/>
      </c>
      <c r="M1312" s="17">
        <f>$I1312-$L1312</f>
        <v/>
      </c>
      <c r="N1312" s="23">
        <f>($G1312-$M1312)*100</f>
        <v/>
      </c>
      <c r="O1312" s="15">
        <f>($E1312-$C1312)*100</f>
        <v/>
      </c>
      <c r="P1312" s="15">
        <f>($G1312-$E1312)*100</f>
        <v/>
      </c>
      <c r="Q1312" s="15">
        <f>($G1312-$C1312)*100</f>
        <v/>
      </c>
      <c r="R1312" s="15">
        <f>IF($H1312="","",($H1312-$F1312)*100)</f>
        <v/>
      </c>
      <c r="S1312" s="15">
        <f>IF($H1312="","",($H1312-$G1312)*100)</f>
        <v/>
      </c>
    </row>
    <row r="1313">
      <c r="A1313" s="11" t="n">
        <v>45674</v>
      </c>
      <c r="B1313" s="22" t="n">
        <v>0.512</v>
      </c>
      <c r="C1313" s="22" t="n">
        <v>0.6929999999999999</v>
      </c>
      <c r="D1313" s="22" t="n">
        <v>0.865</v>
      </c>
      <c r="E1313" s="22" t="n">
        <v>1.207</v>
      </c>
      <c r="F1313" s="22" t="n">
        <v>1.925</v>
      </c>
      <c r="G1313" s="22" t="n">
        <v>2.29</v>
      </c>
      <c r="H1313" s="22" t="n">
        <v>2.649</v>
      </c>
      <c r="I1313" s="22" t="n">
        <v>4.84</v>
      </c>
      <c r="J1313" s="22" t="n">
        <v>4.21</v>
      </c>
      <c r="K1313" s="22" t="n">
        <v>4.61</v>
      </c>
      <c r="L1313" s="17">
        <f>$J1313-$B1313</f>
        <v/>
      </c>
      <c r="M1313" s="17">
        <f>$I1313-$L1313</f>
        <v/>
      </c>
      <c r="N1313" s="23">
        <f>($G1313-$M1313)*100</f>
        <v/>
      </c>
      <c r="O1313" s="15">
        <f>($E1313-$C1313)*100</f>
        <v/>
      </c>
      <c r="P1313" s="15">
        <f>($G1313-$E1313)*100</f>
        <v/>
      </c>
      <c r="Q1313" s="15">
        <f>($G1313-$C1313)*100</f>
        <v/>
      </c>
      <c r="R1313" s="15">
        <f>IF($H1313="","",($H1313-$F1313)*100)</f>
        <v/>
      </c>
      <c r="S1313" s="15">
        <f>IF($H1313="","",($H1313-$G1313)*100)</f>
        <v/>
      </c>
    </row>
    <row r="1314">
      <c r="A1314" s="11" t="n">
        <v>45681</v>
      </c>
      <c r="B1314" s="22" t="n">
        <v>0.556</v>
      </c>
      <c r="C1314" s="22" t="n">
        <v>0.718</v>
      </c>
      <c r="D1314" s="22" t="n">
        <v>0.91</v>
      </c>
      <c r="E1314" s="22" t="n">
        <v>1.238</v>
      </c>
      <c r="F1314" s="22" t="n">
        <v>1.921</v>
      </c>
      <c r="G1314" s="22" t="n">
        <v>2.277</v>
      </c>
      <c r="H1314" s="22" t="n">
        <v>2.591</v>
      </c>
      <c r="I1314" s="22" t="n">
        <v>4.85</v>
      </c>
      <c r="J1314" s="22" t="n">
        <v>4.17</v>
      </c>
      <c r="K1314" s="22" t="n">
        <v>4.63</v>
      </c>
      <c r="L1314" s="17">
        <f>$J1314-$B1314</f>
        <v/>
      </c>
      <c r="M1314" s="17">
        <f>$I1314-$L1314</f>
        <v/>
      </c>
      <c r="N1314" s="23">
        <f>($G1314-$M1314)*100</f>
        <v/>
      </c>
      <c r="O1314" s="15">
        <f>($E1314-$C1314)*100</f>
        <v/>
      </c>
      <c r="P1314" s="15">
        <f>($G1314-$E1314)*100</f>
        <v/>
      </c>
      <c r="Q1314" s="15">
        <f>($G1314-$C1314)*100</f>
        <v/>
      </c>
      <c r="R1314" s="15">
        <f>IF($H1314="","",($H1314-$F1314)*100)</f>
        <v/>
      </c>
      <c r="S1314" s="15">
        <f>IF($H1314="","",($H1314-$G1314)*100)</f>
        <v/>
      </c>
    </row>
    <row r="1315">
      <c r="A1315" s="11" t="n">
        <v>45688</v>
      </c>
      <c r="B1315" s="22" t="n">
        <v>0.5600000000000001</v>
      </c>
      <c r="C1315" s="22" t="n">
        <v>0.729</v>
      </c>
      <c r="D1315" s="22" t="n">
        <v>0.909</v>
      </c>
      <c r="E1315" s="22" t="n">
        <v>1.25</v>
      </c>
      <c r="F1315" s="22" t="n">
        <v>1.953</v>
      </c>
      <c r="G1315" s="22" t="n">
        <v>2.29</v>
      </c>
      <c r="H1315" s="22" t="n">
        <v>2.592</v>
      </c>
      <c r="I1315" s="22" t="n">
        <v>4.83</v>
      </c>
      <c r="J1315" s="22" t="n">
        <v>4.17</v>
      </c>
      <c r="K1315" s="22" t="n">
        <v>4.58</v>
      </c>
      <c r="L1315" s="17">
        <f>$J1315-$B1315</f>
        <v/>
      </c>
      <c r="M1315" s="17">
        <f>$I1315-$L1315</f>
        <v/>
      </c>
      <c r="N1315" s="23">
        <f>($G1315-$M1315)*100</f>
        <v/>
      </c>
      <c r="O1315" s="15">
        <f>($E1315-$C1315)*100</f>
        <v/>
      </c>
      <c r="P1315" s="15">
        <f>($G1315-$E1315)*100</f>
        <v/>
      </c>
      <c r="Q1315" s="15">
        <f>($G1315-$C1315)*100</f>
        <v/>
      </c>
      <c r="R1315" s="15">
        <f>IF($H1315="","",($H1315-$F1315)*100)</f>
        <v/>
      </c>
      <c r="S1315" s="15">
        <f>IF($H1315="","",($H1315-$G1315)*100)</f>
        <v/>
      </c>
    </row>
    <row r="1316">
      <c r="A1316" s="11" t="n">
        <v>45695</v>
      </c>
      <c r="B1316" s="22" t="n">
        <v>0.594</v>
      </c>
      <c r="C1316" s="22" t="n">
        <v>0.798</v>
      </c>
      <c r="D1316" s="22" t="n">
        <v>0.987</v>
      </c>
      <c r="E1316" s="22" t="n">
        <v>1.307</v>
      </c>
      <c r="F1316" s="22" t="n">
        <v>1.98</v>
      </c>
      <c r="G1316" s="22" t="n">
        <v>2.29</v>
      </c>
      <c r="H1316" s="22" t="n">
        <v>2.569</v>
      </c>
      <c r="I1316" s="22" t="n">
        <v>4.69</v>
      </c>
      <c r="J1316" s="22" t="n">
        <v>4.25</v>
      </c>
      <c r="K1316" s="22" t="n">
        <v>4.49</v>
      </c>
      <c r="L1316" s="17">
        <f>$J1316-$B1316</f>
        <v/>
      </c>
      <c r="M1316" s="17">
        <f>$I1316-$L1316</f>
        <v/>
      </c>
      <c r="N1316" s="23">
        <f>($G1316-$M1316)*100</f>
        <v/>
      </c>
      <c r="O1316" s="15">
        <f>($E1316-$C1316)*100</f>
        <v/>
      </c>
      <c r="P1316" s="15">
        <f>($G1316-$E1316)*100</f>
        <v/>
      </c>
      <c r="Q1316" s="15">
        <f>($G1316-$C1316)*100</f>
        <v/>
      </c>
      <c r="R1316" s="15">
        <f>IF($H1316="","",($H1316-$F1316)*100)</f>
        <v/>
      </c>
      <c r="S1316" s="15">
        <f>IF($H1316="","",($H1316-$G1316)*100)</f>
        <v/>
      </c>
    </row>
    <row r="1317">
      <c r="A1317" s="11" t="n">
        <v>45702</v>
      </c>
      <c r="B1317" s="22" t="n">
        <v>0.586</v>
      </c>
      <c r="C1317" s="22" t="n">
        <v>0.794</v>
      </c>
      <c r="D1317" s="22" t="n">
        <v>1.013</v>
      </c>
      <c r="E1317" s="22" t="n">
        <v>1.357</v>
      </c>
      <c r="F1317" s="22" t="n">
        <v>2.011</v>
      </c>
      <c r="G1317" s="22" t="n">
        <v>2.31</v>
      </c>
      <c r="H1317" s="22" t="n">
        <v>2.573</v>
      </c>
      <c r="I1317" s="22" t="n">
        <v>4.69</v>
      </c>
      <c r="J1317" s="22" t="n">
        <v>4.23</v>
      </c>
      <c r="K1317" s="22" t="n">
        <v>4.47</v>
      </c>
      <c r="L1317" s="17">
        <f>$J1317-$B1317</f>
        <v/>
      </c>
      <c r="M1317" s="17">
        <f>$I1317-$L1317</f>
        <v/>
      </c>
      <c r="N1317" s="23">
        <f>($G1317-$M1317)*100</f>
        <v/>
      </c>
      <c r="O1317" s="15">
        <f>($E1317-$C1317)*100</f>
        <v/>
      </c>
      <c r="P1317" s="15">
        <f>($G1317-$E1317)*100</f>
        <v/>
      </c>
      <c r="Q1317" s="15">
        <f>($G1317-$C1317)*100</f>
        <v/>
      </c>
      <c r="R1317" s="15">
        <f>IF($H1317="","",($H1317-$F1317)*100)</f>
        <v/>
      </c>
      <c r="S1317" s="15">
        <f>IF($H1317="","",($H1317-$G1317)*100)</f>
        <v/>
      </c>
    </row>
    <row r="1318">
      <c r="A1318" s="11" t="n">
        <v>45709</v>
      </c>
      <c r="B1318" s="22" t="n">
        <v>0.603</v>
      </c>
      <c r="C1318" s="22" t="n">
        <v>0.8179999999999999</v>
      </c>
      <c r="D1318" s="22" t="n">
        <v>1.063</v>
      </c>
      <c r="E1318" s="22" t="n">
        <v>1.427</v>
      </c>
      <c r="F1318" s="22" t="n">
        <v>2.054</v>
      </c>
      <c r="G1318" s="22" t="n">
        <v>2.335</v>
      </c>
      <c r="H1318" s="22" t="n">
        <v>2.556</v>
      </c>
      <c r="I1318" s="22" t="n">
        <v>4.67</v>
      </c>
      <c r="J1318" s="22" t="n">
        <v>4.15</v>
      </c>
      <c r="K1318" s="22" t="n">
        <v>4.42</v>
      </c>
      <c r="L1318" s="17">
        <f>$J1318-$B1318</f>
        <v/>
      </c>
      <c r="M1318" s="17">
        <f>$I1318-$L1318</f>
        <v/>
      </c>
      <c r="N1318" s="23">
        <f>($G1318-$M1318)*100</f>
        <v/>
      </c>
      <c r="O1318" s="15">
        <f>($E1318-$C1318)*100</f>
        <v/>
      </c>
      <c r="P1318" s="15">
        <f>($G1318-$E1318)*100</f>
        <v/>
      </c>
      <c r="Q1318" s="15">
        <f>($G1318-$C1318)*100</f>
        <v/>
      </c>
      <c r="R1318" s="15">
        <f>IF($H1318="","",($H1318-$F1318)*100)</f>
        <v/>
      </c>
      <c r="S1318" s="15">
        <f>IF($H1318="","",($H1318-$G1318)*100)</f>
        <v/>
      </c>
    </row>
    <row r="1319">
      <c r="A1319" s="11" t="n">
        <v>45716</v>
      </c>
      <c r="B1319" s="22" t="n">
        <v>0.601</v>
      </c>
      <c r="C1319" s="22" t="n">
        <v>0.806</v>
      </c>
      <c r="D1319" s="22" t="n">
        <v>1.007</v>
      </c>
      <c r="E1319" s="22" t="n">
        <v>1.378</v>
      </c>
      <c r="F1319" s="22" t="n">
        <v>2.032</v>
      </c>
      <c r="G1319" s="22" t="n">
        <v>2.35</v>
      </c>
      <c r="H1319" s="22" t="n">
        <v>2.622</v>
      </c>
      <c r="I1319" s="22" t="n">
        <v>4.51</v>
      </c>
      <c r="J1319" s="22" t="n">
        <v>4.08</v>
      </c>
      <c r="K1319" s="22" t="n">
        <v>4.24</v>
      </c>
      <c r="L1319" s="17">
        <f>$J1319-$B1319</f>
        <v/>
      </c>
      <c r="M1319" s="17">
        <f>$I1319-$L1319</f>
        <v/>
      </c>
      <c r="N1319" s="23">
        <f>($G1319-$M1319)*100</f>
        <v/>
      </c>
      <c r="O1319" s="15">
        <f>($E1319-$C1319)*100</f>
        <v/>
      </c>
      <c r="P1319" s="15">
        <f>($G1319-$E1319)*100</f>
        <v/>
      </c>
      <c r="Q1319" s="15">
        <f>($G1319-$C1319)*100</f>
        <v/>
      </c>
      <c r="R1319" s="15">
        <f>IF($H1319="","",($H1319-$F1319)*100)</f>
        <v/>
      </c>
      <c r="S1319" s="15">
        <f>IF($H1319="","",($H1319-$G1319)*100)</f>
        <v/>
      </c>
    </row>
    <row r="1320">
      <c r="A1320" s="11" t="n">
        <v>45723</v>
      </c>
      <c r="B1320" s="22" t="n">
        <v>0.623</v>
      </c>
      <c r="C1320" s="22" t="n">
        <v>0.848</v>
      </c>
      <c r="D1320" s="22" t="n">
        <v>1.127</v>
      </c>
      <c r="E1320" s="22" t="n">
        <v>1.523</v>
      </c>
      <c r="F1320" s="22" t="n">
        <v>2.217</v>
      </c>
      <c r="G1320" s="22" t="n">
        <v>2.496</v>
      </c>
      <c r="H1320" s="22" t="n">
        <v>2.718</v>
      </c>
      <c r="I1320" s="22" t="n">
        <v>4.62</v>
      </c>
      <c r="J1320" s="22" t="n">
        <v>4.05</v>
      </c>
      <c r="K1320" s="22" t="n">
        <v>4.32</v>
      </c>
      <c r="L1320" s="17">
        <f>$J1320-$B1320</f>
        <v/>
      </c>
      <c r="M1320" s="17">
        <f>$I1320-$L1320</f>
        <v/>
      </c>
      <c r="N1320" s="23">
        <f>($G1320-$M1320)*100</f>
        <v/>
      </c>
      <c r="O1320" s="15">
        <f>($E1320-$C1320)*100</f>
        <v/>
      </c>
      <c r="P1320" s="15">
        <f>($G1320-$E1320)*100</f>
        <v/>
      </c>
      <c r="Q1320" s="15">
        <f>($G1320-$C1320)*100</f>
        <v/>
      </c>
      <c r="R1320" s="15">
        <f>IF($H1320="","",($H1320-$F1320)*100)</f>
        <v/>
      </c>
      <c r="S1320" s="15">
        <f>IF($H1320="","",($H1320-$G1320)*100)</f>
        <v/>
      </c>
    </row>
    <row r="1321">
      <c r="A1321" s="11" t="n">
        <v>45730</v>
      </c>
      <c r="B1321" s="22" t="n">
        <v>0.607</v>
      </c>
      <c r="C1321" s="22" t="n">
        <v>0.84</v>
      </c>
      <c r="D1321" s="22" t="n">
        <v>1.131</v>
      </c>
      <c r="E1321" s="22" t="n">
        <v>1.522</v>
      </c>
      <c r="F1321" s="22" t="n">
        <v>2.236</v>
      </c>
      <c r="G1321" s="22" t="n">
        <v>2.535</v>
      </c>
      <c r="H1321" s="22" t="n">
        <v>2.785</v>
      </c>
      <c r="I1321" s="22" t="n">
        <v>4.62</v>
      </c>
      <c r="J1321" s="22" t="n">
        <v>4.09</v>
      </c>
      <c r="K1321" s="22" t="n">
        <v>4.31</v>
      </c>
      <c r="L1321" s="17">
        <f>$J1321-$B1321</f>
        <v/>
      </c>
      <c r="M1321" s="17">
        <f>$I1321-$L1321</f>
        <v/>
      </c>
      <c r="N1321" s="23">
        <f>($G1321-$M1321)*100</f>
        <v/>
      </c>
      <c r="O1321" s="15">
        <f>($E1321-$C1321)*100</f>
        <v/>
      </c>
      <c r="P1321" s="15">
        <f>($G1321-$E1321)*100</f>
        <v/>
      </c>
      <c r="Q1321" s="15">
        <f>($G1321-$C1321)*100</f>
        <v/>
      </c>
      <c r="R1321" s="15">
        <f>IF($H1321="","",($H1321-$F1321)*100)</f>
        <v/>
      </c>
      <c r="S1321" s="15">
        <f>IF($H1321="","",($H1321-$G1321)*100)</f>
        <v/>
      </c>
    </row>
    <row r="1322">
      <c r="A1322" s="11" t="n">
        <v>45737</v>
      </c>
      <c r="B1322" s="22" t="n">
        <v>0.62</v>
      </c>
      <c r="C1322" s="22" t="n">
        <v>0.854</v>
      </c>
      <c r="D1322" s="22" t="n">
        <v>1.134</v>
      </c>
      <c r="E1322" s="22" t="n">
        <v>1.527</v>
      </c>
      <c r="F1322" s="22" t="n">
        <v>2.238</v>
      </c>
      <c r="G1322" s="22" t="n">
        <v>2.539</v>
      </c>
      <c r="H1322" s="22" t="n">
        <v>2.795</v>
      </c>
      <c r="I1322" s="22" t="n">
        <v>4.59</v>
      </c>
      <c r="J1322" s="22" t="n">
        <v>4.04</v>
      </c>
      <c r="K1322" s="22" t="n">
        <v>4.25</v>
      </c>
      <c r="L1322" s="17">
        <f>$J1322-$B1322</f>
        <v/>
      </c>
      <c r="M1322" s="17">
        <f>$I1322-$L1322</f>
        <v/>
      </c>
      <c r="N1322" s="23">
        <f>($G1322-$M1322)*100</f>
        <v/>
      </c>
      <c r="O1322" s="15">
        <f>($E1322-$C1322)*100</f>
        <v/>
      </c>
      <c r="P1322" s="15">
        <f>($G1322-$E1322)*100</f>
        <v/>
      </c>
      <c r="Q1322" s="15">
        <f>($G1322-$C1322)*100</f>
        <v/>
      </c>
      <c r="R1322" s="15">
        <f>IF($H1322="","",($H1322-$F1322)*100)</f>
        <v/>
      </c>
      <c r="S1322" s="15">
        <f>IF($H1322="","",($H1322-$G1322)*100)</f>
        <v/>
      </c>
    </row>
    <row r="1323">
      <c r="A1323" s="11" t="n">
        <v>45744</v>
      </c>
      <c r="B1323" s="22" t="n">
        <v>0.644</v>
      </c>
      <c r="C1323" s="22" t="n">
        <v>0.877</v>
      </c>
      <c r="D1323" s="22" t="n">
        <v>1.167</v>
      </c>
      <c r="E1323" s="22" t="n">
        <v>1.551</v>
      </c>
      <c r="F1323" s="22" t="n">
        <v>2.225</v>
      </c>
      <c r="G1323" s="22" t="n">
        <v>2.486</v>
      </c>
      <c r="H1323" s="22" t="n">
        <v>2.677</v>
      </c>
      <c r="I1323" s="22" t="n">
        <v>4.64</v>
      </c>
      <c r="J1323" s="22" t="n">
        <v>4.04</v>
      </c>
      <c r="K1323" s="22" t="n">
        <v>4.27</v>
      </c>
      <c r="L1323" s="17">
        <f>$J1323-$B1323</f>
        <v/>
      </c>
      <c r="M1323" s="17">
        <f>$I1323-$L1323</f>
        <v/>
      </c>
      <c r="N1323" s="23">
        <f>($G1323-$M1323)*100</f>
        <v/>
      </c>
      <c r="O1323" s="15">
        <f>($E1323-$C1323)*100</f>
        <v/>
      </c>
      <c r="P1323" s="15">
        <f>($G1323-$E1323)*100</f>
        <v/>
      </c>
      <c r="Q1323" s="15">
        <f>($G1323-$C1323)*100</f>
        <v/>
      </c>
      <c r="R1323" s="15">
        <f>IF($H1323="","",($H1323-$F1323)*100)</f>
        <v/>
      </c>
      <c r="S1323" s="15">
        <f>IF($H1323="","",($H1323-$G1323)*100)</f>
        <v/>
      </c>
    </row>
    <row r="1324">
      <c r="A1324" s="11" t="n">
        <v>45751</v>
      </c>
      <c r="B1324" s="22" t="n">
        <v>0.514</v>
      </c>
      <c r="C1324" s="22" t="n">
        <v>0.612</v>
      </c>
      <c r="D1324" s="22" t="n">
        <v>0.797</v>
      </c>
      <c r="E1324" s="22" t="n">
        <v>1.176</v>
      </c>
      <c r="F1324" s="22" t="n">
        <v>1.946</v>
      </c>
      <c r="G1324" s="22" t="n">
        <v>2.303</v>
      </c>
      <c r="H1324" s="22" t="n">
        <v>2.524</v>
      </c>
      <c r="I1324" s="22" t="n">
        <v>4.41</v>
      </c>
      <c r="J1324" s="22" t="n">
        <v>3.86</v>
      </c>
      <c r="K1324" s="22" t="n">
        <v>4.01</v>
      </c>
      <c r="L1324" s="17">
        <f>$J1324-$B1324</f>
        <v/>
      </c>
      <c r="M1324" s="17">
        <f>$I1324-$L1324</f>
        <v/>
      </c>
      <c r="N1324" s="23">
        <f>($G1324-$M1324)*100</f>
        <v/>
      </c>
      <c r="O1324" s="15">
        <f>($E1324-$C1324)*100</f>
        <v/>
      </c>
      <c r="P1324" s="15">
        <f>($G1324-$E1324)*100</f>
        <v/>
      </c>
      <c r="Q1324" s="15">
        <f>($G1324-$C1324)*100</f>
        <v/>
      </c>
      <c r="R1324" s="15">
        <f>IF($H1324="","",($H1324-$F1324)*100)</f>
        <v/>
      </c>
      <c r="S1324" s="15">
        <f>IF($H1324="","",($H1324-$G1324)*100)</f>
        <v/>
      </c>
    </row>
    <row r="1325">
      <c r="A1325" s="11" t="n">
        <v>45758</v>
      </c>
      <c r="B1325" s="22" t="n">
        <v>0.483</v>
      </c>
      <c r="C1325" s="22" t="n">
        <v>0.611</v>
      </c>
      <c r="D1325" s="22" t="n">
        <v>0.844</v>
      </c>
      <c r="E1325" s="22" t="n">
        <v>1.357</v>
      </c>
      <c r="F1325" s="22" t="n">
        <v>2.325</v>
      </c>
      <c r="G1325" s="22" t="n">
        <v>2.661</v>
      </c>
      <c r="H1325" s="22" t="n">
        <v>2.909</v>
      </c>
      <c r="I1325" s="22" t="n">
        <v>4.85</v>
      </c>
      <c r="J1325" s="22" t="n">
        <v>4.04</v>
      </c>
      <c r="K1325" s="22" t="n">
        <v>4.48</v>
      </c>
      <c r="L1325" s="17">
        <f>$J1325-$B1325</f>
        <v/>
      </c>
      <c r="M1325" s="17">
        <f>$I1325-$L1325</f>
        <v/>
      </c>
      <c r="N1325" s="23">
        <f>($G1325-$M1325)*100</f>
        <v/>
      </c>
      <c r="O1325" s="15">
        <f>($E1325-$C1325)*100</f>
        <v/>
      </c>
      <c r="P1325" s="15">
        <f>($G1325-$E1325)*100</f>
        <v/>
      </c>
      <c r="Q1325" s="15">
        <f>($G1325-$C1325)*100</f>
        <v/>
      </c>
      <c r="R1325" s="15">
        <f>IF($H1325="","",($H1325-$F1325)*100)</f>
        <v/>
      </c>
      <c r="S1325" s="15">
        <f>IF($H1325="","",($H1325-$G1325)*100)</f>
        <v/>
      </c>
    </row>
    <row r="1326">
      <c r="A1326" s="11" t="n">
        <v>45765</v>
      </c>
      <c r="B1326" s="22" t="n">
        <v>0.52</v>
      </c>
      <c r="C1326" s="22" t="n">
        <v>0.636</v>
      </c>
      <c r="D1326" s="22" t="n">
        <v>0.844</v>
      </c>
      <c r="E1326" s="22" t="n">
        <v>1.302</v>
      </c>
      <c r="F1326" s="22" t="n">
        <v>2.27</v>
      </c>
      <c r="G1326" s="22" t="n">
        <v>2.65</v>
      </c>
      <c r="H1326" s="22" t="n">
        <v>2.914</v>
      </c>
      <c r="I1326" s="22" t="n">
        <v>4.8</v>
      </c>
      <c r="J1326" s="22" t="n">
        <v>3.99</v>
      </c>
      <c r="K1326" s="22" t="n">
        <v>4.34</v>
      </c>
      <c r="L1326" s="17">
        <f>$J1326-$B1326</f>
        <v/>
      </c>
      <c r="M1326" s="17">
        <f>$I1326-$L1326</f>
        <v/>
      </c>
      <c r="N1326" s="23">
        <f>($G1326-$M1326)*100</f>
        <v/>
      </c>
      <c r="O1326" s="15">
        <f>($E1326-$C1326)*100</f>
        <v/>
      </c>
      <c r="P1326" s="15">
        <f>($G1326-$E1326)*100</f>
        <v/>
      </c>
      <c r="Q1326" s="15">
        <f>($G1326-$C1326)*100</f>
        <v/>
      </c>
      <c r="R1326" s="15">
        <f>IF($H1326="","",($H1326-$F1326)*100)</f>
        <v/>
      </c>
      <c r="S1326" s="15">
        <f>IF($H1326="","",($H1326-$G1326)*100)</f>
        <v/>
      </c>
    </row>
    <row r="1327">
      <c r="A1327" s="11" t="n">
        <v>45772</v>
      </c>
      <c r="B1327" s="22" t="n">
        <v>0.545</v>
      </c>
      <c r="C1327" s="22" t="n">
        <v>0.6889999999999999</v>
      </c>
      <c r="D1327" s="22" t="n">
        <v>0.903</v>
      </c>
      <c r="E1327" s="22" t="n">
        <v>1.347</v>
      </c>
      <c r="F1327" s="22" t="n">
        <v>2.248</v>
      </c>
      <c r="G1327" s="22" t="n">
        <v>2.639</v>
      </c>
      <c r="H1327" s="22" t="n">
        <v>2.937</v>
      </c>
      <c r="I1327" s="22" t="n">
        <v>4.74</v>
      </c>
      <c r="J1327" s="22" t="n">
        <v>3.95</v>
      </c>
      <c r="K1327" s="22" t="n">
        <v>4.29</v>
      </c>
      <c r="L1327" s="17">
        <f>$J1327-$B1327</f>
        <v/>
      </c>
      <c r="M1327" s="17">
        <f>$I1327-$L1327</f>
        <v/>
      </c>
      <c r="N1327" s="23">
        <f>($G1327-$M1327)*100</f>
        <v/>
      </c>
      <c r="O1327" s="15">
        <f>($E1327-$C1327)*100</f>
        <v/>
      </c>
      <c r="P1327" s="15">
        <f>($G1327-$E1327)*100</f>
        <v/>
      </c>
      <c r="Q1327" s="15">
        <f>($G1327-$C1327)*100</f>
        <v/>
      </c>
      <c r="R1327" s="15">
        <f>IF($H1327="","",($H1327-$F1327)*100)</f>
        <v/>
      </c>
      <c r="S1327" s="15">
        <f>IF($H1327="","",($H1327-$G1327)*100)</f>
        <v/>
      </c>
    </row>
    <row r="1328">
      <c r="A1328" s="11" t="n">
        <v>45779</v>
      </c>
      <c r="B1328" s="22" t="n">
        <v>0.512</v>
      </c>
      <c r="C1328" s="22" t="n">
        <v>0.609</v>
      </c>
      <c r="D1328" s="22" t="n">
        <v>0.83</v>
      </c>
      <c r="E1328" s="22" t="n">
        <v>1.283</v>
      </c>
      <c r="F1328" s="22" t="n">
        <v>2.243</v>
      </c>
      <c r="G1328" s="22" t="n">
        <v>2.693</v>
      </c>
      <c r="H1328" s="22" t="n">
        <v>2.984</v>
      </c>
      <c r="I1328" s="22" t="n">
        <v>4.79</v>
      </c>
      <c r="J1328" s="22" t="n">
        <v>4</v>
      </c>
      <c r="K1328" s="22" t="n">
        <v>4.33</v>
      </c>
      <c r="L1328" s="17">
        <f>$J1328-$B1328</f>
        <v/>
      </c>
      <c r="M1328" s="17">
        <f>$I1328-$L1328</f>
        <v/>
      </c>
      <c r="N1328" s="23">
        <f>($G1328-$M1328)*100</f>
        <v/>
      </c>
      <c r="O1328" s="15">
        <f>($E1328-$C1328)*100</f>
        <v/>
      </c>
      <c r="P1328" s="15">
        <f>($G1328-$E1328)*100</f>
        <v/>
      </c>
      <c r="Q1328" s="15">
        <f>($G1328-$C1328)*100</f>
        <v/>
      </c>
      <c r="R1328" s="15">
        <f>IF($H1328="","",($H1328-$F1328)*100)</f>
        <v/>
      </c>
      <c r="S1328" s="15">
        <f>IF($H1328="","",($H1328-$G1328)*100)</f>
        <v/>
      </c>
    </row>
    <row r="1329">
      <c r="A1329" s="11" t="n">
        <v>45786</v>
      </c>
      <c r="B1329" s="22" t="n">
        <v>0.532</v>
      </c>
      <c r="C1329" s="22" t="n">
        <v>0.634</v>
      </c>
      <c r="D1329" s="22" t="n">
        <v>0.891</v>
      </c>
      <c r="E1329" s="22" t="n">
        <v>1.37</v>
      </c>
      <c r="F1329" s="22" t="n">
        <v>2.356</v>
      </c>
      <c r="G1329" s="22" t="n">
        <v>2.802</v>
      </c>
      <c r="H1329" s="22" t="n">
        <v>3.127</v>
      </c>
      <c r="I1329" s="22" t="n">
        <v>4.83</v>
      </c>
      <c r="J1329" s="22" t="n">
        <v>4.05</v>
      </c>
      <c r="K1329" s="22" t="n">
        <v>4.37</v>
      </c>
      <c r="L1329" s="17">
        <f>$J1329-$B1329</f>
        <v/>
      </c>
      <c r="M1329" s="17">
        <f>$I1329-$L1329</f>
        <v/>
      </c>
      <c r="N1329" s="23">
        <f>($G1329-$M1329)*100</f>
        <v/>
      </c>
      <c r="O1329" s="15">
        <f>($E1329-$C1329)*100</f>
        <v/>
      </c>
      <c r="P1329" s="15">
        <f>($G1329-$E1329)*100</f>
        <v/>
      </c>
      <c r="Q1329" s="15">
        <f>($G1329-$C1329)*100</f>
        <v/>
      </c>
      <c r="R1329" s="15">
        <f>IF($H1329="","",($H1329-$F1329)*100)</f>
        <v/>
      </c>
      <c r="S1329" s="15">
        <f>IF($H1329="","",($H1329-$G1329)*100)</f>
        <v/>
      </c>
    </row>
    <row r="1330">
      <c r="A1330" s="11" t="n">
        <v>45793</v>
      </c>
      <c r="B1330" s="22" t="n">
        <v>0.556</v>
      </c>
      <c r="C1330" s="22" t="n">
        <v>0.707</v>
      </c>
      <c r="D1330" s="22" t="n">
        <v>0.992</v>
      </c>
      <c r="E1330" s="22" t="n">
        <v>1.466</v>
      </c>
      <c r="F1330" s="22" t="n">
        <v>2.387</v>
      </c>
      <c r="G1330" s="22" t="n">
        <v>2.84</v>
      </c>
      <c r="H1330" s="22" t="n">
        <v>3.18</v>
      </c>
      <c r="I1330" s="22" t="n">
        <v>4.89</v>
      </c>
      <c r="J1330" s="22" t="n">
        <v>4.13</v>
      </c>
      <c r="K1330" s="22" t="n">
        <v>4.43</v>
      </c>
      <c r="L1330" s="17">
        <f>$J1330-$B1330</f>
        <v/>
      </c>
      <c r="M1330" s="17">
        <f>$I1330-$L1330</f>
        <v/>
      </c>
      <c r="N1330" s="23">
        <f>($G1330-$M1330)*100</f>
        <v/>
      </c>
      <c r="O1330" s="15">
        <f>($E1330-$C1330)*100</f>
        <v/>
      </c>
      <c r="P1330" s="15">
        <f>($G1330-$E1330)*100</f>
        <v/>
      </c>
      <c r="Q1330" s="15">
        <f>($G1330-$C1330)*100</f>
        <v/>
      </c>
      <c r="R1330" s="15">
        <f>IF($H1330="","",($H1330-$F1330)*100)</f>
        <v/>
      </c>
      <c r="S1330" s="15">
        <f>IF($H1330="","",($H1330-$G1330)*100)</f>
        <v/>
      </c>
    </row>
    <row r="1331">
      <c r="A1331" s="11" t="n">
        <v>45800</v>
      </c>
      <c r="B1331" s="22" t="n">
        <v>0.5570000000000001</v>
      </c>
      <c r="C1331" s="22" t="n">
        <v>0.731</v>
      </c>
      <c r="D1331" s="22" t="n">
        <v>1.044</v>
      </c>
      <c r="E1331" s="22" t="n">
        <v>1.559</v>
      </c>
      <c r="F1331" s="22" t="n">
        <v>2.523</v>
      </c>
      <c r="G1331" s="22" t="n">
        <v>2.925</v>
      </c>
      <c r="H1331" s="22" t="n">
        <v>3.249</v>
      </c>
      <c r="I1331" s="22" t="n">
        <v>5.04</v>
      </c>
      <c r="J1331" s="22" t="n">
        <v>4.15</v>
      </c>
      <c r="K1331" s="22" t="n">
        <v>4.51</v>
      </c>
      <c r="L1331" s="17">
        <f>$J1331-$B1331</f>
        <v/>
      </c>
      <c r="M1331" s="17">
        <f>$I1331-$L1331</f>
        <v/>
      </c>
      <c r="N1331" s="23">
        <f>($G1331-$M1331)*100</f>
        <v/>
      </c>
      <c r="O1331" s="15">
        <f>($E1331-$C1331)*100</f>
        <v/>
      </c>
      <c r="P1331" s="15">
        <f>($G1331-$E1331)*100</f>
        <v/>
      </c>
      <c r="Q1331" s="15">
        <f>($G1331-$C1331)*100</f>
        <v/>
      </c>
      <c r="R1331" s="15">
        <f>IF($H1331="","",($H1331-$F1331)*100)</f>
        <v/>
      </c>
      <c r="S1331" s="15">
        <f>IF($H1331="","",($H1331-$G1331)*100)</f>
        <v/>
      </c>
    </row>
    <row r="1332">
      <c r="A1332" s="11" t="n">
        <v>45807</v>
      </c>
      <c r="B1332" s="22" t="n">
        <v>0.599</v>
      </c>
      <c r="C1332" s="22" t="n">
        <v>0.75</v>
      </c>
      <c r="D1332" s="22" t="n">
        <v>1.029</v>
      </c>
      <c r="E1332" s="22" t="n">
        <v>1.518</v>
      </c>
      <c r="F1332" s="22" t="n">
        <v>2.419</v>
      </c>
      <c r="G1332" s="22" t="n">
        <v>2.846</v>
      </c>
      <c r="H1332" s="22" t="n">
        <v>3.108</v>
      </c>
      <c r="I1332" s="22" t="n">
        <v>4.92</v>
      </c>
      <c r="J1332" s="22" t="n">
        <v>4.11</v>
      </c>
      <c r="K1332" s="22" t="n">
        <v>4.41</v>
      </c>
      <c r="L1332" s="17">
        <f>$J1332-$B1332</f>
        <v/>
      </c>
      <c r="M1332" s="17">
        <f>$I1332-$L1332</f>
        <v/>
      </c>
      <c r="N1332" s="23">
        <f>($G1332-$M1332)*100</f>
        <v/>
      </c>
      <c r="O1332" s="15">
        <f>($E1332-$C1332)*100</f>
        <v/>
      </c>
      <c r="P1332" s="15">
        <f>($G1332-$E1332)*100</f>
        <v/>
      </c>
      <c r="Q1332" s="15">
        <f>($G1332-$C1332)*100</f>
        <v/>
      </c>
      <c r="R1332" s="15">
        <f>IF($H1332="","",($H1332-$F1332)*100)</f>
        <v/>
      </c>
      <c r="S1332" s="15">
        <f>IF($H1332="","",($H1332-$G1332)*100)</f>
        <v/>
      </c>
    </row>
    <row r="1333">
      <c r="A1333" s="11" t="n">
        <v>45814</v>
      </c>
      <c r="B1333" s="22" t="n">
        <v>0.569</v>
      </c>
      <c r="C1333" s="22" t="n">
        <v>0.76</v>
      </c>
      <c r="D1333" s="22" t="n">
        <v>1.023</v>
      </c>
      <c r="E1333" s="22" t="n">
        <v>1.477</v>
      </c>
      <c r="F1333" s="22" t="n">
        <v>2.35</v>
      </c>
      <c r="G1333" s="22" t="n">
        <v>2.78</v>
      </c>
      <c r="H1333" s="22" t="n">
        <v>3.053</v>
      </c>
      <c r="I1333" s="22" t="n">
        <v>4.97</v>
      </c>
      <c r="J1333" s="22" t="n">
        <v>4.14</v>
      </c>
      <c r="K1333" s="22" t="n">
        <v>4.51</v>
      </c>
      <c r="L1333" s="17">
        <f>$J1333-$B1333</f>
        <v/>
      </c>
      <c r="M1333" s="17">
        <f>$I1333-$L1333</f>
        <v/>
      </c>
      <c r="N1333" s="23">
        <f>($G1333-$M1333)*100</f>
        <v/>
      </c>
      <c r="O1333" s="15">
        <f>($E1333-$C1333)*100</f>
        <v/>
      </c>
      <c r="P1333" s="15">
        <f>($G1333-$E1333)*100</f>
        <v/>
      </c>
      <c r="Q1333" s="15">
        <f>($G1333-$C1333)*100</f>
        <v/>
      </c>
      <c r="R1333" s="15">
        <f>IF($H1333="","",($H1333-$F1333)*100)</f>
        <v/>
      </c>
      <c r="S1333" s="15">
        <f>IF($H1333="","",($H1333-$G1333)*100)</f>
        <v/>
      </c>
    </row>
    <row r="1334">
      <c r="A1334" s="11" t="n">
        <v>45821</v>
      </c>
      <c r="B1334" s="22" t="n">
        <v>0.553</v>
      </c>
      <c r="C1334" s="22" t="n">
        <v>0.736</v>
      </c>
      <c r="D1334" s="22" t="n">
        <v>0.979</v>
      </c>
      <c r="E1334" s="22" t="n">
        <v>1.429</v>
      </c>
      <c r="F1334" s="22" t="n">
        <v>2.363</v>
      </c>
      <c r="G1334" s="22" t="n">
        <v>2.781</v>
      </c>
      <c r="H1334" s="22" t="n">
        <v>3.066</v>
      </c>
      <c r="I1334" s="22" t="n">
        <v>4.9</v>
      </c>
      <c r="J1334" s="22" t="n">
        <v>4.09</v>
      </c>
      <c r="K1334" s="22" t="n">
        <v>4.41</v>
      </c>
      <c r="L1334" s="17">
        <f>$J1334-$B1334</f>
        <v/>
      </c>
      <c r="M1334" s="17">
        <f>$I1334-$L1334</f>
        <v/>
      </c>
      <c r="N1334" s="23">
        <f>($G1334-$M1334)*100</f>
        <v/>
      </c>
      <c r="O1334" s="15">
        <f>($E1334-$C1334)*100</f>
        <v/>
      </c>
      <c r="P1334" s="15">
        <f>($G1334-$E1334)*100</f>
        <v/>
      </c>
      <c r="Q1334" s="15">
        <f>($G1334-$C1334)*100</f>
        <v/>
      </c>
      <c r="R1334" s="15">
        <f>IF($H1334="","",($H1334-$F1334)*100)</f>
        <v/>
      </c>
      <c r="S1334" s="15">
        <f>IF($H1334="","",($H1334-$G1334)*100)</f>
        <v/>
      </c>
    </row>
    <row r="1335">
      <c r="A1335" s="11" t="n">
        <v>45828</v>
      </c>
      <c r="B1335" s="22" t="n">
        <v>0.544</v>
      </c>
      <c r="C1335" s="22" t="n">
        <v>0.728</v>
      </c>
      <c r="D1335" s="22" t="n">
        <v>0.965</v>
      </c>
      <c r="E1335" s="22" t="n">
        <v>1.424</v>
      </c>
      <c r="F1335" s="22" t="n">
        <v>2.375</v>
      </c>
      <c r="G1335" s="22" t="n">
        <v>2.798</v>
      </c>
      <c r="H1335" s="22" t="n">
        <v>3.102</v>
      </c>
      <c r="I1335" s="22" t="n">
        <v>4.89</v>
      </c>
      <c r="J1335" s="22" t="n">
        <v>4.07</v>
      </c>
      <c r="K1335" s="22" t="n">
        <v>4.38</v>
      </c>
      <c r="L1335" s="17">
        <f>$J1335-$B1335</f>
        <v/>
      </c>
      <c r="M1335" s="17">
        <f>$I1335-$L1335</f>
        <v/>
      </c>
      <c r="N1335" s="23">
        <f>($G1335-$M1335)*100</f>
        <v/>
      </c>
      <c r="O1335" s="15">
        <f>($E1335-$C1335)*100</f>
        <v/>
      </c>
      <c r="P1335" s="15">
        <f>($G1335-$E1335)*100</f>
        <v/>
      </c>
      <c r="Q1335" s="15">
        <f>($G1335-$C1335)*100</f>
        <v/>
      </c>
      <c r="R1335" s="15">
        <f>IF($H1335="","",($H1335-$F1335)*100)</f>
        <v/>
      </c>
      <c r="S1335" s="15">
        <f>IF($H1335="","",($H1335-$G1335)*100)</f>
        <v/>
      </c>
    </row>
    <row r="1336">
      <c r="A1336" s="11" t="n">
        <v>45835</v>
      </c>
      <c r="B1336" s="22" t="n">
        <v>0.5679999999999999</v>
      </c>
      <c r="C1336" s="22" t="n">
        <v>0.74</v>
      </c>
      <c r="D1336" s="22" t="n">
        <v>0.994</v>
      </c>
      <c r="E1336" s="22" t="n">
        <v>1.459</v>
      </c>
      <c r="F1336" s="22" t="n">
        <v>2.353</v>
      </c>
      <c r="G1336" s="22" t="n">
        <v>2.8</v>
      </c>
      <c r="H1336" s="22" t="n">
        <v>3.094</v>
      </c>
      <c r="I1336" s="22" t="n">
        <v>4.85</v>
      </c>
      <c r="J1336" s="22" t="n">
        <v>3.97</v>
      </c>
      <c r="K1336" s="22" t="n">
        <v>4.29</v>
      </c>
      <c r="L1336" s="17">
        <f>$J1336-$B1336</f>
        <v/>
      </c>
      <c r="M1336" s="17">
        <f>$I1336-$L1336</f>
        <v/>
      </c>
      <c r="N1336" s="23">
        <f>($G1336-$M1336)*100</f>
        <v/>
      </c>
      <c r="O1336" s="15">
        <f>($E1336-$C1336)*100</f>
        <v/>
      </c>
      <c r="P1336" s="15">
        <f>($G1336-$E1336)*100</f>
        <v/>
      </c>
      <c r="Q1336" s="15">
        <f>($G1336-$C1336)*100</f>
        <v/>
      </c>
      <c r="R1336" s="15">
        <f>IF($H1336="","",($H1336-$F1336)*100)</f>
        <v/>
      </c>
      <c r="S1336" s="15">
        <f>IF($H1336="","",($H1336-$G1336)*100)</f>
        <v/>
      </c>
    </row>
    <row r="1337">
      <c r="A1337" s="11" t="n">
        <v>45842</v>
      </c>
      <c r="B1337" s="22" t="n">
        <v>0.583</v>
      </c>
      <c r="C1337" s="22" t="n">
        <v>0.736</v>
      </c>
      <c r="D1337" s="22" t="n">
        <v>0.992</v>
      </c>
      <c r="E1337" s="22" t="n">
        <v>1.444</v>
      </c>
      <c r="F1337" s="22" t="n">
        <v>2.391</v>
      </c>
      <c r="G1337" s="22" t="n">
        <v>2.852</v>
      </c>
      <c r="H1337" s="22" t="n">
        <v>3.129</v>
      </c>
      <c r="I1337" s="22" t="n">
        <v>4.86</v>
      </c>
      <c r="J1337" s="22" t="n">
        <v>4.07</v>
      </c>
      <c r="K1337" s="22" t="n">
        <v>4.35</v>
      </c>
      <c r="L1337" s="17">
        <f>$J1337-$B1337</f>
        <v/>
      </c>
      <c r="M1337" s="17">
        <f>$I1337-$L1337</f>
        <v/>
      </c>
      <c r="N1337" s="23">
        <f>($G1337-$M1337)*100</f>
        <v/>
      </c>
      <c r="O1337" s="15">
        <f>($E1337-$C1337)*100</f>
        <v/>
      </c>
      <c r="P1337" s="15">
        <f>($G1337-$E1337)*100</f>
        <v/>
      </c>
      <c r="Q1337" s="15">
        <f>($G1337-$C1337)*100</f>
        <v/>
      </c>
      <c r="R1337" s="15">
        <f>IF($H1337="","",($H1337-$F1337)*100)</f>
        <v/>
      </c>
      <c r="S1337" s="15">
        <f>IF($H1337="","",($H1337-$G1337)*100)</f>
        <v/>
      </c>
    </row>
    <row r="1338">
      <c r="A1338" s="11" t="n">
        <v>45849</v>
      </c>
      <c r="B1338" s="22" t="n">
        <v>0.591</v>
      </c>
      <c r="C1338" s="22" t="n">
        <v>0.764</v>
      </c>
      <c r="D1338" s="22" t="n">
        <v>1.035</v>
      </c>
      <c r="E1338" s="22" t="n">
        <v>1.507</v>
      </c>
      <c r="F1338" s="22" t="n">
        <v>2.503</v>
      </c>
      <c r="G1338" s="22" t="n">
        <v>2.992</v>
      </c>
      <c r="H1338" s="22" t="n">
        <v>3.278</v>
      </c>
      <c r="I1338" s="22" t="n">
        <v>4.96</v>
      </c>
      <c r="J1338" s="22" t="n">
        <v>4.09</v>
      </c>
      <c r="K1338" s="22" t="n">
        <v>4.43</v>
      </c>
      <c r="L1338" s="17">
        <f>$J1338-$B1338</f>
        <v/>
      </c>
      <c r="M1338" s="17">
        <f>$I1338-$L1338</f>
        <v/>
      </c>
      <c r="N1338" s="23">
        <f>($G1338-$M1338)*100</f>
        <v/>
      </c>
      <c r="O1338" s="15">
        <f>($E1338-$C1338)*100</f>
        <v/>
      </c>
      <c r="P1338" s="15">
        <f>($G1338-$E1338)*100</f>
        <v/>
      </c>
      <c r="Q1338" s="15">
        <f>($G1338-$C1338)*100</f>
        <v/>
      </c>
      <c r="R1338" s="15">
        <f>IF($H1338="","",($H1338-$F1338)*100)</f>
        <v/>
      </c>
      <c r="S1338" s="15">
        <f>IF($H1338="","",($H1338-$G1338)*100)</f>
        <v/>
      </c>
    </row>
    <row r="1339">
      <c r="A1339" s="11" t="n">
        <v>45856</v>
      </c>
      <c r="B1339" s="22" t="n">
        <v>0.608</v>
      </c>
      <c r="C1339" s="22" t="n">
        <v>0.772</v>
      </c>
      <c r="D1339" s="22" t="n">
        <v>1.046</v>
      </c>
      <c r="E1339" s="22" t="n">
        <v>1.528</v>
      </c>
      <c r="F1339" s="22" t="n">
        <v>2.526</v>
      </c>
      <c r="G1339" s="22" t="n">
        <v>3.014</v>
      </c>
      <c r="H1339" s="22" t="n">
        <v>3.302</v>
      </c>
      <c r="I1339" s="22" t="n">
        <v>5</v>
      </c>
      <c r="J1339" s="22" t="n">
        <v>4.08</v>
      </c>
      <c r="K1339" s="22" t="n">
        <v>4.44</v>
      </c>
      <c r="L1339" s="17">
        <f>$J1339-$B1339</f>
        <v/>
      </c>
      <c r="M1339" s="17">
        <f>$I1339-$L1339</f>
        <v/>
      </c>
      <c r="N1339" s="23">
        <f>($G1339-$M1339)*100</f>
        <v/>
      </c>
      <c r="O1339" s="15">
        <f>($E1339-$C1339)*100</f>
        <v/>
      </c>
      <c r="P1339" s="15">
        <f>($G1339-$E1339)*100</f>
        <v/>
      </c>
      <c r="Q1339" s="15">
        <f>($G1339-$C1339)*100</f>
        <v/>
      </c>
      <c r="R1339" s="15">
        <f>IF($H1339="","",($H1339-$F1339)*100)</f>
        <v/>
      </c>
      <c r="S1339" s="15">
        <f>IF($H1339="","",($H1339-$G1339)*100)</f>
        <v/>
      </c>
    </row>
    <row r="1340">
      <c r="A1340" s="11" t="n">
        <v>45863</v>
      </c>
      <c r="B1340" s="22" t="n">
        <v>0.6840000000000001</v>
      </c>
      <c r="C1340" s="22" t="n">
        <v>0.863</v>
      </c>
      <c r="D1340" s="22" t="n">
        <v>1.155</v>
      </c>
      <c r="E1340" s="22" t="n">
        <v>1.605</v>
      </c>
      <c r="F1340" s="22" t="n">
        <v>2.553</v>
      </c>
      <c r="G1340" s="22" t="n">
        <v>3.006</v>
      </c>
      <c r="H1340" s="22" t="n">
        <v>3.301</v>
      </c>
      <c r="I1340" s="22" t="n">
        <v>4.92</v>
      </c>
      <c r="J1340" s="22" t="n">
        <v>4.09</v>
      </c>
      <c r="K1340" s="22" t="n">
        <v>4.4</v>
      </c>
      <c r="L1340" s="17">
        <f>$J1340-$B1340</f>
        <v/>
      </c>
      <c r="M1340" s="17">
        <f>$I1340-$L1340</f>
        <v/>
      </c>
      <c r="N1340" s="23">
        <f>($G1340-$M1340)*100</f>
        <v/>
      </c>
      <c r="O1340" s="15">
        <f>($E1340-$C1340)*100</f>
        <v/>
      </c>
      <c r="P1340" s="15">
        <f>($G1340-$E1340)*100</f>
        <v/>
      </c>
      <c r="Q1340" s="15">
        <f>($G1340-$C1340)*100</f>
        <v/>
      </c>
      <c r="R1340" s="15">
        <f>IF($H1340="","",($H1340-$F1340)*100)</f>
        <v/>
      </c>
      <c r="S1340" s="15">
        <f>IF($H1340="","",($H1340-$G1340)*100)</f>
        <v/>
      </c>
    </row>
    <row r="1341">
      <c r="A1341" s="11" t="n">
        <v>45870</v>
      </c>
      <c r="B1341" s="22" t="n">
        <v>0.661</v>
      </c>
      <c r="C1341" s="22" t="n">
        <v>0.8139999999999999</v>
      </c>
      <c r="D1341" s="22" t="n">
        <v>1.089</v>
      </c>
      <c r="E1341" s="22" t="n">
        <v>1.56</v>
      </c>
      <c r="F1341" s="22" t="n">
        <v>2.55</v>
      </c>
      <c r="G1341" s="22" t="n">
        <v>3.037</v>
      </c>
      <c r="H1341" s="22" t="n">
        <v>3.311</v>
      </c>
      <c r="I1341" s="22" t="n">
        <v>4.81</v>
      </c>
      <c r="J1341" s="22" t="n">
        <v>3.87</v>
      </c>
      <c r="K1341" s="22" t="n">
        <v>4.23</v>
      </c>
      <c r="L1341" s="17">
        <f>$J1341-$B1341</f>
        <v/>
      </c>
      <c r="M1341" s="17">
        <f>$I1341-$L1341</f>
        <v/>
      </c>
      <c r="N1341" s="23">
        <f>($G1341-$M1341)*100</f>
        <v/>
      </c>
      <c r="O1341" s="15">
        <f>($E1341-$C1341)*100</f>
        <v/>
      </c>
      <c r="P1341" s="15">
        <f>($G1341-$E1341)*100</f>
        <v/>
      </c>
      <c r="Q1341" s="15">
        <f>($G1341-$C1341)*100</f>
        <v/>
      </c>
      <c r="R1341" s="15">
        <f>IF($H1341="","",($H1341-$F1341)*100)</f>
        <v/>
      </c>
      <c r="S1341" s="15">
        <f>IF($H1341="","",($H1341-$G1341)*100)</f>
        <v/>
      </c>
    </row>
    <row r="1342">
      <c r="A1342" s="11" t="n">
        <v>45877</v>
      </c>
      <c r="B1342" s="22" t="n">
        <v>0.627</v>
      </c>
      <c r="C1342" s="22" t="n">
        <v>0.77</v>
      </c>
      <c r="D1342" s="22" t="n">
        <v>1.045</v>
      </c>
      <c r="E1342" s="22" t="n">
        <v>1.502</v>
      </c>
      <c r="F1342" s="22" t="n">
        <v>2.519</v>
      </c>
      <c r="G1342" s="22" t="n">
        <v>3.014</v>
      </c>
      <c r="H1342" s="22" t="n">
        <v>3.251</v>
      </c>
      <c r="I1342" s="22" t="n">
        <v>4.85</v>
      </c>
      <c r="J1342" s="22" t="n">
        <v>3.93</v>
      </c>
      <c r="K1342" s="22" t="n">
        <v>4.27</v>
      </c>
      <c r="L1342" s="17">
        <f>$J1342-$B1342</f>
        <v/>
      </c>
      <c r="M1342" s="17">
        <f>$I1342-$L1342</f>
        <v/>
      </c>
      <c r="N1342" s="23">
        <f>($G1342-$M1342)*100</f>
        <v/>
      </c>
      <c r="O1342" s="15">
        <f>($E1342-$C1342)*100</f>
        <v/>
      </c>
      <c r="P1342" s="15">
        <f>($G1342-$E1342)*100</f>
        <v/>
      </c>
      <c r="Q1342" s="15">
        <f>($G1342-$C1342)*100</f>
        <v/>
      </c>
      <c r="R1342" s="15">
        <f>IF($H1342="","",($H1342-$F1342)*100)</f>
        <v/>
      </c>
      <c r="S1342" s="15">
        <f>IF($H1342="","",($H1342-$G1342)*100)</f>
        <v/>
      </c>
    </row>
    <row r="1343">
      <c r="A1343" s="11" t="n">
        <v>45884</v>
      </c>
      <c r="B1343" s="22" t="n">
        <v>0.653</v>
      </c>
      <c r="C1343" s="22" t="n">
        <v>0.826</v>
      </c>
      <c r="D1343" s="22" t="n">
        <v>1.12</v>
      </c>
      <c r="E1343" s="22" t="n">
        <v>1.574</v>
      </c>
      <c r="F1343" s="22" t="n">
        <v>2.56</v>
      </c>
      <c r="G1343" s="22" t="n">
        <v>3.032</v>
      </c>
      <c r="H1343" s="22" t="n">
        <v>3.277</v>
      </c>
      <c r="I1343" s="22" t="n">
        <v>4.92</v>
      </c>
      <c r="J1343" s="22" t="n">
        <v>3.93</v>
      </c>
      <c r="K1343" s="22" t="n">
        <v>4.33</v>
      </c>
      <c r="L1343" s="17">
        <f>$J1343-$B1343</f>
        <v/>
      </c>
      <c r="M1343" s="17">
        <f>$I1343-$L1343</f>
        <v/>
      </c>
      <c r="N1343" s="23">
        <f>($G1343-$M1343)*100</f>
        <v/>
      </c>
      <c r="O1343" s="15">
        <f>($E1343-$C1343)*100</f>
        <v/>
      </c>
      <c r="P1343" s="15">
        <f>($G1343-$E1343)*100</f>
        <v/>
      </c>
      <c r="Q1343" s="15">
        <f>($G1343-$C1343)*100</f>
        <v/>
      </c>
      <c r="R1343" s="15">
        <f>IF($H1343="","",($H1343-$F1343)*100)</f>
        <v/>
      </c>
      <c r="S1343" s="15">
        <f>IF($H1343="","",($H1343-$G1343)*100)</f>
        <v/>
      </c>
    </row>
    <row r="1344">
      <c r="A1344" s="11" t="n">
        <v>45891</v>
      </c>
      <c r="B1344" s="22" t="n">
        <v>0.68</v>
      </c>
      <c r="C1344" s="22" t="n">
        <v>0.873</v>
      </c>
      <c r="D1344" s="22" t="n">
        <v>1.164</v>
      </c>
      <c r="E1344" s="22" t="n">
        <v>1.626</v>
      </c>
      <c r="F1344" s="22" t="n">
        <v>2.651</v>
      </c>
      <c r="G1344" s="22" t="n">
        <v>3.12</v>
      </c>
      <c r="H1344" s="22" t="n">
        <v>3.368</v>
      </c>
      <c r="I1344" s="22" t="n">
        <v>4.88</v>
      </c>
      <c r="J1344" s="22" t="n">
        <v>3.87</v>
      </c>
      <c r="K1344" s="22" t="n">
        <v>4.26</v>
      </c>
      <c r="L1344" s="17">
        <f>$J1344-$B1344</f>
        <v/>
      </c>
      <c r="M1344" s="17">
        <f>$I1344-$L1344</f>
        <v/>
      </c>
      <c r="N1344" s="23">
        <f>($G1344-$M1344)*100</f>
        <v/>
      </c>
      <c r="O1344" s="15">
        <f>($E1344-$C1344)*100</f>
        <v/>
      </c>
      <c r="P1344" s="15">
        <f>($G1344-$E1344)*100</f>
        <v/>
      </c>
      <c r="Q1344" s="15">
        <f>($G1344-$C1344)*100</f>
        <v/>
      </c>
      <c r="R1344" s="15">
        <f>IF($H1344="","",($H1344-$F1344)*100)</f>
        <v/>
      </c>
      <c r="S1344" s="15">
        <f>IF($H1344="","",($H1344-$G1344)*100)</f>
        <v/>
      </c>
    </row>
    <row r="1345">
      <c r="A1345" s="11" t="n">
        <v>45898</v>
      </c>
      <c r="B1345" s="22" t="n">
        <v>0.712</v>
      </c>
      <c r="C1345" s="22" t="n">
        <v>0.871</v>
      </c>
      <c r="D1345" s="22" t="n">
        <v>1.162</v>
      </c>
      <c r="E1345" s="22" t="n">
        <v>1.613</v>
      </c>
      <c r="F1345" s="22" t="n">
        <v>2.596</v>
      </c>
      <c r="G1345" s="22" t="n">
        <v>3.096</v>
      </c>
      <c r="H1345" s="22" t="n">
        <v>3.348</v>
      </c>
      <c r="I1345" s="22" t="n">
        <v>4.92</v>
      </c>
      <c r="J1345" s="22" t="n">
        <v>3.83</v>
      </c>
      <c r="K1345" s="22" t="n">
        <v>4.23</v>
      </c>
      <c r="L1345" s="17">
        <f>$J1345-$B1345</f>
        <v/>
      </c>
      <c r="M1345" s="17">
        <f>$I1345-$L1345</f>
        <v/>
      </c>
      <c r="N1345" s="23">
        <f>($G1345-$M1345)*100</f>
        <v/>
      </c>
      <c r="O1345" s="15">
        <f>($E1345-$C1345)*100</f>
        <v/>
      </c>
      <c r="P1345" s="15">
        <f>($G1345-$E1345)*100</f>
        <v/>
      </c>
      <c r="Q1345" s="15">
        <f>($G1345-$C1345)*100</f>
        <v/>
      </c>
      <c r="R1345" s="15">
        <f>IF($H1345="","",($H1345-$F1345)*100)</f>
        <v/>
      </c>
      <c r="S1345" s="15">
        <f>IF($H1345="","",($H1345-$G1345)*100)</f>
        <v/>
      </c>
    </row>
    <row r="1346">
      <c r="A1346" s="11" t="n">
        <v>45905</v>
      </c>
      <c r="B1346" s="22" t="n">
        <v>0.6860000000000001</v>
      </c>
      <c r="C1346" s="22" t="n">
        <v>0.841</v>
      </c>
      <c r="D1346" s="22" t="n">
        <v>1.119</v>
      </c>
      <c r="E1346" s="22" t="n">
        <v>1.59</v>
      </c>
      <c r="F1346" s="22" t="n">
        <v>2.63</v>
      </c>
      <c r="G1346" s="22" t="n">
        <v>3.128</v>
      </c>
      <c r="H1346" s="22" t="n">
        <v>3.388</v>
      </c>
      <c r="I1346" s="22" t="n">
        <v>4.78</v>
      </c>
      <c r="J1346" s="22" t="n">
        <v>3.65</v>
      </c>
      <c r="K1346" s="22" t="n">
        <v>4.1</v>
      </c>
      <c r="L1346" s="17">
        <f>$J1346-$B1346</f>
        <v/>
      </c>
      <c r="M1346" s="17">
        <f>$I1346-$L1346</f>
        <v/>
      </c>
      <c r="N1346" s="23">
        <f>($G1346-$M1346)*100</f>
        <v/>
      </c>
      <c r="O1346" s="15">
        <f>($E1346-$C1346)*100</f>
        <v/>
      </c>
      <c r="P1346" s="15">
        <f>($G1346-$E1346)*100</f>
        <v/>
      </c>
      <c r="Q1346" s="15">
        <f>($G1346-$C1346)*100</f>
        <v/>
      </c>
      <c r="R1346" s="15">
        <f>IF($H1346="","",($H1346-$F1346)*100)</f>
        <v/>
      </c>
      <c r="S1346" s="15">
        <f>IF($H1346="","",($H1346-$G1346)*100)</f>
        <v/>
      </c>
    </row>
    <row r="1347">
      <c r="A1347" s="11" t="n">
        <v>45912</v>
      </c>
      <c r="B1347" s="22" t="n">
        <v>0.696</v>
      </c>
      <c r="C1347" s="22" t="n">
        <v>0.873</v>
      </c>
      <c r="D1347" s="22" t="n">
        <v>1.156</v>
      </c>
      <c r="E1347" s="22" t="n">
        <v>1.613</v>
      </c>
      <c r="F1347" s="22" t="n">
        <v>2.634</v>
      </c>
      <c r="G1347" s="22" t="n">
        <v>3.103</v>
      </c>
      <c r="H1347" s="22" t="n">
        <v>3.351</v>
      </c>
      <c r="I1347" s="22" t="n">
        <v>4.68</v>
      </c>
      <c r="J1347" s="22" t="n">
        <v>3.66</v>
      </c>
      <c r="K1347" s="22" t="n">
        <v>4.06</v>
      </c>
      <c r="L1347" s="17">
        <f>$J1347-$B1347</f>
        <v/>
      </c>
      <c r="M1347" s="17">
        <f>$I1347-$L1347</f>
        <v/>
      </c>
      <c r="N1347" s="23">
        <f>($G1347-$M1347)*100</f>
        <v/>
      </c>
      <c r="O1347" s="15">
        <f>($E1347-$C1347)*100</f>
        <v/>
      </c>
      <c r="P1347" s="15">
        <f>($G1347-$E1347)*100</f>
        <v/>
      </c>
      <c r="Q1347" s="15">
        <f>($G1347-$C1347)*100</f>
        <v/>
      </c>
      <c r="R1347" s="15">
        <f>IF($H1347="","",($H1347-$F1347)*100)</f>
        <v/>
      </c>
      <c r="S1347" s="15">
        <f>IF($H1347="","",($H1347-$G1347)*100)</f>
        <v/>
      </c>
    </row>
    <row r="1348">
      <c r="A1348" s="11" t="n">
        <v>45919</v>
      </c>
      <c r="B1348" s="22" t="n">
        <v>0.747</v>
      </c>
      <c r="C1348" s="22" t="n">
        <v>0.918</v>
      </c>
      <c r="D1348" s="22" t="n">
        <v>1.214</v>
      </c>
      <c r="E1348" s="22" t="n">
        <v>1.655</v>
      </c>
      <c r="F1348" s="22" t="n">
        <v>2.625</v>
      </c>
      <c r="G1348" s="22" t="n">
        <v>3.072</v>
      </c>
      <c r="H1348" s="22" t="n">
        <v>3.32</v>
      </c>
      <c r="I1348" s="22" t="n">
        <v>4.75</v>
      </c>
      <c r="J1348" s="22" t="n">
        <v>3.6</v>
      </c>
      <c r="K1348" s="22" t="n">
        <v>4.14</v>
      </c>
      <c r="L1348" s="17">
        <f>$J1348-$B1348</f>
        <v/>
      </c>
      <c r="M1348" s="17">
        <f>$I1348-$L1348</f>
        <v/>
      </c>
      <c r="N1348" s="23">
        <f>($G1348-$M1348)*100</f>
        <v/>
      </c>
      <c r="O1348" s="15">
        <f>($E1348-$C1348)*100</f>
        <v/>
      </c>
      <c r="P1348" s="15">
        <f>($G1348-$E1348)*100</f>
        <v/>
      </c>
      <c r="Q1348" s="15">
        <f>($G1348-$C1348)*100</f>
        <v/>
      </c>
      <c r="R1348" s="15">
        <f>IF($H1348="","",($H1348-$F1348)*100)</f>
        <v/>
      </c>
      <c r="S1348" s="15">
        <f>IF($H1348="","",($H1348-$G1348)*100)</f>
        <v/>
      </c>
    </row>
    <row r="1349">
      <c r="A1349" s="11" t="n">
        <v>45926</v>
      </c>
      <c r="B1349" s="22" t="n">
        <v>0.771</v>
      </c>
      <c r="C1349" s="22" t="n">
        <v>0.931</v>
      </c>
      <c r="D1349" s="22" t="n">
        <v>1.245</v>
      </c>
      <c r="E1349" s="22" t="n">
        <v>1.669</v>
      </c>
      <c r="F1349" s="22" t="n">
        <v>2.624</v>
      </c>
      <c r="G1349" s="22" t="n">
        <v>3.084</v>
      </c>
      <c r="H1349" s="22" t="n">
        <v>3.341</v>
      </c>
      <c r="I1349" s="22" t="n">
        <v>4.77</v>
      </c>
      <c r="J1349" s="22" t="n">
        <v>3.67</v>
      </c>
      <c r="K1349" s="22" t="n">
        <v>4.2</v>
      </c>
      <c r="L1349" s="17">
        <f>$J1349-$B1349</f>
        <v/>
      </c>
      <c r="M1349" s="17">
        <f>$I1349-$L1349</f>
        <v/>
      </c>
      <c r="N1349" s="23">
        <f>($G1349-$M1349)*100</f>
        <v/>
      </c>
      <c r="O1349" s="15">
        <f>($E1349-$C1349)*100</f>
        <v/>
      </c>
      <c r="P1349" s="15">
        <f>($G1349-$E1349)*100</f>
        <v/>
      </c>
      <c r="Q1349" s="15">
        <f>($G1349-$C1349)*100</f>
        <v/>
      </c>
      <c r="R1349" s="15">
        <f>IF($H1349="","",($H1349-$F1349)*100)</f>
        <v/>
      </c>
      <c r="S1349" s="15">
        <f>IF($H1349="","",($H1349-$G1349)*100)</f>
        <v/>
      </c>
    </row>
    <row r="1350">
      <c r="A1350" s="11" t="n">
        <v>45933</v>
      </c>
      <c r="B1350" s="22" t="n">
        <v>0.775</v>
      </c>
      <c r="C1350" s="22" t="n">
        <v>0.945</v>
      </c>
      <c r="D1350" s="22" t="n">
        <v>1.241</v>
      </c>
      <c r="E1350" s="22" t="n">
        <v>1.667</v>
      </c>
      <c r="F1350" s="22" t="n">
        <v>2.614</v>
      </c>
      <c r="G1350" s="22" t="n">
        <v>3.072</v>
      </c>
      <c r="H1350" s="22" t="n">
        <v>3.329</v>
      </c>
      <c r="I1350" s="22" t="n">
        <v>4.71</v>
      </c>
      <c r="J1350" s="22" t="n">
        <v>3.64</v>
      </c>
      <c r="K1350" s="22" t="n">
        <v>4.13</v>
      </c>
      <c r="L1350" s="17">
        <f>$J1350-$B1350</f>
        <v/>
      </c>
      <c r="M1350" s="17">
        <f>$I1350-$L1350</f>
        <v/>
      </c>
      <c r="N1350" s="23">
        <f>($G1350-$M1350)*100</f>
        <v/>
      </c>
      <c r="O1350" s="15">
        <f>($E1350-$C1350)*100</f>
        <v/>
      </c>
      <c r="P1350" s="15">
        <f>($G1350-$E1350)*100</f>
        <v/>
      </c>
      <c r="Q1350" s="15">
        <f>($G1350-$C1350)*100</f>
        <v/>
      </c>
      <c r="R1350" s="15">
        <f>IF($H1350="","",($H1350-$F1350)*100)</f>
        <v/>
      </c>
      <c r="S1350" s="15">
        <f>IF($H1350="","",($H1350-$G1350)*100)</f>
        <v/>
      </c>
    </row>
    <row r="1351">
      <c r="A1351" s="11" t="n">
        <v>45940</v>
      </c>
      <c r="B1351" s="22" t="n">
        <v>0.747</v>
      </c>
      <c r="C1351" s="22" t="n">
        <v>0.925</v>
      </c>
      <c r="D1351" s="22" t="n">
        <v>1.231</v>
      </c>
      <c r="E1351" s="22" t="n">
        <v>1.697</v>
      </c>
      <c r="F1351" s="22" t="n">
        <v>2.693</v>
      </c>
      <c r="G1351" s="22" t="n">
        <v>3.187</v>
      </c>
      <c r="H1351" s="22" t="n">
        <v>3.385</v>
      </c>
      <c r="I1351" s="22" t="n">
        <v>4.63</v>
      </c>
      <c r="J1351" s="22" t="n">
        <v>3.6</v>
      </c>
      <c r="K1351" s="22" t="n">
        <v>4.05</v>
      </c>
      <c r="L1351" s="17">
        <f>$J1351-$B1351</f>
        <v/>
      </c>
      <c r="M1351" s="17">
        <f>$I1351-$L1351</f>
        <v/>
      </c>
      <c r="N1351" s="23">
        <f>($G1351-$M1351)*100</f>
        <v/>
      </c>
      <c r="O1351" s="15">
        <f>($E1351-$C1351)*100</f>
        <v/>
      </c>
      <c r="P1351" s="15">
        <f>($G1351-$E1351)*100</f>
        <v/>
      </c>
      <c r="Q1351" s="15">
        <f>($G1351-$C1351)*100</f>
        <v/>
      </c>
      <c r="R1351" s="15">
        <f>IF($H1351="","",($H1351-$F1351)*100)</f>
        <v/>
      </c>
      <c r="S1351" s="15">
        <f>IF($H1351="","",($H1351-$G1351)*100)</f>
        <v/>
      </c>
    </row>
    <row r="1352">
      <c r="A1352" s="11" t="n">
        <v>45947</v>
      </c>
      <c r="B1352" s="22" t="n">
        <v>0.722</v>
      </c>
      <c r="C1352" s="22" t="n">
        <v>0.909</v>
      </c>
      <c r="D1352" s="22" t="n">
        <v>1.199</v>
      </c>
      <c r="E1352" s="22" t="n">
        <v>1.638</v>
      </c>
      <c r="F1352" s="22" t="n">
        <v>2.651</v>
      </c>
      <c r="G1352" s="22" t="n">
        <v>3.134</v>
      </c>
      <c r="H1352" s="22" t="n">
        <v>3.357</v>
      </c>
      <c r="I1352" s="22" t="n">
        <v>4.6</v>
      </c>
      <c r="J1352" s="22" t="n">
        <v>3.56</v>
      </c>
      <c r="K1352" s="22" t="n">
        <v>4.02</v>
      </c>
      <c r="L1352" s="17">
        <f>$J1352-$B1352</f>
        <v/>
      </c>
      <c r="M1352" s="17">
        <f>$I1352-$L1352</f>
        <v/>
      </c>
      <c r="N1352" s="23">
        <f>($G1352-$M1352)*100</f>
        <v/>
      </c>
      <c r="O1352" s="15">
        <f>($E1352-$C1352)*100</f>
        <v/>
      </c>
      <c r="P1352" s="15">
        <f>($G1352-$E1352)*100</f>
        <v/>
      </c>
      <c r="Q1352" s="15">
        <f>($G1352-$C1352)*100</f>
        <v/>
      </c>
      <c r="R1352" s="15">
        <f>IF($H1352="","",($H1352-$F1352)*100)</f>
        <v/>
      </c>
      <c r="S1352" s="15">
        <f>IF($H1352="","",($H1352-$G1352)*100)</f>
        <v/>
      </c>
    </row>
    <row r="1353">
      <c r="A1353" s="11" t="n">
        <v>45954</v>
      </c>
      <c r="B1353" s="22" t="n">
        <v>0.75</v>
      </c>
      <c r="C1353" s="22" t="n">
        <v>0.9320000000000001</v>
      </c>
      <c r="D1353" s="22" t="n">
        <v>1.229</v>
      </c>
      <c r="E1353" s="22" t="n">
        <v>1.667</v>
      </c>
      <c r="F1353" s="22" t="n">
        <v>2.618</v>
      </c>
      <c r="G1353" s="22" t="n">
        <v>3.081</v>
      </c>
      <c r="H1353" s="22" t="n">
        <v>3.329</v>
      </c>
      <c r="I1353" s="22" t="n">
        <v>4.59</v>
      </c>
      <c r="J1353" s="22" t="n">
        <v>3.58</v>
      </c>
      <c r="K1353" s="22" t="n">
        <v>4.02</v>
      </c>
      <c r="L1353" s="17">
        <f>$J1353-$B1353</f>
        <v/>
      </c>
      <c r="M1353" s="17">
        <f>$I1353-$L1353</f>
        <v/>
      </c>
      <c r="N1353" s="23">
        <f>($G1353-$M1353)*100</f>
        <v/>
      </c>
      <c r="O1353" s="15">
        <f>($E1353-$C1353)*100</f>
        <v/>
      </c>
      <c r="P1353" s="15">
        <f>($G1353-$E1353)*100</f>
        <v/>
      </c>
      <c r="Q1353" s="15">
        <f>($G1353-$C1353)*100</f>
        <v/>
      </c>
      <c r="R1353" s="15">
        <f>IF($H1353="","",($H1353-$F1353)*100)</f>
        <v/>
      </c>
      <c r="S1353" s="15">
        <f>IF($H1353="","",($H1353-$G1353)*100)</f>
        <v/>
      </c>
    </row>
    <row r="1354">
      <c r="A1354" s="11" t="n">
        <v>45961</v>
      </c>
      <c r="B1354" s="22" t="n">
        <v>0.748</v>
      </c>
      <c r="C1354" s="22" t="n">
        <v>0.928</v>
      </c>
      <c r="D1354" s="22" t="n">
        <v>1.235</v>
      </c>
      <c r="E1354" s="22" t="n">
        <v>1.67</v>
      </c>
      <c r="F1354" s="22" t="n">
        <v>2.605</v>
      </c>
      <c r="G1354" s="22" t="n">
        <v>3.068</v>
      </c>
      <c r="H1354" s="22" t="n">
        <v>3.304</v>
      </c>
      <c r="I1354" s="22" t="n">
        <v>4.67</v>
      </c>
      <c r="J1354" s="22" t="n">
        <v>3.7</v>
      </c>
      <c r="K1354" s="22" t="n">
        <v>4.11</v>
      </c>
      <c r="L1354" s="17">
        <f>$J1354-$B1354</f>
        <v/>
      </c>
      <c r="M1354" s="17">
        <f>$I1354-$L1354</f>
        <v/>
      </c>
      <c r="N1354" s="23">
        <f>($G1354-$M1354)*100</f>
        <v/>
      </c>
      <c r="O1354" s="15">
        <f>($E1354-$C1354)*100</f>
        <v/>
      </c>
      <c r="P1354" s="15">
        <f>($G1354-$E1354)*100</f>
        <v/>
      </c>
      <c r="Q1354" s="15">
        <f>($G1354-$C1354)*100</f>
        <v/>
      </c>
      <c r="R1354" s="15">
        <f>IF($H1354="","",($H1354-$F1354)*100)</f>
        <v/>
      </c>
      <c r="S1354" s="15">
        <f>IF($H1354="","",($H1354-$G1354)*100)</f>
        <v/>
      </c>
    </row>
    <row r="1355">
      <c r="A1355" s="11" t="n">
        <v>45968</v>
      </c>
      <c r="B1355" s="22" t="n">
        <v>0.736</v>
      </c>
      <c r="C1355" s="22" t="n">
        <v>0.9409999999999999</v>
      </c>
      <c r="D1355" s="22" t="n">
        <v>1.257</v>
      </c>
      <c r="E1355" s="22" t="n">
        <v>1.688</v>
      </c>
      <c r="F1355" s="22" t="n">
        <v>2.642</v>
      </c>
      <c r="G1355" s="22" t="n">
        <v>3.117</v>
      </c>
      <c r="H1355" s="22" t="n">
        <v>3.358</v>
      </c>
      <c r="I1355" s="22" t="n">
        <v>4.7</v>
      </c>
      <c r="J1355" s="22" t="n">
        <v>3.63</v>
      </c>
      <c r="K1355" s="22" t="n">
        <v>4.11</v>
      </c>
      <c r="L1355" s="17">
        <f>$J1355-$B1355</f>
        <v/>
      </c>
      <c r="M1355" s="17">
        <f>$I1355-$L1355</f>
        <v/>
      </c>
      <c r="N1355" s="23">
        <f>($G1355-$M1355)*100</f>
        <v/>
      </c>
      <c r="O1355" s="15">
        <f>($E1355-$C1355)*100</f>
        <v/>
      </c>
      <c r="P1355" s="15">
        <f>($G1355-$E1355)*100</f>
        <v/>
      </c>
      <c r="Q1355" s="15">
        <f>($G1355-$C1355)*100</f>
        <v/>
      </c>
      <c r="R1355" s="15">
        <f>IF($H1355="","",($H1355-$F1355)*100)</f>
        <v/>
      </c>
      <c r="S1355" s="15">
        <f>IF($H1355="","",($H1355-$G1355)*100)</f>
        <v/>
      </c>
    </row>
    <row r="1356">
      <c r="A1356" s="11" t="n">
        <v>45975</v>
      </c>
      <c r="B1356" s="22" t="n">
        <v>0.735</v>
      </c>
      <c r="C1356" s="22" t="n">
        <v>0.9320000000000001</v>
      </c>
      <c r="D1356" s="22" t="n">
        <v>1.259</v>
      </c>
      <c r="E1356" s="22" t="n">
        <v>1.714</v>
      </c>
      <c r="F1356" s="22" t="n">
        <v>2.723</v>
      </c>
      <c r="G1356" s="22" t="n">
        <v>3.205</v>
      </c>
      <c r="H1356" s="22" t="n">
        <v>3.449</v>
      </c>
      <c r="I1356" s="22" t="n">
        <v>4.74</v>
      </c>
      <c r="J1356" s="22" t="n">
        <v>3.7</v>
      </c>
      <c r="K1356" s="22" t="n">
        <v>4.14</v>
      </c>
      <c r="L1356" s="17">
        <f>$J1356-$B1356</f>
        <v/>
      </c>
      <c r="M1356" s="17">
        <f>$I1356-$L1356</f>
        <v/>
      </c>
      <c r="N1356" s="23">
        <f>($G1356-$M1356)*100</f>
        <v/>
      </c>
      <c r="O1356" s="15">
        <f>($E1356-$C1356)*100</f>
        <v/>
      </c>
      <c r="P1356" s="15">
        <f>($G1356-$E1356)*100</f>
        <v/>
      </c>
      <c r="Q1356" s="15">
        <f>($G1356-$C1356)*100</f>
        <v/>
      </c>
      <c r="R1356" s="15">
        <f>IF($H1356="","",($H1356-$F1356)*100)</f>
        <v/>
      </c>
      <c r="S1356" s="15">
        <f>IF($H1356="","",($H1356-$G1356)*100)</f>
        <v/>
      </c>
    </row>
    <row r="1357">
      <c r="A1357" s="11" t="n">
        <v>45982</v>
      </c>
      <c r="B1357" s="22" t="n">
        <v>0.769</v>
      </c>
      <c r="C1357" s="22" t="n">
        <v>0.959</v>
      </c>
      <c r="D1357" s="22" t="n">
        <v>1.324</v>
      </c>
      <c r="E1357" s="22" t="n">
        <v>1.792</v>
      </c>
      <c r="F1357" s="22" t="n">
        <v>2.794</v>
      </c>
      <c r="G1357" s="22" t="n">
        <v>3.291</v>
      </c>
      <c r="H1357" s="22" t="n">
        <v>3.551</v>
      </c>
      <c r="I1357" s="22" t="n">
        <v>4.71</v>
      </c>
      <c r="J1357" s="22" t="n">
        <v>3.62</v>
      </c>
      <c r="K1357" s="22" t="n">
        <v>4.06</v>
      </c>
      <c r="L1357" s="17">
        <f>$J1357-$B1357</f>
        <v/>
      </c>
      <c r="M1357" s="17">
        <f>$I1357-$L1357</f>
        <v/>
      </c>
      <c r="N1357" s="23">
        <f>($G1357-$M1357)*100</f>
        <v/>
      </c>
      <c r="O1357" s="15">
        <f>($E1357-$C1357)*100</f>
        <v/>
      </c>
      <c r="P1357" s="15">
        <f>($G1357-$E1357)*100</f>
        <v/>
      </c>
      <c r="Q1357" s="15">
        <f>($G1357-$C1357)*100</f>
        <v/>
      </c>
      <c r="R1357" s="15">
        <f>IF($H1357="","",($H1357-$F1357)*100)</f>
        <v/>
      </c>
      <c r="S1357" s="15">
        <f>IF($H1357="","",($H1357-$G1357)*100)</f>
        <v/>
      </c>
    </row>
    <row r="1358">
      <c r="A1358" s="11" t="n">
        <v>45989</v>
      </c>
      <c r="B1358" s="22" t="n">
        <v>0.796</v>
      </c>
      <c r="C1358" s="22" t="n">
        <v>0.992</v>
      </c>
      <c r="D1358" s="22" t="n">
        <v>1.326</v>
      </c>
      <c r="E1358" s="22" t="n">
        <v>1.812</v>
      </c>
      <c r="F1358" s="22" t="n">
        <v>2.819</v>
      </c>
      <c r="G1358" s="22" t="n">
        <v>3.3</v>
      </c>
      <c r="H1358" s="22" t="n">
        <v>3.558</v>
      </c>
      <c r="I1358" s="22" t="n">
        <v>4.67</v>
      </c>
      <c r="J1358" s="22" t="n">
        <v>3.61</v>
      </c>
      <c r="K1358" s="22" t="n">
        <v>4.02</v>
      </c>
      <c r="L1358" s="17">
        <f>$J1358-$B1358</f>
        <v/>
      </c>
      <c r="M1358" s="17">
        <f>$I1358-$L1358</f>
        <v/>
      </c>
      <c r="N1358" s="23">
        <f>($G1358-$M1358)*100</f>
        <v/>
      </c>
      <c r="O1358" s="15">
        <f>($E1358-$C1358)*100</f>
        <v/>
      </c>
      <c r="P1358" s="15">
        <f>($G1358-$E1358)*100</f>
        <v/>
      </c>
      <c r="Q1358" s="15">
        <f>($G1358-$C1358)*100</f>
        <v/>
      </c>
      <c r="R1358" s="15">
        <f>IF($H1358="","",($H1358-$F1358)*100)</f>
        <v/>
      </c>
      <c r="S1358" s="15">
        <f>IF($H1358="","",($H1358-$G1358)*100)</f>
        <v/>
      </c>
    </row>
    <row r="1359">
      <c r="A1359" s="11" t="n">
        <v>45996</v>
      </c>
      <c r="B1359" s="22" t="n">
        <v>0.8169999999999999</v>
      </c>
      <c r="C1359" s="22" t="n">
        <v>1.052</v>
      </c>
      <c r="D1359" s="22" t="n">
        <v>1.45</v>
      </c>
      <c r="E1359" s="22" t="n">
        <v>1.951</v>
      </c>
      <c r="F1359" s="22" t="n">
        <v>2.894</v>
      </c>
      <c r="G1359" s="22" t="n">
        <v>3.315</v>
      </c>
      <c r="H1359" s="22" t="n">
        <v>3.529</v>
      </c>
      <c r="I1359" s="22" t="n">
        <v>4.79</v>
      </c>
      <c r="J1359" s="22" t="n">
        <v>3.61</v>
      </c>
      <c r="K1359" s="22" t="n">
        <v>4.14</v>
      </c>
      <c r="L1359" s="17">
        <f>$J1359-$B1359</f>
        <v/>
      </c>
      <c r="M1359" s="17">
        <f>$I1359-$L1359</f>
        <v/>
      </c>
      <c r="N1359" s="23">
        <f>($G1359-$M1359)*100</f>
        <v/>
      </c>
      <c r="O1359" s="15">
        <f>($E1359-$C1359)*100</f>
        <v/>
      </c>
      <c r="P1359" s="15">
        <f>($G1359-$E1359)*100</f>
        <v/>
      </c>
      <c r="Q1359" s="15">
        <f>($G1359-$C1359)*100</f>
        <v/>
      </c>
      <c r="R1359" s="15">
        <f>IF($H1359="","",($H1359-$F1359)*100)</f>
        <v/>
      </c>
      <c r="S1359" s="15">
        <f>IF($H1359="","",($H1359-$G1359)*100)</f>
        <v/>
      </c>
    </row>
    <row r="1360">
      <c r="A1360" s="11" t="n">
        <v>46003</v>
      </c>
      <c r="B1360" s="22" t="n">
        <v>0.827</v>
      </c>
      <c r="C1360" s="22" t="n">
        <v>1.07</v>
      </c>
      <c r="D1360" s="22" t="n">
        <v>1.456</v>
      </c>
      <c r="E1360" s="22" t="n">
        <v>1.956</v>
      </c>
      <c r="F1360" s="22" t="n">
        <v>2.894</v>
      </c>
      <c r="G1360" s="22" t="n">
        <v>3.309</v>
      </c>
      <c r="H1360" s="22" t="n">
        <v>3.532</v>
      </c>
      <c r="I1360" s="22" t="n">
        <v>4.85</v>
      </c>
      <c r="J1360" s="22" t="n">
        <v>3.54</v>
      </c>
      <c r="K1360" s="22" t="n">
        <v>4.19</v>
      </c>
      <c r="L1360" s="17">
        <f>$J1360-$B1360</f>
        <v/>
      </c>
      <c r="M1360" s="17">
        <f>$I1360-$L1360</f>
        <v/>
      </c>
      <c r="N1360" s="23">
        <f>($G1360-$M1360)*100</f>
        <v/>
      </c>
      <c r="O1360" s="15">
        <f>($E1360-$C1360)*100</f>
        <v/>
      </c>
      <c r="P1360" s="15">
        <f>($G1360-$E1360)*100</f>
        <v/>
      </c>
      <c r="Q1360" s="15">
        <f>($G1360-$C1360)*100</f>
        <v/>
      </c>
      <c r="R1360" s="15">
        <f>IF($H1360="","",($H1360-$F1360)*100)</f>
        <v/>
      </c>
      <c r="S1360" s="15">
        <f>IF($H1360="","",($H1360-$G1360)*100)</f>
        <v/>
      </c>
    </row>
    <row r="1361">
      <c r="A1361" s="11" t="n">
        <v>46010</v>
      </c>
      <c r="B1361" s="22" t="n">
        <v>0.863</v>
      </c>
      <c r="C1361" s="22" t="n">
        <v>1.101</v>
      </c>
      <c r="D1361" s="22" t="n">
        <v>1.506</v>
      </c>
      <c r="E1361" s="22" t="n">
        <v>2.021</v>
      </c>
      <c r="F1361" s="22" t="n">
        <v>2.94</v>
      </c>
      <c r="G1361" s="22" t="n">
        <v>3.362</v>
      </c>
      <c r="H1361" s="22" t="n">
        <v>3.561</v>
      </c>
      <c r="I1361" s="22" t="n">
        <v>4.82</v>
      </c>
      <c r="J1361" s="22" t="n">
        <v>3.51</v>
      </c>
      <c r="K1361" s="22" t="n">
        <v>4.16</v>
      </c>
      <c r="L1361" s="17">
        <f>$J1361-$B1361</f>
        <v/>
      </c>
      <c r="M1361" s="17">
        <f>$I1361-$L1361</f>
        <v/>
      </c>
      <c r="N1361" s="23">
        <f>($G1361-$M1361)*100</f>
        <v/>
      </c>
      <c r="O1361" s="15">
        <f>($E1361-$C1361)*100</f>
        <v/>
      </c>
      <c r="P1361" s="15">
        <f>($G1361-$E1361)*100</f>
        <v/>
      </c>
      <c r="Q1361" s="15">
        <f>($G1361-$C1361)*100</f>
        <v/>
      </c>
      <c r="R1361" s="15">
        <f>IF($H1361="","",($H1361-$F1361)*100)</f>
        <v/>
      </c>
      <c r="S1361" s="15">
        <f>IF($H1361="","",($H1361-$G1361)*100)</f>
        <v/>
      </c>
    </row>
    <row r="1362">
      <c r="A1362" s="11" t="n">
        <v>46017</v>
      </c>
      <c r="B1362" s="22" t="n">
        <v>0.88</v>
      </c>
      <c r="C1362" s="22" t="n">
        <v>1.141</v>
      </c>
      <c r="D1362" s="22" t="n">
        <v>1.539</v>
      </c>
      <c r="E1362" s="22" t="n">
        <v>2.039</v>
      </c>
      <c r="F1362" s="22" t="n">
        <v>2.932</v>
      </c>
      <c r="G1362" s="22" t="n">
        <v>3.335</v>
      </c>
      <c r="H1362" s="22" t="n">
        <v>3.467</v>
      </c>
      <c r="I1362" s="22" t="n">
        <v>4.81</v>
      </c>
      <c r="J1362" s="22" t="n">
        <v>3.49</v>
      </c>
      <c r="K1362" s="22" t="n">
        <v>4.14</v>
      </c>
      <c r="L1362" s="17">
        <f>$J1362-$B1362</f>
        <v/>
      </c>
      <c r="M1362" s="17">
        <f>$I1362-$L1362</f>
        <v/>
      </c>
      <c r="N1362" s="23">
        <f>($G1362-$M1362)*100</f>
        <v/>
      </c>
      <c r="O1362" s="15">
        <f>($E1362-$C1362)*100</f>
        <v/>
      </c>
      <c r="P1362" s="15">
        <f>($G1362-$E1362)*100</f>
        <v/>
      </c>
      <c r="Q1362" s="15">
        <f>($G1362-$C1362)*100</f>
        <v/>
      </c>
      <c r="R1362" s="15">
        <f>IF($H1362="","",($H1362-$F1362)*100)</f>
        <v/>
      </c>
      <c r="S1362" s="15">
        <f>IF($H1362="","",($H1362-$G1362)*100)</f>
        <v/>
      </c>
    </row>
    <row r="1363">
      <c r="A1363" s="11" t="n">
        <v>46024</v>
      </c>
      <c r="B1363" s="22" t="n">
        <v>0.906</v>
      </c>
      <c r="C1363" s="22" t="n">
        <v>1.167</v>
      </c>
      <c r="D1363" s="22" t="n">
        <v>1.567</v>
      </c>
      <c r="E1363" s="22" t="n">
        <v>2.066</v>
      </c>
      <c r="F1363" s="22" t="n">
        <v>2.952</v>
      </c>
      <c r="G1363" s="22" t="n">
        <v>3.354</v>
      </c>
      <c r="H1363" s="22" t="n">
        <v>3.475</v>
      </c>
      <c r="I1363" s="22" t="n">
        <v>4.86</v>
      </c>
      <c r="J1363" s="22" t="n">
        <v>3.47</v>
      </c>
      <c r="K1363" s="22" t="n">
        <v>4.19</v>
      </c>
      <c r="L1363" s="17">
        <f>$J1363-$B1363</f>
        <v/>
      </c>
      <c r="M1363" s="17">
        <f>$I1363-$L1363</f>
        <v/>
      </c>
      <c r="N1363" s="23">
        <f>($G1363-$M1363)*100</f>
        <v/>
      </c>
      <c r="O1363" s="15">
        <f>($E1363-$C1363)*100</f>
        <v/>
      </c>
      <c r="P1363" s="15">
        <f>($G1363-$E1363)*100</f>
        <v/>
      </c>
      <c r="Q1363" s="15">
        <f>($G1363-$C1363)*100</f>
        <v/>
      </c>
      <c r="R1363" s="15">
        <f>IF($H1363="","",($H1363-$F1363)*100)</f>
        <v/>
      </c>
      <c r="S1363" s="15">
        <f>IF($H1363="","",($H1363-$G1363)*100)</f>
        <v/>
      </c>
    </row>
    <row r="1364">
      <c r="A1364" s="11" t="n">
        <v>46031</v>
      </c>
      <c r="B1364" s="22" t="n">
        <v>0.893</v>
      </c>
      <c r="C1364" s="22" t="n">
        <v>1.151</v>
      </c>
      <c r="D1364" s="22" t="n">
        <v>1.58</v>
      </c>
      <c r="E1364" s="22" t="n">
        <v>2.096</v>
      </c>
      <c r="F1364" s="22" t="n">
        <v>3.013</v>
      </c>
      <c r="G1364" s="22" t="n">
        <v>3.399</v>
      </c>
      <c r="H1364" s="22" t="n">
        <v>3.55</v>
      </c>
      <c r="I1364" s="22" t="n">
        <v>4.82</v>
      </c>
      <c r="J1364" s="22" t="n">
        <v>3.52</v>
      </c>
      <c r="K1364" s="22" t="n">
        <v>4.18</v>
      </c>
      <c r="L1364" s="17">
        <f>$J1364-$B1364</f>
        <v/>
      </c>
      <c r="M1364" s="17">
        <f>$I1364-$L1364</f>
        <v/>
      </c>
      <c r="N1364" s="23">
        <f>($G1364-$M1364)*100</f>
        <v/>
      </c>
      <c r="O1364" s="15">
        <f>($E1364-$C1364)*100</f>
        <v/>
      </c>
      <c r="P1364" s="15">
        <f>($G1364-$E1364)*100</f>
        <v/>
      </c>
      <c r="Q1364" s="15">
        <f>($G1364-$C1364)*100</f>
        <v/>
      </c>
      <c r="R1364" s="15">
        <f>IF($H1364="","",($H1364-$F1364)*100)</f>
        <v/>
      </c>
      <c r="S1364" s="15">
        <f>IF($H1364="","",($H1364-$G1364)*100)</f>
        <v/>
      </c>
    </row>
    <row r="1365">
      <c r="A1365" s="11" t="n">
        <v>46038</v>
      </c>
      <c r="B1365" s="22" t="n">
        <v>0.931</v>
      </c>
      <c r="C1365" s="22" t="n">
        <v>1.205</v>
      </c>
      <c r="D1365" s="22" t="n">
        <v>1.647</v>
      </c>
      <c r="E1365" s="22" t="n">
        <v>2.182</v>
      </c>
      <c r="F1365" s="22" t="n">
        <v>3.092</v>
      </c>
      <c r="G1365" s="22" t="n">
        <v>3.462</v>
      </c>
      <c r="H1365" s="22" t="n">
        <v>3.618</v>
      </c>
      <c r="I1365" s="22" t="n">
        <v>4.83</v>
      </c>
      <c r="J1365" s="22" t="n">
        <v>3.55</v>
      </c>
      <c r="K1365" s="22" t="n">
        <v>4.24</v>
      </c>
      <c r="L1365" s="17">
        <f>$J1365-$B1365</f>
        <v/>
      </c>
      <c r="M1365" s="17">
        <f>$I1365-$L1365</f>
        <v/>
      </c>
      <c r="N1365" s="23">
        <f>($G1365-$M1365)*100</f>
        <v/>
      </c>
      <c r="O1365" s="15">
        <f>($E1365-$C1365)*100</f>
        <v/>
      </c>
      <c r="P1365" s="15">
        <f>($G1365-$E1365)*100</f>
        <v/>
      </c>
      <c r="Q1365" s="15">
        <f>($G1365-$C1365)*100</f>
        <v/>
      </c>
      <c r="R1365" s="15">
        <f>IF($H1365="","",($H1365-$F1365)*100)</f>
        <v/>
      </c>
      <c r="S1365" s="15">
        <f>IF($H1365="","",($H1365-$G1365)*100)</f>
        <v/>
      </c>
    </row>
    <row r="1366">
      <c r="A1366" s="11" t="n">
        <v>46045</v>
      </c>
      <c r="B1366" s="22" t="n">
        <v>0.994</v>
      </c>
      <c r="C1366" s="22" t="n">
        <v>1.262</v>
      </c>
      <c r="D1366" s="22" t="n">
        <v>1.696</v>
      </c>
      <c r="E1366" s="22" t="n">
        <v>2.253</v>
      </c>
      <c r="F1366" s="22" t="n">
        <v>3.198</v>
      </c>
      <c r="G1366" s="22" t="n">
        <v>3.585</v>
      </c>
      <c r="H1366" s="22" t="n">
        <v>3.708</v>
      </c>
      <c r="I1366" s="22" t="n">
        <v>4.82</v>
      </c>
      <c r="J1366" s="22" t="n">
        <v>3.53</v>
      </c>
      <c r="K1366" s="22" t="n">
        <v>4.24</v>
      </c>
      <c r="L1366" s="17">
        <f>$J1366-$B1366</f>
        <v/>
      </c>
      <c r="M1366" s="17">
        <f>$I1366-$L1366</f>
        <v/>
      </c>
      <c r="N1366" s="23">
        <f>($G1366-$M1366)*100</f>
        <v/>
      </c>
      <c r="O1366" s="15">
        <f>($E1366-$C1366)*100</f>
        <v/>
      </c>
      <c r="P1366" s="15">
        <f>($G1366-$E1366)*100</f>
        <v/>
      </c>
      <c r="Q1366" s="15">
        <f>($G1366-$C1366)*100</f>
        <v/>
      </c>
      <c r="R1366" s="15">
        <f>IF($H1366="","",($H1366-$F1366)*100)</f>
        <v/>
      </c>
      <c r="S1366" s="15">
        <f>IF($H1366="","",($H1366-$G1366)*100)</f>
        <v/>
      </c>
    </row>
    <row r="1367">
      <c r="A1367" s="11" t="n">
        <v>46052</v>
      </c>
      <c r="B1367" s="22" t="n">
        <v>0.996</v>
      </c>
      <c r="C1367" s="22" t="n">
        <v>1.251</v>
      </c>
      <c r="D1367" s="22" t="n">
        <v>1.666</v>
      </c>
      <c r="E1367" s="22" t="n">
        <v>2.247</v>
      </c>
      <c r="F1367" s="22" t="n">
        <v>3.186</v>
      </c>
      <c r="G1367" s="22" t="n">
        <v>3.577</v>
      </c>
      <c r="H1367" s="22" t="n">
        <v>3.681</v>
      </c>
      <c r="I1367" s="22" t="n">
        <v>4.87</v>
      </c>
      <c r="J1367" s="22" t="n">
        <v>3.48</v>
      </c>
      <c r="K1367" s="22" t="n">
        <v>4.26</v>
      </c>
      <c r="L1367" s="17">
        <f>$J1367-$B1367</f>
        <v/>
      </c>
      <c r="M1367" s="17">
        <f>$I1367-$L1367</f>
        <v/>
      </c>
      <c r="N1367" s="23">
        <f>($G1367-$M1367)*100</f>
        <v/>
      </c>
      <c r="O1367" s="15">
        <f>($E1367-$C1367)*100</f>
        <v/>
      </c>
      <c r="P1367" s="15">
        <f>($G1367-$E1367)*100</f>
        <v/>
      </c>
      <c r="Q1367" s="15">
        <f>($G1367-$C1367)*100</f>
        <v/>
      </c>
      <c r="R1367" s="15">
        <f>IF($H1367="","",($H1367-$F1367)*100)</f>
        <v/>
      </c>
      <c r="S1367" s="15">
        <f>IF($H1367="","",($H1367-$G1367)*100)</f>
        <v/>
      </c>
    </row>
    <row r="1368">
      <c r="A1368" s="11" t="n">
        <v>46059</v>
      </c>
      <c r="B1368" s="22" t="n">
        <v>1.022</v>
      </c>
      <c r="C1368" s="22" t="n">
        <v>1.281</v>
      </c>
      <c r="D1368" s="22" t="n">
        <v>1.697</v>
      </c>
      <c r="E1368" s="22" t="n">
        <v>2.236</v>
      </c>
      <c r="F1368" s="22" t="n">
        <v>3.15</v>
      </c>
      <c r="G1368" s="22" t="n">
        <v>3.513</v>
      </c>
      <c r="H1368" s="22" t="n">
        <v>3.632</v>
      </c>
      <c r="I1368" s="22" t="n">
        <v>4.85</v>
      </c>
      <c r="J1368" s="22" t="n">
        <v>3.45</v>
      </c>
      <c r="K1368" s="22" t="n">
        <v>4.22</v>
      </c>
      <c r="L1368" s="17">
        <f>$J1368-$B1368</f>
        <v/>
      </c>
      <c r="M1368" s="17">
        <f>$I1368-$L1368</f>
        <v/>
      </c>
      <c r="N1368" s="23">
        <f>($G1368-$M1368)*100</f>
        <v/>
      </c>
      <c r="O1368" s="15">
        <f>($E1368-$C1368)*100</f>
        <v/>
      </c>
      <c r="P1368" s="15">
        <f>($G1368-$E1368)*100</f>
        <v/>
      </c>
      <c r="Q1368" s="15">
        <f>($G1368-$C1368)*100</f>
        <v/>
      </c>
      <c r="R1368" s="15">
        <f>IF($H1368="","",($H1368-$F1368)*100)</f>
        <v/>
      </c>
      <c r="S1368" s="15">
        <f>IF($H1368="","",($H1368-$G1368)*100)</f>
        <v/>
      </c>
    </row>
    <row r="1369">
      <c r="A1369" s="11" t="n">
        <v>46066</v>
      </c>
      <c r="B1369" s="22" t="n">
        <v>1.036</v>
      </c>
      <c r="C1369" s="22" t="n">
        <v>1.289</v>
      </c>
      <c r="D1369" s="22" t="n">
        <v>1.692</v>
      </c>
      <c r="E1369" s="22" t="n">
        <v>2.218</v>
      </c>
      <c r="F1369" s="22" t="n">
        <v>3.079</v>
      </c>
      <c r="G1369" s="22" t="n">
        <v>3.422</v>
      </c>
      <c r="H1369" s="22" t="n">
        <v>3.512</v>
      </c>
      <c r="I1369" s="22" t="n">
        <v>4.69</v>
      </c>
      <c r="J1369" s="22" t="n">
        <v>3.42</v>
      </c>
      <c r="K1369" s="22" t="n">
        <v>4.04</v>
      </c>
      <c r="L1369" s="17">
        <f>$J1369-$B1369</f>
        <v/>
      </c>
      <c r="M1369" s="17">
        <f>$I1369-$L1369</f>
        <v/>
      </c>
      <c r="N1369" s="23">
        <f>($G1369-$M1369)*100</f>
        <v/>
      </c>
      <c r="O1369" s="15">
        <f>($E1369-$C1369)*100</f>
        <v/>
      </c>
      <c r="P1369" s="15">
        <f>($G1369-$E1369)*100</f>
        <v/>
      </c>
      <c r="Q1369" s="15">
        <f>($G1369-$C1369)*100</f>
        <v/>
      </c>
      <c r="R1369" s="15">
        <f>IF($H1369="","",($H1369-$F1369)*100)</f>
        <v/>
      </c>
      <c r="S1369" s="15">
        <f>IF($H1369="","",($H1369-$G1369)*100)</f>
        <v/>
      </c>
    </row>
    <row r="1370">
      <c r="A1370" s="11" t="n">
        <v>46073</v>
      </c>
      <c r="B1370" s="22" t="n">
        <v>1.033</v>
      </c>
      <c r="C1370" s="22" t="n">
        <v>1.26</v>
      </c>
      <c r="D1370" s="22" t="n">
        <v>1.622</v>
      </c>
      <c r="E1370" s="22" t="n">
        <v>2.125</v>
      </c>
      <c r="F1370" s="22" t="n">
        <v>2.965</v>
      </c>
      <c r="G1370" s="22" t="n">
        <v>3.323</v>
      </c>
      <c r="H1370" s="22" t="n">
        <v>3.431</v>
      </c>
      <c r="I1370" s="22" t="n">
        <v>4.72</v>
      </c>
      <c r="J1370" s="22" t="n">
        <v>3.51</v>
      </c>
      <c r="K1370" s="22" t="n">
        <v>4.08</v>
      </c>
      <c r="L1370" s="17">
        <f>$J1370-$B1370</f>
        <v/>
      </c>
      <c r="M1370" s="17">
        <f>$I1370-$L1370</f>
        <v/>
      </c>
      <c r="N1370" s="23">
        <f>($G1370-$M1370)*100</f>
        <v/>
      </c>
      <c r="O1370" s="15">
        <f>($E1370-$C1370)*100</f>
        <v/>
      </c>
      <c r="P1370" s="15">
        <f>($G1370-$E1370)*100</f>
        <v/>
      </c>
      <c r="Q1370" s="15">
        <f>($G1370-$C1370)*100</f>
        <v/>
      </c>
      <c r="R1370" s="15">
        <f>IF($H1370="","",($H1370-$F1370)*100)</f>
        <v/>
      </c>
      <c r="S1370" s="15">
        <f>IF($H1370="","",($H1370-$G1370)*100)</f>
        <v/>
      </c>
    </row>
    <row r="1371">
      <c r="A1371" s="11" t="n">
        <v>46080</v>
      </c>
      <c r="B1371" s="22" t="n">
        <v>1.023</v>
      </c>
      <c r="C1371" s="22" t="n">
        <v>1.25</v>
      </c>
      <c r="D1371" s="22" t="n">
        <v>1.594</v>
      </c>
      <c r="E1371" s="22" t="n">
        <v>2.132</v>
      </c>
      <c r="F1371" s="22" t="n">
        <v>2.979</v>
      </c>
      <c r="G1371" s="22" t="n">
        <v>3.342</v>
      </c>
      <c r="H1371" s="22" t="n">
        <v>3.44</v>
      </c>
      <c r="I1371" s="22" t="n">
        <v>4.64</v>
      </c>
      <c r="J1371" s="22" t="n">
        <v>3.48</v>
      </c>
      <c r="K1371" s="22" t="n">
        <v>3.97</v>
      </c>
      <c r="L1371" s="17">
        <f>$J1371-$B1371</f>
        <v/>
      </c>
      <c r="M1371" s="17">
        <f>$I1371-$L1371</f>
        <v/>
      </c>
      <c r="N1371" s="23">
        <f>($G1371-$M1371)*100</f>
        <v/>
      </c>
      <c r="O1371" s="15">
        <f>($E1371-$C1371)*100</f>
        <v/>
      </c>
      <c r="P1371" s="15">
        <f>($G1371-$E1371)*100</f>
        <v/>
      </c>
      <c r="Q1371" s="15">
        <f>($G1371-$C1371)*100</f>
        <v/>
      </c>
      <c r="R1371" s="15">
        <f>IF($H1371="","",($H1371-$F1371)*100)</f>
        <v/>
      </c>
      <c r="S1371" s="15">
        <f>IF($H1371="","",($H1371-$G1371)*100)</f>
        <v/>
      </c>
    </row>
    <row r="1372">
      <c r="A1372" s="11" t="n">
        <v>46087</v>
      </c>
      <c r="B1372" s="22" t="n">
        <v>0.997</v>
      </c>
      <c r="C1372" s="22" t="n">
        <v>1.246</v>
      </c>
      <c r="D1372" s="22" t="n">
        <v>1.637</v>
      </c>
      <c r="E1372" s="22" t="n">
        <v>2.18</v>
      </c>
      <c r="F1372" s="22" t="n">
        <v>3.042</v>
      </c>
      <c r="G1372" s="22" t="n">
        <v>3.384</v>
      </c>
      <c r="H1372" s="22" t="n">
        <v>3.465</v>
      </c>
      <c r="I1372" s="22" t="n">
        <v>4.77</v>
      </c>
      <c r="J1372" s="22" t="n">
        <v>3.55</v>
      </c>
      <c r="K1372" s="22" t="n">
        <v>4.15</v>
      </c>
      <c r="L1372" s="17">
        <f>$J1372-$B1372</f>
        <v/>
      </c>
      <c r="M1372" s="17">
        <f>$I1372-$L1372</f>
        <v/>
      </c>
      <c r="N1372" s="23">
        <f>($G1372-$M1372)*100</f>
        <v/>
      </c>
      <c r="O1372" s="15">
        <f>($E1372-$C1372)*100</f>
        <v/>
      </c>
      <c r="P1372" s="15">
        <f>($G1372-$E1372)*100</f>
        <v/>
      </c>
      <c r="Q1372" s="15">
        <f>($G1372-$C1372)*100</f>
        <v/>
      </c>
      <c r="R1372" s="15">
        <f>IF($H1372="","",($H1372-$F1372)*100)</f>
        <v/>
      </c>
      <c r="S1372" s="15">
        <f>IF($H1372="","",($H1372-$G1372)*100)</f>
        <v/>
      </c>
    </row>
    <row r="1373">
      <c r="A1373" s="11" t="n">
        <v>46094</v>
      </c>
      <c r="B1373" s="22" t="n">
        <v>1.008</v>
      </c>
      <c r="C1373" s="22" t="n">
        <v>1.289</v>
      </c>
      <c r="D1373" s="22" t="n">
        <v>1.7</v>
      </c>
      <c r="E1373" s="22" t="n">
        <v>2.255</v>
      </c>
      <c r="F1373" s="22" t="n">
        <v>3.133</v>
      </c>
      <c r="G1373" s="22" t="n">
        <v>3.479</v>
      </c>
      <c r="H1373" s="22" t="n">
        <v>3.577</v>
      </c>
      <c r="I1373" s="22" t="n">
        <v>4.9</v>
      </c>
      <c r="J1373" s="22" t="n">
        <v>3.66</v>
      </c>
      <c r="K1373" s="22" t="n">
        <v>4.28</v>
      </c>
      <c r="L1373" s="17">
        <f>$J1373-$B1373</f>
        <v/>
      </c>
      <c r="M1373" s="17">
        <f>$I1373-$L1373</f>
        <v/>
      </c>
      <c r="N1373" s="23">
        <f>($G1373-$M1373)*100</f>
        <v/>
      </c>
      <c r="O1373" s="15">
        <f>($E1373-$C1373)*100</f>
        <v/>
      </c>
      <c r="P1373" s="15">
        <f>($G1373-$E1373)*100</f>
        <v/>
      </c>
      <c r="Q1373" s="15">
        <f>($G1373-$C1373)*100</f>
        <v/>
      </c>
      <c r="R1373" s="15">
        <f>IF($H1373="","",($H1373-$F1373)*100)</f>
        <v/>
      </c>
      <c r="S1373" s="15">
        <f>IF($H1373="","",($H1373-$G1373)*100)</f>
        <v/>
      </c>
    </row>
    <row r="1374">
      <c r="A1374" s="11" t="n">
        <v>46101</v>
      </c>
      <c r="B1374" s="22" t="n">
        <v>1.021</v>
      </c>
      <c r="C1374" s="22" t="n">
        <v>1.277</v>
      </c>
      <c r="D1374" s="22" t="n">
        <v>1.691</v>
      </c>
      <c r="E1374" s="22" t="n">
        <v>2.273</v>
      </c>
      <c r="F1374" s="22" t="n">
        <v>3.146</v>
      </c>
      <c r="G1374" s="22" t="n">
        <v>3.491</v>
      </c>
      <c r="H1374" s="22" t="n">
        <v>3.583</v>
      </c>
      <c r="I1374" s="22" t="n">
        <v>4.96</v>
      </c>
      <c r="J1374" s="22" t="n">
        <v>3.8</v>
      </c>
      <c r="K1374" s="22" t="n">
        <v>4.39</v>
      </c>
      <c r="L1374" s="17">
        <f>$J1374-$B1374</f>
        <v/>
      </c>
      <c r="M1374" s="17">
        <f>$I1374-$L1374</f>
        <v/>
      </c>
      <c r="N1374" s="23">
        <f>($G1374-$M1374)*100</f>
        <v/>
      </c>
      <c r="O1374" s="15">
        <f>($E1374-$C1374)*100</f>
        <v/>
      </c>
      <c r="P1374" s="15">
        <f>($G1374-$E1374)*100</f>
        <v/>
      </c>
      <c r="Q1374" s="15">
        <f>($G1374-$C1374)*100</f>
        <v/>
      </c>
      <c r="R1374" s="15">
        <f>IF($H1374="","",($H1374-$F1374)*100)</f>
        <v/>
      </c>
      <c r="S1374" s="15">
        <f>IF($H1374="","",($H1374-$G1374)*100)</f>
        <v/>
      </c>
    </row>
    <row r="1375">
      <c r="A1375" s="11" t="n">
        <v>46108</v>
      </c>
      <c r="B1375" s="22" t="n">
        <v>1.105</v>
      </c>
      <c r="C1375" s="22" t="n">
        <v>1.393</v>
      </c>
      <c r="D1375" s="22" t="n">
        <v>1.836</v>
      </c>
      <c r="E1375" s="22" t="n">
        <v>2.38</v>
      </c>
      <c r="F1375" s="22" t="n">
        <v>3.268</v>
      </c>
      <c r="G1375" s="22" t="n">
        <v>3.629</v>
      </c>
      <c r="H1375" s="22" t="n">
        <v>3.717</v>
      </c>
      <c r="I1375" s="22" t="n">
        <v>4.98</v>
      </c>
      <c r="J1375" s="22" t="n">
        <v>3.77</v>
      </c>
      <c r="K1375" s="22" t="n">
        <v>4.44</v>
      </c>
      <c r="L1375" s="17">
        <f>$J1375-$B1375</f>
        <v/>
      </c>
      <c r="M1375" s="17">
        <f>$I1375-$L1375</f>
        <v/>
      </c>
      <c r="N1375" s="23">
        <f>($G1375-$M1375)*100</f>
        <v/>
      </c>
      <c r="O1375" s="15">
        <f>($E1375-$C1375)*100</f>
        <v/>
      </c>
      <c r="P1375" s="15">
        <f>($G1375-$E1375)*100</f>
        <v/>
      </c>
      <c r="Q1375" s="15">
        <f>($G1375-$C1375)*100</f>
        <v/>
      </c>
      <c r="R1375" s="15">
        <f>IF($H1375="","",($H1375-$F1375)*100)</f>
        <v/>
      </c>
      <c r="S1375" s="15">
        <f>IF($H1375="","",($H1375-$G1375)*100)</f>
        <v/>
      </c>
    </row>
    <row r="1376">
      <c r="A1376" s="11" t="n">
        <v>46115</v>
      </c>
      <c r="B1376" s="22" t="n">
        <v>1.115</v>
      </c>
      <c r="C1376" s="22" t="n">
        <v>1.391</v>
      </c>
      <c r="D1376" s="22" t="n">
        <v>1.818</v>
      </c>
      <c r="E1376" s="22" t="n">
        <v>2.386</v>
      </c>
      <c r="F1376" s="22" t="n">
        <v>3.271</v>
      </c>
      <c r="G1376" s="22" t="n">
        <v>3.611</v>
      </c>
      <c r="H1376" s="22" t="n">
        <v>3.674</v>
      </c>
      <c r="I1376" s="22" t="n">
        <v>4.91</v>
      </c>
      <c r="J1376" s="22" t="n">
        <v>3.72</v>
      </c>
      <c r="K1376" s="22" t="n">
        <v>4.35</v>
      </c>
      <c r="L1376" s="17">
        <f>$J1376-$B1376</f>
        <v/>
      </c>
      <c r="M1376" s="17">
        <f>$I1376-$L1376</f>
        <v/>
      </c>
      <c r="N1376" s="23">
        <f>($G1376-$M1376)*100</f>
        <v/>
      </c>
      <c r="O1376" s="15">
        <f>($E1376-$C1376)*100</f>
        <v/>
      </c>
      <c r="P1376" s="15">
        <f>($G1376-$E1376)*100</f>
        <v/>
      </c>
      <c r="Q1376" s="15">
        <f>($G1376-$C1376)*100</f>
        <v/>
      </c>
      <c r="R1376" s="15">
        <f>IF($H1376="","",($H1376-$F1376)*100)</f>
        <v/>
      </c>
      <c r="S1376" s="15">
        <f>IF($H1376="","",($H1376-$G1376)*100)</f>
        <v/>
      </c>
    </row>
    <row r="1377">
      <c r="A1377" s="11" t="n">
        <v>46122</v>
      </c>
      <c r="B1377" s="22" t="n">
        <v>1.124</v>
      </c>
      <c r="C1377" s="22" t="n">
        <v>1.405</v>
      </c>
      <c r="D1377" s="22" t="n">
        <v>1.866</v>
      </c>
      <c r="E1377" s="22" t="n">
        <v>2.439</v>
      </c>
      <c r="F1377" s="22" t="n">
        <v>3.326</v>
      </c>
      <c r="G1377" s="22" t="n">
        <v>3.638</v>
      </c>
      <c r="H1377" s="22" t="n">
        <v>3.682</v>
      </c>
      <c r="I1377" s="22" t="n">
        <v>4.91</v>
      </c>
      <c r="J1377" s="22" t="n">
        <v>3.7</v>
      </c>
      <c r="K1377" s="22" t="n">
        <v>4.31</v>
      </c>
      <c r="L1377" s="17">
        <f>$J1377-$B1377</f>
        <v/>
      </c>
      <c r="M1377" s="17">
        <f>$I1377-$L1377</f>
        <v/>
      </c>
      <c r="N1377" s="23">
        <f>($G1377-$M1377)*100</f>
        <v/>
      </c>
      <c r="O1377" s="15">
        <f>($E1377-$C1377)*100</f>
        <v/>
      </c>
      <c r="P1377" s="15">
        <f>($G1377-$E1377)*100</f>
        <v/>
      </c>
      <c r="Q1377" s="15">
        <f>($G1377-$C1377)*100</f>
        <v/>
      </c>
      <c r="R1377" s="15">
        <f>IF($H1377="","",($H1377-$F1377)*100)</f>
        <v/>
      </c>
      <c r="S1377" s="15">
        <f>IF($H1377="","",($H1377-$G1377)*100)</f>
        <v/>
      </c>
    </row>
    <row r="1378">
      <c r="A1378" s="11" t="n">
        <v>46129</v>
      </c>
      <c r="B1378" s="22" t="n">
        <v>1.085</v>
      </c>
      <c r="C1378" s="22" t="n">
        <v>1.372</v>
      </c>
      <c r="D1378" s="22" t="n">
        <v>1.843</v>
      </c>
      <c r="E1378" s="22" t="n">
        <v>2.428</v>
      </c>
      <c r="F1378" s="22" t="n">
        <v>3.292</v>
      </c>
      <c r="G1378" s="22" t="n">
        <v>3.622</v>
      </c>
      <c r="H1378" s="22" t="n">
        <v>3.646</v>
      </c>
      <c r="I1378" s="22" t="n">
        <v>4.88</v>
      </c>
      <c r="J1378" s="22" t="n">
        <v>3.64</v>
      </c>
      <c r="K1378" s="22" t="n">
        <v>4.26</v>
      </c>
      <c r="L1378" s="17">
        <f>$J1378-$B1378</f>
        <v/>
      </c>
      <c r="M1378" s="17">
        <f>$I1378-$L1378</f>
        <v/>
      </c>
      <c r="N1378" s="23">
        <f>($G1378-$M1378)*100</f>
        <v/>
      </c>
      <c r="O1378" s="15">
        <f>($E1378-$C1378)*100</f>
        <v/>
      </c>
      <c r="P1378" s="15">
        <f>($G1378-$E1378)*100</f>
        <v/>
      </c>
      <c r="Q1378" s="15">
        <f>($G1378-$C1378)*100</f>
        <v/>
      </c>
      <c r="R1378" s="15">
        <f>IF($H1378="","",($H1378-$F1378)*100)</f>
        <v/>
      </c>
      <c r="S1378" s="15">
        <f>IF($H1378="","",($H1378-$G1378)*100)</f>
        <v/>
      </c>
    </row>
    <row r="1379">
      <c r="A1379" s="11" t="n">
        <v>46136</v>
      </c>
      <c r="B1379" s="22" t="n">
        <v>1.069</v>
      </c>
      <c r="C1379" s="22" t="n">
        <v>1.363</v>
      </c>
      <c r="D1379" s="22" t="n">
        <v>1.842</v>
      </c>
      <c r="E1379" s="22" t="n">
        <v>2.443</v>
      </c>
      <c r="F1379" s="22" t="n">
        <v>3.318</v>
      </c>
      <c r="G1379" s="22" t="n">
        <v>3.66</v>
      </c>
      <c r="H1379" s="22" t="n">
        <v>3.667</v>
      </c>
      <c r="I1379" s="22" t="n">
        <v>4.91</v>
      </c>
      <c r="J1379" s="22" t="n">
        <v>3.67</v>
      </c>
      <c r="K1379" s="22" t="n">
        <v>4.31</v>
      </c>
      <c r="L1379" s="17">
        <f>$J1379-$B1379</f>
        <v/>
      </c>
      <c r="M1379" s="17">
        <f>$I1379-$L1379</f>
        <v/>
      </c>
      <c r="N1379" s="23">
        <f>($G1379-$M1379)*100</f>
        <v/>
      </c>
      <c r="O1379" s="15">
        <f>($E1379-$C1379)*100</f>
        <v/>
      </c>
      <c r="P1379" s="15">
        <f>($G1379-$E1379)*100</f>
        <v/>
      </c>
      <c r="Q1379" s="15">
        <f>($G1379-$C1379)*100</f>
        <v/>
      </c>
      <c r="R1379" s="15">
        <f>IF($H1379="","",($H1379-$F1379)*100)</f>
        <v/>
      </c>
      <c r="S1379" s="15">
        <f>IF($H1379="","",($H1379-$G1379)*100)</f>
        <v/>
      </c>
    </row>
    <row r="1380">
      <c r="A1380" s="11" t="n">
        <v>46143</v>
      </c>
      <c r="B1380" s="22" t="n">
        <v>1.073</v>
      </c>
      <c r="C1380" s="22" t="n">
        <v>1.385</v>
      </c>
      <c r="D1380" s="22" t="n">
        <v>1.888</v>
      </c>
      <c r="E1380" s="22" t="n">
        <v>2.507</v>
      </c>
      <c r="F1380" s="22" t="n">
        <v>3.381</v>
      </c>
      <c r="G1380" s="22" t="n">
        <v>3.706</v>
      </c>
      <c r="H1380" s="22" t="n">
        <v>3.73</v>
      </c>
      <c r="I1380" s="22" t="n">
        <v>4.97</v>
      </c>
      <c r="J1380" s="22" t="n">
        <v>3.73</v>
      </c>
      <c r="K1380" s="22" t="n">
        <v>4.39</v>
      </c>
      <c r="L1380" s="17">
        <f>$J1380-$B1380</f>
        <v/>
      </c>
      <c r="M1380" s="17">
        <f>$I1380-$L1380</f>
        <v/>
      </c>
      <c r="N1380" s="23">
        <f>($G1380-$M1380)*100</f>
        <v/>
      </c>
      <c r="O1380" s="15">
        <f>($E1380-$C1380)*100</f>
        <v/>
      </c>
      <c r="P1380" s="15">
        <f>($G1380-$E1380)*100</f>
        <v/>
      </c>
      <c r="Q1380" s="15">
        <f>($G1380-$C1380)*100</f>
        <v/>
      </c>
      <c r="R1380" s="15">
        <f>IF($H1380="","",($H1380-$F1380)*100)</f>
        <v/>
      </c>
      <c r="S1380" s="15">
        <f>IF($H1380="","",($H1380-$G1380)*100)</f>
        <v/>
      </c>
    </row>
    <row r="1381">
      <c r="A1381" s="11" t="n">
        <v>46150</v>
      </c>
      <c r="B1381" s="22" t="n">
        <v>1.077</v>
      </c>
      <c r="C1381" s="22" t="n">
        <v>1.378</v>
      </c>
      <c r="D1381" s="22" t="n">
        <v>1.875</v>
      </c>
      <c r="E1381" s="22" t="n">
        <v>2.485</v>
      </c>
      <c r="F1381" s="22" t="n">
        <v>3.369</v>
      </c>
      <c r="G1381" s="22" t="n">
        <v>3.706</v>
      </c>
      <c r="H1381" s="22" t="n">
        <v>3.739</v>
      </c>
      <c r="I1381" s="22" t="n">
        <v>4.95</v>
      </c>
      <c r="J1381" s="22" t="n">
        <v>3.75</v>
      </c>
      <c r="K1381" s="22" t="n">
        <v>4.38</v>
      </c>
      <c r="L1381" s="17">
        <f>$J1381-$B1381</f>
        <v/>
      </c>
      <c r="M1381" s="17">
        <f>$I1381-$L1381</f>
        <v/>
      </c>
      <c r="N1381" s="23">
        <f>($G1381-$M1381)*100</f>
        <v/>
      </c>
      <c r="O1381" s="15">
        <f>($E1381-$C1381)*100</f>
        <v/>
      </c>
      <c r="P1381" s="15">
        <f>($G1381-$E1381)*100</f>
        <v/>
      </c>
      <c r="Q1381" s="15">
        <f>($G1381-$C1381)*100</f>
        <v/>
      </c>
      <c r="R1381" s="15">
        <f>IF($H1381="","",($H1381-$F1381)*100)</f>
        <v/>
      </c>
      <c r="S1381" s="15">
        <f>IF($H1381="","",($H1381-$G1381)*100)</f>
        <v/>
      </c>
    </row>
    <row r="1382">
      <c r="A1382" s="11" t="n">
        <v>46157</v>
      </c>
      <c r="B1382" s="22" t="n">
        <v>1.112</v>
      </c>
      <c r="C1382" s="22" t="n">
        <v>1.413</v>
      </c>
      <c r="D1382" s="22" t="n">
        <v>2</v>
      </c>
      <c r="E1382" s="22" t="n">
        <v>2.691</v>
      </c>
      <c r="F1382" s="22" t="n">
        <v>3.603</v>
      </c>
      <c r="G1382" s="22" t="n">
        <v>3.922</v>
      </c>
      <c r="H1382" s="22" t="n">
        <v>3.916</v>
      </c>
      <c r="I1382" s="22" t="n">
        <v>5.12</v>
      </c>
      <c r="J1382" s="22" t="n">
        <v>3.82</v>
      </c>
      <c r="K1382" s="22" t="n">
        <v>4.59</v>
      </c>
      <c r="L1382" s="17">
        <f>$J1382-$B1382</f>
        <v/>
      </c>
      <c r="M1382" s="17">
        <f>$I1382-$L1382</f>
        <v/>
      </c>
      <c r="N1382" s="23">
        <f>($G1382-$M1382)*100</f>
        <v/>
      </c>
      <c r="O1382" s="15">
        <f>($E1382-$C1382)*100</f>
        <v/>
      </c>
      <c r="P1382" s="15">
        <f>($G1382-$E1382)*100</f>
        <v/>
      </c>
      <c r="Q1382" s="15">
        <f>($G1382-$C1382)*100</f>
        <v/>
      </c>
      <c r="R1382" s="15">
        <f>IF($H1382="","",($H1382-$F1382)*100)</f>
        <v/>
      </c>
      <c r="S1382" s="15">
        <f>IF($H1382="","",($H1382-$G1382)*100)</f>
        <v/>
      </c>
    </row>
    <row r="1383">
      <c r="A1383" s="11" t="n">
        <v>46164</v>
      </c>
      <c r="B1383" s="22" t="n">
        <v>1.132</v>
      </c>
      <c r="C1383" s="22" t="n">
        <v>1.443</v>
      </c>
      <c r="D1383" s="22" t="n">
        <v>2.026</v>
      </c>
      <c r="E1383" s="22" t="n">
        <v>2.749</v>
      </c>
      <c r="F1383" s="22" t="n">
        <v>3.644</v>
      </c>
      <c r="G1383" s="22" t="n">
        <v>3.931</v>
      </c>
      <c r="H1383" s="22" t="n">
        <v>3.921</v>
      </c>
      <c r="I1383" s="22" t="n">
        <v>5.07</v>
      </c>
      <c r="J1383" s="22" t="n">
        <v>3.86</v>
      </c>
      <c r="K1383" s="22" t="n">
        <v>4.56</v>
      </c>
      <c r="L1383" s="17">
        <f>$J1383-$B1383</f>
        <v/>
      </c>
      <c r="M1383" s="17">
        <f>$I1383-$L1383</f>
        <v/>
      </c>
      <c r="N1383" s="23">
        <f>($G1383-$M1383)*100</f>
        <v/>
      </c>
      <c r="O1383" s="15">
        <f>($E1383-$C1383)*100</f>
        <v/>
      </c>
      <c r="P1383" s="15">
        <f>($G1383-$E1383)*100</f>
        <v/>
      </c>
      <c r="Q1383" s="15">
        <f>($G1383-$C1383)*100</f>
        <v/>
      </c>
      <c r="R1383" s="15">
        <f>IF($H1383="","",($H1383-$F1383)*100)</f>
        <v/>
      </c>
      <c r="S1383" s="15">
        <f>IF($H1383="","",($H1383-$G1383)*100)</f>
        <v/>
      </c>
    </row>
    <row r="1384">
      <c r="A1384" s="11" t="n">
        <v>46171</v>
      </c>
      <c r="B1384" s="22" t="n">
        <v>1.117</v>
      </c>
      <c r="C1384" s="22" t="n">
        <v>1.393</v>
      </c>
      <c r="D1384" s="22" t="n">
        <v>1.919</v>
      </c>
      <c r="E1384" s="22" t="n">
        <v>2.657</v>
      </c>
      <c r="F1384" s="22" t="n">
        <v>3.549</v>
      </c>
      <c r="G1384" s="22" t="n">
        <v>3.859</v>
      </c>
      <c r="H1384" s="22" t="n">
        <v>3.789</v>
      </c>
      <c r="I1384" s="22" t="n">
        <v>4.99</v>
      </c>
      <c r="J1384" s="22" t="n">
        <v>3.79</v>
      </c>
      <c r="K1384" s="22" t="n">
        <v>4.45</v>
      </c>
      <c r="L1384" s="17">
        <f>$J1384-$B1384</f>
        <v/>
      </c>
      <c r="M1384" s="17">
        <f>$I1384-$L1384</f>
        <v/>
      </c>
      <c r="N1384" s="23">
        <f>($G1384-$M1384)*100</f>
        <v/>
      </c>
      <c r="O1384" s="15">
        <f>($E1384-$C1384)*100</f>
        <v/>
      </c>
      <c r="P1384" s="15">
        <f>($G1384-$E1384)*100</f>
        <v/>
      </c>
      <c r="Q1384" s="15">
        <f>($G1384-$C1384)*100</f>
        <v/>
      </c>
      <c r="R1384" s="15">
        <f>IF($H1384="","",($H1384-$F1384)*100)</f>
        <v/>
      </c>
      <c r="S1384" s="15">
        <f>IF($H1384="","",($H1384-$G1384)*100)</f>
        <v/>
      </c>
    </row>
    <row r="1385">
      <c r="A1385" s="11" t="n">
        <v>46178</v>
      </c>
      <c r="B1385" s="22" t="n">
        <v>1.14</v>
      </c>
      <c r="C1385" s="22" t="n">
        <v>1.412</v>
      </c>
      <c r="D1385" s="22" t="n">
        <v>1.955</v>
      </c>
      <c r="E1385" s="22" t="n">
        <v>2.669</v>
      </c>
      <c r="F1385" s="22" t="n">
        <v>3.551</v>
      </c>
      <c r="G1385" s="22" t="n">
        <v>3.841</v>
      </c>
      <c r="H1385" s="22" t="n">
        <v>3.753</v>
      </c>
      <c r="I1385" s="22" t="n">
        <v>5.01</v>
      </c>
      <c r="J1385" s="22" t="n">
        <v>3.88</v>
      </c>
      <c r="K1385" s="22" t="n">
        <v>4.55</v>
      </c>
      <c r="L1385" s="17">
        <f>$J1385-$B1385</f>
        <v/>
      </c>
      <c r="M1385" s="17">
        <f>$I1385-$L1385</f>
        <v/>
      </c>
      <c r="N1385" s="23">
        <f>($G1385-$M1385)*100</f>
        <v/>
      </c>
      <c r="O1385" s="15">
        <f>($E1385-$C1385)*100</f>
        <v/>
      </c>
      <c r="P1385" s="15">
        <f>($G1385-$E1385)*100</f>
        <v/>
      </c>
      <c r="Q1385" s="15">
        <f>($G1385-$C1385)*100</f>
        <v/>
      </c>
      <c r="R1385" s="15">
        <f>IF($H1385="","",($H1385-$F1385)*100)</f>
        <v/>
      </c>
      <c r="S1385" s="15">
        <f>IF($H1385="","",($H1385-$G1385)*100)</f>
        <v/>
      </c>
    </row>
    <row r="1386">
      <c r="A1386" s="11" t="n">
        <v>46185</v>
      </c>
      <c r="B1386" s="22" t="n">
        <v>1.15</v>
      </c>
      <c r="C1386" s="22" t="n">
        <v>1.417</v>
      </c>
      <c r="D1386" s="22" t="n">
        <v>1.938</v>
      </c>
      <c r="E1386" s="22" t="n">
        <v>2.643</v>
      </c>
      <c r="F1386" s="22" t="n">
        <v>3.508</v>
      </c>
      <c r="G1386" s="22" t="n">
        <v>3.767</v>
      </c>
      <c r="H1386" s="22" t="n">
        <v>3.713</v>
      </c>
      <c r="I1386" s="22" t="n">
        <v>4.97</v>
      </c>
      <c r="J1386" s="22" t="n">
        <v>3.86</v>
      </c>
      <c r="K1386" s="22" t="n">
        <v>4.48</v>
      </c>
      <c r="L1386" s="17">
        <f>$J1386-$B1386</f>
        <v/>
      </c>
      <c r="M1386" s="17">
        <f>$I1386-$L1386</f>
        <v/>
      </c>
      <c r="N1386" s="23">
        <f>($G1386-$M1386)*100</f>
        <v/>
      </c>
      <c r="O1386" s="15">
        <f>($E1386-$C1386)*100</f>
        <v/>
      </c>
      <c r="P1386" s="15">
        <f>($G1386-$E1386)*100</f>
        <v/>
      </c>
      <c r="Q1386" s="15">
        <f>($G1386-$C1386)*100</f>
        <v/>
      </c>
      <c r="R1386" s="15">
        <f>IF($H1386="","",($H1386-$F1386)*100)</f>
        <v/>
      </c>
      <c r="S1386" s="15">
        <f>IF($H1386="","",($H1386-$G1386)*100)</f>
        <v/>
      </c>
    </row>
    <row r="1387">
      <c r="A1387" s="11" t="n">
        <v>46192</v>
      </c>
      <c r="B1387" s="22" t="n">
        <v>1.153</v>
      </c>
      <c r="C1387" s="22" t="n">
        <v>1.409</v>
      </c>
      <c r="D1387" s="22" t="n">
        <v>1.928</v>
      </c>
      <c r="E1387" s="22" t="n">
        <v>2.656</v>
      </c>
      <c r="F1387" s="22" t="n">
        <v>3.549</v>
      </c>
      <c r="G1387" s="22" t="n">
        <v>3.786</v>
      </c>
      <c r="H1387" s="22" t="n">
        <v>3.741</v>
      </c>
      <c r="I1387" s="22" t="n">
        <v>4.9</v>
      </c>
      <c r="J1387" s="22" t="n">
        <v>4</v>
      </c>
      <c r="K1387" s="22" t="n">
        <v>4.46</v>
      </c>
      <c r="L1387" s="17">
        <f>$J1387-$B1387</f>
        <v/>
      </c>
      <c r="M1387" s="17">
        <f>$I1387-$L1387</f>
        <v/>
      </c>
      <c r="N1387" s="23">
        <f>($G1387-$M1387)*100</f>
        <v/>
      </c>
      <c r="O1387" s="15">
        <f>($E1387-$C1387)*100</f>
        <v/>
      </c>
      <c r="P1387" s="15">
        <f>($G1387-$E1387)*100</f>
        <v/>
      </c>
      <c r="Q1387" s="15">
        <f>($G1387-$C1387)*100</f>
        <v/>
      </c>
      <c r="R1387" s="15">
        <f>IF($H1387="","",($H1387-$F1387)*100)</f>
        <v/>
      </c>
      <c r="S1387" s="15">
        <f>IF($H1387="","",($H1387-$G1387)*100)</f>
        <v/>
      </c>
    </row>
    <row r="1388">
      <c r="A1388" s="11" t="n">
        <v>46199</v>
      </c>
      <c r="B1388" s="22" t="n">
        <v>1.175</v>
      </c>
      <c r="C1388" s="22" t="n">
        <v>1.409</v>
      </c>
      <c r="D1388" s="22" t="n">
        <v>1.915</v>
      </c>
      <c r="E1388" s="22" t="n">
        <v>2.611</v>
      </c>
      <c r="F1388" s="22" t="n">
        <v>3.506</v>
      </c>
      <c r="G1388" s="22" t="n">
        <v>3.759</v>
      </c>
      <c r="H1388" s="22" t="n">
        <v>3.694</v>
      </c>
      <c r="I1388" s="22" t="n">
        <v>4.87</v>
      </c>
      <c r="J1388" s="22" t="n">
        <v>3.94</v>
      </c>
      <c r="K1388" s="22" t="n">
        <v>4.38</v>
      </c>
      <c r="L1388" s="17">
        <f>$J1388-$B1388</f>
        <v/>
      </c>
      <c r="M1388" s="17">
        <f>$I1388-$L1388</f>
        <v/>
      </c>
      <c r="N1388" s="23">
        <f>($G1388-$M1388)*100</f>
        <v/>
      </c>
      <c r="O1388" s="15">
        <f>($E1388-$C1388)*100</f>
        <v/>
      </c>
      <c r="P1388" s="15">
        <f>($G1388-$E1388)*100</f>
        <v/>
      </c>
      <c r="Q1388" s="15">
        <f>($G1388-$C1388)*100</f>
        <v/>
      </c>
      <c r="R1388" s="15">
        <f>IF($H1388="","",($H1388-$F1388)*100)</f>
        <v/>
      </c>
      <c r="S1388" s="15">
        <f>IF($H1388="","",($H1388-$G1388)*100)</f>
        <v/>
      </c>
    </row>
    <row r="1389">
      <c r="A1389" s="11" t="n">
        <v>46206</v>
      </c>
      <c r="B1389" s="22" t="n">
        <v>1.159</v>
      </c>
      <c r="C1389" s="22" t="n">
        <v>1.39</v>
      </c>
      <c r="D1389" s="22" t="n">
        <v>1.971</v>
      </c>
      <c r="E1389" s="22" t="n">
        <v>2.768</v>
      </c>
      <c r="F1389" s="22" t="n">
        <v>3.699</v>
      </c>
      <c r="G1389" s="22" t="n">
        <v>3.94</v>
      </c>
      <c r="H1389" s="22" t="n">
        <v>3.834</v>
      </c>
      <c r="I1389" s="22" t="n">
        <v>4.98</v>
      </c>
      <c r="J1389" s="22" t="n">
        <v>3.96</v>
      </c>
      <c r="K1389" s="22" t="n">
        <v>4.49</v>
      </c>
      <c r="L1389" s="17">
        <f>$J1389-$B1389</f>
        <v/>
      </c>
      <c r="M1389" s="17">
        <f>$I1389-$L1389</f>
        <v/>
      </c>
      <c r="N1389" s="23">
        <f>($G1389-$M1389)*100</f>
        <v/>
      </c>
      <c r="O1389" s="15">
        <f>($E1389-$C1389)*100</f>
        <v/>
      </c>
      <c r="P1389" s="15">
        <f>($G1389-$E1389)*100</f>
        <v/>
      </c>
      <c r="Q1389" s="15">
        <f>($G1389-$C1389)*100</f>
        <v/>
      </c>
      <c r="R1389" s="15">
        <f>IF($H1389="","",($H1389-$F1389)*100)</f>
        <v/>
      </c>
      <c r="S1389" s="15">
        <f>IF($H1389="","",($H1389-$G1389)*100)</f>
        <v/>
      </c>
    </row>
    <row r="1390">
      <c r="A1390" s="11" t="n">
        <v>46213</v>
      </c>
      <c r="B1390" s="22" t="n">
        <v>1.184</v>
      </c>
      <c r="C1390" s="22" t="n">
        <v>1.434</v>
      </c>
      <c r="D1390" s="22" t="n">
        <v>1.99</v>
      </c>
      <c r="E1390" s="22" t="n">
        <v>2.761</v>
      </c>
      <c r="F1390" s="22" t="n">
        <v>3.702</v>
      </c>
      <c r="G1390" s="22" t="n">
        <v>3.938</v>
      </c>
      <c r="H1390" s="22" t="n">
        <v>3.891</v>
      </c>
      <c r="I1390" s="22" t="n">
        <v>5.06</v>
      </c>
      <c r="J1390" s="22" t="n">
        <v>4.06</v>
      </c>
      <c r="K1390" s="22" t="n">
        <v>4.56</v>
      </c>
      <c r="L1390" s="17">
        <f>$J1390-$B1390</f>
        <v/>
      </c>
      <c r="M1390" s="17">
        <f>$I1390-$L1390</f>
        <v/>
      </c>
      <c r="N1390" s="23">
        <f>($G1390-$M1390)*100</f>
        <v/>
      </c>
      <c r="O1390" s="15">
        <f>($E1390-$C1390)*100</f>
        <v/>
      </c>
      <c r="P1390" s="15">
        <f>($G1390-$E1390)*100</f>
        <v/>
      </c>
      <c r="Q1390" s="15">
        <f>($G1390-$C1390)*100</f>
        <v/>
      </c>
      <c r="R1390" s="15">
        <f>IF($H1390="","",($H1390-$F1390)*100)</f>
        <v/>
      </c>
      <c r="S1390" s="15">
        <f>IF($H1390="","",($H1390-$G1390)*100)</f>
        <v/>
      </c>
    </row>
    <row r="1391">
      <c r="A1391" s="11" t="n">
        <v>46220</v>
      </c>
      <c r="B1391" s="22" t="n">
        <v>1.2</v>
      </c>
      <c r="C1391" s="22" t="n">
        <v>1.436</v>
      </c>
      <c r="D1391" s="22" t="n">
        <v>1.945</v>
      </c>
      <c r="E1391" s="22" t="n">
        <v>2.715</v>
      </c>
      <c r="F1391" s="22" t="n">
        <v>3.63</v>
      </c>
      <c r="G1391" s="22" t="n">
        <v>3.894</v>
      </c>
      <c r="H1391" s="22" t="n">
        <v>3.841</v>
      </c>
      <c r="I1391" s="22" t="n">
        <v>5.06</v>
      </c>
      <c r="J1391" s="22" t="n">
        <v>4.01</v>
      </c>
      <c r="K1391" s="22" t="n">
        <v>4.55</v>
      </c>
      <c r="L1391" s="17">
        <f>$J1391-$B1391</f>
        <v/>
      </c>
      <c r="M1391" s="17">
        <f>$I1391-$L1391</f>
        <v/>
      </c>
      <c r="N1391" s="23">
        <f>($G1391-$M1391)*100</f>
        <v/>
      </c>
      <c r="O1391" s="15">
        <f>($E1391-$C1391)*100</f>
        <v/>
      </c>
      <c r="P1391" s="15">
        <f>($G1391-$E1391)*100</f>
        <v/>
      </c>
      <c r="Q1391" s="15">
        <f>($G1391-$C1391)*100</f>
        <v/>
      </c>
      <c r="R1391" s="15">
        <f>IF($H1391="","",($H1391-$F1391)*100)</f>
        <v/>
      </c>
      <c r="S1391" s="15">
        <f>IF($H1391="","",($H1391-$G1391)*100)</f>
        <v/>
      </c>
    </row>
    <row r="1392">
      <c r="A1392" s="11" t="n">
        <v>46227</v>
      </c>
      <c r="B1392" s="22" t="n">
        <v>1.261</v>
      </c>
      <c r="C1392" s="22" t="n">
        <v>1.531</v>
      </c>
      <c r="D1392" s="22" t="n">
        <v>2.06</v>
      </c>
      <c r="E1392" s="22" t="n">
        <v>2.815</v>
      </c>
      <c r="F1392" s="22" t="n">
        <v>3.69</v>
      </c>
      <c r="G1392" s="22" t="n">
        <v>3.98</v>
      </c>
      <c r="H1392" s="22" t="n">
        <v>3.948</v>
      </c>
      <c r="I1392" s="22" t="n">
        <v>5.16</v>
      </c>
      <c r="J1392" s="22" t="n">
        <v>4.14</v>
      </c>
      <c r="K1392" s="22" t="n">
        <v>4.69</v>
      </c>
      <c r="L1392" s="17">
        <f>$J1392-$B1392</f>
        <v/>
      </c>
      <c r="M1392" s="17">
        <f>$I1392-$L1392</f>
        <v/>
      </c>
      <c r="N1392" s="23">
        <f>($G1392-$M1392)*100</f>
        <v/>
      </c>
      <c r="O1392" s="15">
        <f>($E1392-$C1392)*100</f>
        <v/>
      </c>
      <c r="P1392" s="15">
        <f>($G1392-$E1392)*100</f>
        <v/>
      </c>
      <c r="Q1392" s="15">
        <f>($G1392-$C1392)*100</f>
        <v/>
      </c>
      <c r="R1392" s="15">
        <f>IF($H1392="","",($H1392-$F1392)*100)</f>
        <v/>
      </c>
      <c r="S1392" s="15">
        <f>IF($H1392="","",($H1392-$G1392)*100)</f>
        <v/>
      </c>
    </row>
    <row r="1393">
      <c r="A1393" s="11" t="n">
        <v>46234</v>
      </c>
      <c r="B1393" s="22" t="n">
        <v>1.255</v>
      </c>
      <c r="C1393" s="22" t="n">
        <v>1.507</v>
      </c>
      <c r="D1393" s="22" t="n">
        <v>2.044</v>
      </c>
      <c r="E1393" s="22" t="n">
        <v>2.801</v>
      </c>
      <c r="F1393" s="22" t="n">
        <v>3.69</v>
      </c>
      <c r="G1393" s="22" t="n">
        <v>3.982</v>
      </c>
      <c r="H1393" s="22" t="n">
        <v>3.967</v>
      </c>
      <c r="I1393" s="22" t="n">
        <v>5.27</v>
      </c>
      <c r="J1393" s="22" t="n">
        <v>4.08</v>
      </c>
      <c r="K1393" s="22" t="n">
        <v>4.75</v>
      </c>
      <c r="L1393" s="17">
        <f>$J1393-$B1393</f>
        <v/>
      </c>
      <c r="M1393" s="17">
        <f>$I1393-$L1393</f>
        <v/>
      </c>
      <c r="N1393" s="23">
        <f>($G1393-$M1393)*100</f>
        <v/>
      </c>
      <c r="O1393" s="15">
        <f>($E1393-$C1393)*100</f>
        <v/>
      </c>
      <c r="P1393" s="15">
        <f>($G1393-$E1393)*100</f>
        <v/>
      </c>
      <c r="Q1393" s="15">
        <f>($G1393-$C1393)*100</f>
        <v/>
      </c>
      <c r="R1393" s="15">
        <f>IF($H1393="","",($H1393-$F1393)*100)</f>
        <v/>
      </c>
      <c r="S1393" s="15">
        <f>IF($H1393="","",($H1393-$G1393)*100)</f>
        <v/>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J1393"/>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12" customWidth="1" min="1" max="1"/>
    <col width="19" customWidth="1" min="2" max="2"/>
    <col width="19" customWidth="1" min="3" max="3"/>
    <col width="19" customWidth="1" min="4" max="4"/>
  </cols>
  <sheetData>
    <row r="1">
      <c r="A1" s="1" t="inlineStr">
        <is>
          <t>What the front end has already priced</t>
        </is>
      </c>
    </row>
    <row r="2">
      <c r="A2" s="2" t="inlineStr">
        <is>
          <t>Weekly, Friday. The 2y reads live off JGBCurve. The call rate is the realised overnight rate, monthly, carried between prints; against the 1.00% target the gap is about 17bp narrower.</t>
        </is>
      </c>
    </row>
    <row r="3" ht="4" customHeight="1">
      <c r="A3" s="3" t="n"/>
      <c r="B3" s="3" t="n"/>
      <c r="C3" s="3" t="n"/>
      <c r="D3" s="3" t="n"/>
      <c r="E3" s="3" t="n"/>
      <c r="F3" s="3" t="n"/>
      <c r="G3" s="3" t="n"/>
      <c r="H3" s="3" t="n"/>
      <c r="I3" s="3" t="n"/>
      <c r="J3" s="3" t="n"/>
    </row>
    <row r="6" ht="30" customHeight="1">
      <c r="A6" s="9" t="inlineStr">
        <is>
          <t>Date</t>
        </is>
      </c>
      <c r="B6" s="10" t="inlineStr">
        <is>
          <t>JGB 2y</t>
        </is>
      </c>
      <c r="C6" s="10" t="inlineStr">
        <is>
          <t>Overnight call rate</t>
        </is>
      </c>
      <c r="D6" s="10" t="inlineStr">
        <is>
          <t>Priced tightening, bp</t>
        </is>
      </c>
    </row>
    <row r="7">
      <c r="A7" s="11" t="n">
        <v>36532</v>
      </c>
      <c r="B7" s="22">
        <f>'JGBCurve'!$C$7</f>
        <v/>
      </c>
      <c r="C7" s="22" t="n">
        <v>0.0205</v>
      </c>
      <c r="D7" s="23">
        <f>($B7-$C7)*100</f>
        <v/>
      </c>
    </row>
    <row r="8">
      <c r="A8" s="11" t="n">
        <v>36539</v>
      </c>
      <c r="B8" s="22">
        <f>'JGBCurve'!$C$8</f>
        <v/>
      </c>
      <c r="C8" s="22" t="n">
        <v>0.0205</v>
      </c>
      <c r="D8" s="23">
        <f>($B8-$C8)*100</f>
        <v/>
      </c>
    </row>
    <row r="9">
      <c r="A9" s="11" t="n">
        <v>36546</v>
      </c>
      <c r="B9" s="22">
        <f>'JGBCurve'!$C$9</f>
        <v/>
      </c>
      <c r="C9" s="22" t="n">
        <v>0.0205</v>
      </c>
      <c r="D9" s="23">
        <f>($B9-$C9)*100</f>
        <v/>
      </c>
    </row>
    <row r="10">
      <c r="A10" s="11" t="n">
        <v>36553</v>
      </c>
      <c r="B10" s="22">
        <f>'JGBCurve'!$C$10</f>
        <v/>
      </c>
      <c r="C10" s="22" t="n">
        <v>0.0205</v>
      </c>
      <c r="D10" s="23">
        <f>($B10-$C10)*100</f>
        <v/>
      </c>
    </row>
    <row r="11">
      <c r="A11" s="11" t="n">
        <v>36560</v>
      </c>
      <c r="B11" s="22">
        <f>'JGBCurve'!$C$11</f>
        <v/>
      </c>
      <c r="C11" s="22" t="n">
        <v>0.0345</v>
      </c>
      <c r="D11" s="23">
        <f>($B11-$C11)*100</f>
        <v/>
      </c>
    </row>
    <row r="12">
      <c r="A12" s="11" t="n">
        <v>36567</v>
      </c>
      <c r="B12" s="22">
        <f>'JGBCurve'!$C$12</f>
        <v/>
      </c>
      <c r="C12" s="22" t="n">
        <v>0.0345</v>
      </c>
      <c r="D12" s="23">
        <f>($B12-$C12)*100</f>
        <v/>
      </c>
    </row>
    <row r="13">
      <c r="A13" s="11" t="n">
        <v>36574</v>
      </c>
      <c r="B13" s="22">
        <f>'JGBCurve'!$C$13</f>
        <v/>
      </c>
      <c r="C13" s="22" t="n">
        <v>0.0345</v>
      </c>
      <c r="D13" s="23">
        <f>($B13-$C13)*100</f>
        <v/>
      </c>
    </row>
    <row r="14">
      <c r="A14" s="11" t="n">
        <v>36581</v>
      </c>
      <c r="B14" s="22">
        <f>'JGBCurve'!$C$14</f>
        <v/>
      </c>
      <c r="C14" s="22" t="n">
        <v>0.0345</v>
      </c>
      <c r="D14" s="23">
        <f>($B14-$C14)*100</f>
        <v/>
      </c>
    </row>
    <row r="15">
      <c r="A15" s="11" t="n">
        <v>36588</v>
      </c>
      <c r="B15" s="22">
        <f>'JGBCurve'!$C$15</f>
        <v/>
      </c>
      <c r="C15" s="22" t="n">
        <v>0.0214</v>
      </c>
      <c r="D15" s="23">
        <f>($B15-$C15)*100</f>
        <v/>
      </c>
    </row>
    <row r="16">
      <c r="A16" s="11" t="n">
        <v>36595</v>
      </c>
      <c r="B16" s="22">
        <f>'JGBCurve'!$C$16</f>
        <v/>
      </c>
      <c r="C16" s="22" t="n">
        <v>0.0214</v>
      </c>
      <c r="D16" s="23">
        <f>($B16-$C16)*100</f>
        <v/>
      </c>
    </row>
    <row r="17">
      <c r="A17" s="11" t="n">
        <v>36602</v>
      </c>
      <c r="B17" s="22">
        <f>'JGBCurve'!$C$17</f>
        <v/>
      </c>
      <c r="C17" s="22" t="n">
        <v>0.0214</v>
      </c>
      <c r="D17" s="23">
        <f>($B17-$C17)*100</f>
        <v/>
      </c>
    </row>
    <row r="18">
      <c r="A18" s="11" t="n">
        <v>36609</v>
      </c>
      <c r="B18" s="22">
        <f>'JGBCurve'!$C$18</f>
        <v/>
      </c>
      <c r="C18" s="22" t="n">
        <v>0.0214</v>
      </c>
      <c r="D18" s="23">
        <f>($B18-$C18)*100</f>
        <v/>
      </c>
    </row>
    <row r="19">
      <c r="A19" s="11" t="n">
        <v>36616</v>
      </c>
      <c r="B19" s="22">
        <f>'JGBCurve'!$C$19</f>
        <v/>
      </c>
      <c r="C19" s="22" t="n">
        <v>0.0214</v>
      </c>
      <c r="D19" s="23">
        <f>($B19-$C19)*100</f>
        <v/>
      </c>
    </row>
    <row r="20">
      <c r="A20" s="11" t="n">
        <v>36623</v>
      </c>
      <c r="B20" s="22">
        <f>'JGBCurve'!$C$20</f>
        <v/>
      </c>
      <c r="C20" s="22" t="n">
        <v>0.02</v>
      </c>
      <c r="D20" s="23">
        <f>($B20-$C20)*100</f>
        <v/>
      </c>
    </row>
    <row r="21">
      <c r="A21" s="11" t="n">
        <v>36630</v>
      </c>
      <c r="B21" s="22">
        <f>'JGBCurve'!$C$21</f>
        <v/>
      </c>
      <c r="C21" s="22" t="n">
        <v>0.02</v>
      </c>
      <c r="D21" s="23">
        <f>($B21-$C21)*100</f>
        <v/>
      </c>
    </row>
    <row r="22">
      <c r="A22" s="11" t="n">
        <v>36637</v>
      </c>
      <c r="B22" s="22">
        <f>'JGBCurve'!$C$22</f>
        <v/>
      </c>
      <c r="C22" s="22" t="n">
        <v>0.02</v>
      </c>
      <c r="D22" s="23">
        <f>($B22-$C22)*100</f>
        <v/>
      </c>
    </row>
    <row r="23">
      <c r="A23" s="11" t="n">
        <v>36644</v>
      </c>
      <c r="B23" s="22">
        <f>'JGBCurve'!$C$23</f>
        <v/>
      </c>
      <c r="C23" s="22" t="n">
        <v>0.02</v>
      </c>
      <c r="D23" s="23">
        <f>($B23-$C23)*100</f>
        <v/>
      </c>
    </row>
    <row r="24">
      <c r="A24" s="11" t="n">
        <v>36651</v>
      </c>
      <c r="B24" s="22">
        <f>'JGBCurve'!$C$24</f>
        <v/>
      </c>
      <c r="C24" s="22" t="n">
        <v>0.021</v>
      </c>
      <c r="D24" s="23">
        <f>($B24-$C24)*100</f>
        <v/>
      </c>
    </row>
    <row r="25">
      <c r="A25" s="11" t="n">
        <v>36658</v>
      </c>
      <c r="B25" s="22">
        <f>'JGBCurve'!$C$25</f>
        <v/>
      </c>
      <c r="C25" s="22" t="n">
        <v>0.021</v>
      </c>
      <c r="D25" s="23">
        <f>($B25-$C25)*100</f>
        <v/>
      </c>
    </row>
    <row r="26">
      <c r="A26" s="11" t="n">
        <v>36665</v>
      </c>
      <c r="B26" s="22">
        <f>'JGBCurve'!$C$26</f>
        <v/>
      </c>
      <c r="C26" s="22" t="n">
        <v>0.021</v>
      </c>
      <c r="D26" s="23">
        <f>($B26-$C26)*100</f>
        <v/>
      </c>
    </row>
    <row r="27">
      <c r="A27" s="11" t="n">
        <v>36672</v>
      </c>
      <c r="B27" s="22">
        <f>'JGBCurve'!$C$27</f>
        <v/>
      </c>
      <c r="C27" s="22" t="n">
        <v>0.021</v>
      </c>
      <c r="D27" s="23">
        <f>($B27-$C27)*100</f>
        <v/>
      </c>
    </row>
    <row r="28">
      <c r="A28" s="11" t="n">
        <v>36679</v>
      </c>
      <c r="B28" s="22">
        <f>'JGBCurve'!$C$28</f>
        <v/>
      </c>
      <c r="C28" s="22" t="n">
        <v>0.0209</v>
      </c>
      <c r="D28" s="23">
        <f>($B28-$C28)*100</f>
        <v/>
      </c>
    </row>
    <row r="29">
      <c r="A29" s="11" t="n">
        <v>36686</v>
      </c>
      <c r="B29" s="22">
        <f>'JGBCurve'!$C$29</f>
        <v/>
      </c>
      <c r="C29" s="22" t="n">
        <v>0.0209</v>
      </c>
      <c r="D29" s="23">
        <f>($B29-$C29)*100</f>
        <v/>
      </c>
    </row>
    <row r="30">
      <c r="A30" s="11" t="n">
        <v>36693</v>
      </c>
      <c r="B30" s="22">
        <f>'JGBCurve'!$C$30</f>
        <v/>
      </c>
      <c r="C30" s="22" t="n">
        <v>0.0209</v>
      </c>
      <c r="D30" s="23">
        <f>($B30-$C30)*100</f>
        <v/>
      </c>
    </row>
    <row r="31">
      <c r="A31" s="11" t="n">
        <v>36700</v>
      </c>
      <c r="B31" s="22">
        <f>'JGBCurve'!$C$31</f>
        <v/>
      </c>
      <c r="C31" s="22" t="n">
        <v>0.0209</v>
      </c>
      <c r="D31" s="23">
        <f>($B31-$C31)*100</f>
        <v/>
      </c>
    </row>
    <row r="32">
      <c r="A32" s="11" t="n">
        <v>36707</v>
      </c>
      <c r="B32" s="22">
        <f>'JGBCurve'!$C$32</f>
        <v/>
      </c>
      <c r="C32" s="22" t="n">
        <v>0.0209</v>
      </c>
      <c r="D32" s="23">
        <f>($B32-$C32)*100</f>
        <v/>
      </c>
    </row>
    <row r="33">
      <c r="A33" s="11" t="n">
        <v>36714</v>
      </c>
      <c r="B33" s="22">
        <f>'JGBCurve'!$C$33</f>
        <v/>
      </c>
      <c r="C33" s="22" t="n">
        <v>0.021</v>
      </c>
      <c r="D33" s="23">
        <f>($B33-$C33)*100</f>
        <v/>
      </c>
    </row>
    <row r="34">
      <c r="A34" s="11" t="n">
        <v>36721</v>
      </c>
      <c r="B34" s="22">
        <f>'JGBCurve'!$C$34</f>
        <v/>
      </c>
      <c r="C34" s="22" t="n">
        <v>0.021</v>
      </c>
      <c r="D34" s="23">
        <f>($B34-$C34)*100</f>
        <v/>
      </c>
    </row>
    <row r="35">
      <c r="A35" s="11" t="n">
        <v>36728</v>
      </c>
      <c r="B35" s="22">
        <f>'JGBCurve'!$C$35</f>
        <v/>
      </c>
      <c r="C35" s="22" t="n">
        <v>0.021</v>
      </c>
      <c r="D35" s="23">
        <f>($B35-$C35)*100</f>
        <v/>
      </c>
    </row>
    <row r="36">
      <c r="A36" s="11" t="n">
        <v>36735</v>
      </c>
      <c r="B36" s="22">
        <f>'JGBCurve'!$C$36</f>
        <v/>
      </c>
      <c r="C36" s="22" t="n">
        <v>0.021</v>
      </c>
      <c r="D36" s="23">
        <f>($B36-$C36)*100</f>
        <v/>
      </c>
    </row>
    <row r="37">
      <c r="A37" s="11" t="n">
        <v>36742</v>
      </c>
      <c r="B37" s="22">
        <f>'JGBCurve'!$C$37</f>
        <v/>
      </c>
      <c r="C37" s="22" t="n">
        <v>0.1552</v>
      </c>
      <c r="D37" s="23">
        <f>($B37-$C37)*100</f>
        <v/>
      </c>
    </row>
    <row r="38">
      <c r="A38" s="11" t="n">
        <v>36749</v>
      </c>
      <c r="B38" s="22">
        <f>'JGBCurve'!$C$38</f>
        <v/>
      </c>
      <c r="C38" s="22" t="n">
        <v>0.1552</v>
      </c>
      <c r="D38" s="23">
        <f>($B38-$C38)*100</f>
        <v/>
      </c>
    </row>
    <row r="39">
      <c r="A39" s="11" t="n">
        <v>36756</v>
      </c>
      <c r="B39" s="22">
        <f>'JGBCurve'!$C$39</f>
        <v/>
      </c>
      <c r="C39" s="22" t="n">
        <v>0.1552</v>
      </c>
      <c r="D39" s="23">
        <f>($B39-$C39)*100</f>
        <v/>
      </c>
    </row>
    <row r="40">
      <c r="A40" s="11" t="n">
        <v>36763</v>
      </c>
      <c r="B40" s="22">
        <f>'JGBCurve'!$C$40</f>
        <v/>
      </c>
      <c r="C40" s="22" t="n">
        <v>0.1552</v>
      </c>
      <c r="D40" s="23">
        <f>($B40-$C40)*100</f>
        <v/>
      </c>
    </row>
    <row r="41">
      <c r="A41" s="11" t="n">
        <v>36770</v>
      </c>
      <c r="B41" s="22">
        <f>'JGBCurve'!$C$41</f>
        <v/>
      </c>
      <c r="C41" s="22" t="n">
        <v>0.2495</v>
      </c>
      <c r="D41" s="23">
        <f>($B41-$C41)*100</f>
        <v/>
      </c>
    </row>
    <row r="42">
      <c r="A42" s="11" t="n">
        <v>36777</v>
      </c>
      <c r="B42" s="22">
        <f>'JGBCurve'!$C$42</f>
        <v/>
      </c>
      <c r="C42" s="22" t="n">
        <v>0.2495</v>
      </c>
      <c r="D42" s="23">
        <f>($B42-$C42)*100</f>
        <v/>
      </c>
    </row>
    <row r="43">
      <c r="A43" s="11" t="n">
        <v>36784</v>
      </c>
      <c r="B43" s="22">
        <f>'JGBCurve'!$C$43</f>
        <v/>
      </c>
      <c r="C43" s="22" t="n">
        <v>0.2495</v>
      </c>
      <c r="D43" s="23">
        <f>($B43-$C43)*100</f>
        <v/>
      </c>
    </row>
    <row r="44">
      <c r="A44" s="11" t="n">
        <v>36791</v>
      </c>
      <c r="B44" s="22">
        <f>'JGBCurve'!$C$44</f>
        <v/>
      </c>
      <c r="C44" s="22" t="n">
        <v>0.2495</v>
      </c>
      <c r="D44" s="23">
        <f>($B44-$C44)*100</f>
        <v/>
      </c>
    </row>
    <row r="45">
      <c r="A45" s="11" t="n">
        <v>36798</v>
      </c>
      <c r="B45" s="22">
        <f>'JGBCurve'!$C$45</f>
        <v/>
      </c>
      <c r="C45" s="22" t="n">
        <v>0.2495</v>
      </c>
      <c r="D45" s="23">
        <f>($B45-$C45)*100</f>
        <v/>
      </c>
    </row>
    <row r="46">
      <c r="A46" s="11" t="n">
        <v>36805</v>
      </c>
      <c r="B46" s="22">
        <f>'JGBCurve'!$C$46</f>
        <v/>
      </c>
      <c r="C46" s="22" t="n">
        <v>0.2476</v>
      </c>
      <c r="D46" s="23">
        <f>($B46-$C46)*100</f>
        <v/>
      </c>
    </row>
    <row r="47">
      <c r="A47" s="11" t="n">
        <v>36812</v>
      </c>
      <c r="B47" s="22">
        <f>'JGBCurve'!$C$47</f>
        <v/>
      </c>
      <c r="C47" s="22" t="n">
        <v>0.2476</v>
      </c>
      <c r="D47" s="23">
        <f>($B47-$C47)*100</f>
        <v/>
      </c>
    </row>
    <row r="48">
      <c r="A48" s="11" t="n">
        <v>36819</v>
      </c>
      <c r="B48" s="22">
        <f>'JGBCurve'!$C$48</f>
        <v/>
      </c>
      <c r="C48" s="22" t="n">
        <v>0.2476</v>
      </c>
      <c r="D48" s="23">
        <f>($B48-$C48)*100</f>
        <v/>
      </c>
    </row>
    <row r="49">
      <c r="A49" s="11" t="n">
        <v>36826</v>
      </c>
      <c r="B49" s="22">
        <f>'JGBCurve'!$C$49</f>
        <v/>
      </c>
      <c r="C49" s="22" t="n">
        <v>0.2476</v>
      </c>
      <c r="D49" s="23">
        <f>($B49-$C49)*100</f>
        <v/>
      </c>
    </row>
    <row r="50">
      <c r="A50" s="11" t="n">
        <v>36833</v>
      </c>
      <c r="B50" s="22">
        <f>'JGBCurve'!$C$50</f>
        <v/>
      </c>
      <c r="C50" s="22" t="n">
        <v>0.2475</v>
      </c>
      <c r="D50" s="23">
        <f>($B50-$C50)*100</f>
        <v/>
      </c>
    </row>
    <row r="51">
      <c r="A51" s="11" t="n">
        <v>36840</v>
      </c>
      <c r="B51" s="22">
        <f>'JGBCurve'!$C$51</f>
        <v/>
      </c>
      <c r="C51" s="22" t="n">
        <v>0.2475</v>
      </c>
      <c r="D51" s="23">
        <f>($B51-$C51)*100</f>
        <v/>
      </c>
    </row>
    <row r="52">
      <c r="A52" s="11" t="n">
        <v>36847</v>
      </c>
      <c r="B52" s="22">
        <f>'JGBCurve'!$C$52</f>
        <v/>
      </c>
      <c r="C52" s="22" t="n">
        <v>0.2475</v>
      </c>
      <c r="D52" s="23">
        <f>($B52-$C52)*100</f>
        <v/>
      </c>
    </row>
    <row r="53">
      <c r="A53" s="11" t="n">
        <v>36854</v>
      </c>
      <c r="B53" s="22">
        <f>'JGBCurve'!$C$53</f>
        <v/>
      </c>
      <c r="C53" s="22" t="n">
        <v>0.2475</v>
      </c>
      <c r="D53" s="23">
        <f>($B53-$C53)*100</f>
        <v/>
      </c>
    </row>
    <row r="54">
      <c r="A54" s="11" t="n">
        <v>36861</v>
      </c>
      <c r="B54" s="22">
        <f>'JGBCurve'!$C$54</f>
        <v/>
      </c>
      <c r="C54" s="22" t="n">
        <v>0.2414</v>
      </c>
      <c r="D54" s="23">
        <f>($B54-$C54)*100</f>
        <v/>
      </c>
    </row>
    <row r="55">
      <c r="A55" s="11" t="n">
        <v>36868</v>
      </c>
      <c r="B55" s="22">
        <f>'JGBCurve'!$C$55</f>
        <v/>
      </c>
      <c r="C55" s="22" t="n">
        <v>0.2414</v>
      </c>
      <c r="D55" s="23">
        <f>($B55-$C55)*100</f>
        <v/>
      </c>
    </row>
    <row r="56">
      <c r="A56" s="11" t="n">
        <v>36875</v>
      </c>
      <c r="B56" s="22">
        <f>'JGBCurve'!$C$56</f>
        <v/>
      </c>
      <c r="C56" s="22" t="n">
        <v>0.2414</v>
      </c>
      <c r="D56" s="23">
        <f>($B56-$C56)*100</f>
        <v/>
      </c>
    </row>
    <row r="57">
      <c r="A57" s="11" t="n">
        <v>36882</v>
      </c>
      <c r="B57" s="22">
        <f>'JGBCurve'!$C$57</f>
        <v/>
      </c>
      <c r="C57" s="22" t="n">
        <v>0.2414</v>
      </c>
      <c r="D57" s="23">
        <f>($B57-$C57)*100</f>
        <v/>
      </c>
    </row>
    <row r="58">
      <c r="A58" s="11" t="n">
        <v>36889</v>
      </c>
      <c r="B58" s="22">
        <f>'JGBCurve'!$C$58</f>
        <v/>
      </c>
      <c r="C58" s="22" t="n">
        <v>0.2414</v>
      </c>
      <c r="D58" s="23">
        <f>($B58-$C58)*100</f>
        <v/>
      </c>
    </row>
    <row r="59">
      <c r="A59" s="11" t="n">
        <v>36896</v>
      </c>
      <c r="B59" s="22">
        <f>'JGBCurve'!$C$59</f>
        <v/>
      </c>
      <c r="C59" s="22" t="n">
        <v>0.249</v>
      </c>
      <c r="D59" s="23">
        <f>($B59-$C59)*100</f>
        <v/>
      </c>
    </row>
    <row r="60">
      <c r="A60" s="11" t="n">
        <v>36903</v>
      </c>
      <c r="B60" s="22">
        <f>'JGBCurve'!$C$60</f>
        <v/>
      </c>
      <c r="C60" s="22" t="n">
        <v>0.249</v>
      </c>
      <c r="D60" s="23">
        <f>($B60-$C60)*100</f>
        <v/>
      </c>
    </row>
    <row r="61">
      <c r="A61" s="11" t="n">
        <v>36910</v>
      </c>
      <c r="B61" s="22">
        <f>'JGBCurve'!$C$61</f>
        <v/>
      </c>
      <c r="C61" s="22" t="n">
        <v>0.249</v>
      </c>
      <c r="D61" s="23">
        <f>($B61-$C61)*100</f>
        <v/>
      </c>
    </row>
    <row r="62">
      <c r="A62" s="11" t="n">
        <v>36917</v>
      </c>
      <c r="B62" s="22">
        <f>'JGBCurve'!$C$62</f>
        <v/>
      </c>
      <c r="C62" s="22" t="n">
        <v>0.249</v>
      </c>
      <c r="D62" s="23">
        <f>($B62-$C62)*100</f>
        <v/>
      </c>
    </row>
    <row r="63">
      <c r="A63" s="11" t="n">
        <v>36924</v>
      </c>
      <c r="B63" s="22">
        <f>'JGBCurve'!$C$63</f>
        <v/>
      </c>
      <c r="C63" s="22" t="n">
        <v>0.2484</v>
      </c>
      <c r="D63" s="23">
        <f>($B63-$C63)*100</f>
        <v/>
      </c>
    </row>
    <row r="64">
      <c r="A64" s="11" t="n">
        <v>36931</v>
      </c>
      <c r="B64" s="22">
        <f>'JGBCurve'!$C$64</f>
        <v/>
      </c>
      <c r="C64" s="22" t="n">
        <v>0.2484</v>
      </c>
      <c r="D64" s="23">
        <f>($B64-$C64)*100</f>
        <v/>
      </c>
    </row>
    <row r="65">
      <c r="A65" s="11" t="n">
        <v>36938</v>
      </c>
      <c r="B65" s="22">
        <f>'JGBCurve'!$C$65</f>
        <v/>
      </c>
      <c r="C65" s="22" t="n">
        <v>0.2484</v>
      </c>
      <c r="D65" s="23">
        <f>($B65-$C65)*100</f>
        <v/>
      </c>
    </row>
    <row r="66">
      <c r="A66" s="11" t="n">
        <v>36945</v>
      </c>
      <c r="B66" s="22">
        <f>'JGBCurve'!$C$66</f>
        <v/>
      </c>
      <c r="C66" s="22" t="n">
        <v>0.2484</v>
      </c>
      <c r="D66" s="23">
        <f>($B66-$C66)*100</f>
        <v/>
      </c>
    </row>
    <row r="67">
      <c r="A67" s="11" t="n">
        <v>36952</v>
      </c>
      <c r="B67" s="22">
        <f>'JGBCurve'!$C$67</f>
        <v/>
      </c>
      <c r="C67" s="22" t="n">
        <v>0.1067</v>
      </c>
      <c r="D67" s="23">
        <f>($B67-$C67)*100</f>
        <v/>
      </c>
    </row>
    <row r="68">
      <c r="A68" s="11" t="n">
        <v>36959</v>
      </c>
      <c r="B68" s="22">
        <f>'JGBCurve'!$C$68</f>
        <v/>
      </c>
      <c r="C68" s="22" t="n">
        <v>0.1067</v>
      </c>
      <c r="D68" s="23">
        <f>($B68-$C68)*100</f>
        <v/>
      </c>
    </row>
    <row r="69">
      <c r="A69" s="11" t="n">
        <v>36966</v>
      </c>
      <c r="B69" s="22">
        <f>'JGBCurve'!$C$69</f>
        <v/>
      </c>
      <c r="C69" s="22" t="n">
        <v>0.1067</v>
      </c>
      <c r="D69" s="23">
        <f>($B69-$C69)*100</f>
        <v/>
      </c>
    </row>
    <row r="70">
      <c r="A70" s="11" t="n">
        <v>36973</v>
      </c>
      <c r="B70" s="22">
        <f>'JGBCurve'!$C$70</f>
        <v/>
      </c>
      <c r="C70" s="22" t="n">
        <v>0.1067</v>
      </c>
      <c r="D70" s="23">
        <f>($B70-$C70)*100</f>
        <v/>
      </c>
    </row>
    <row r="71">
      <c r="A71" s="11" t="n">
        <v>36980</v>
      </c>
      <c r="B71" s="22">
        <f>'JGBCurve'!$C$71</f>
        <v/>
      </c>
      <c r="C71" s="22" t="n">
        <v>0.1067</v>
      </c>
      <c r="D71" s="23">
        <f>($B71-$C71)*100</f>
        <v/>
      </c>
    </row>
    <row r="72">
      <c r="A72" s="11" t="n">
        <v>36987</v>
      </c>
      <c r="B72" s="22">
        <f>'JGBCurve'!$C$72</f>
        <v/>
      </c>
      <c r="C72" s="22" t="n">
        <v>0.02</v>
      </c>
      <c r="D72" s="23">
        <f>($B72-$C72)*100</f>
        <v/>
      </c>
    </row>
    <row r="73">
      <c r="A73" s="11" t="n">
        <v>36994</v>
      </c>
      <c r="B73" s="22">
        <f>'JGBCurve'!$C$73</f>
        <v/>
      </c>
      <c r="C73" s="22" t="n">
        <v>0.02</v>
      </c>
      <c r="D73" s="23">
        <f>($B73-$C73)*100</f>
        <v/>
      </c>
    </row>
    <row r="74">
      <c r="A74" s="11" t="n">
        <v>37001</v>
      </c>
      <c r="B74" s="22">
        <f>'JGBCurve'!$C$74</f>
        <v/>
      </c>
      <c r="C74" s="22" t="n">
        <v>0.02</v>
      </c>
      <c r="D74" s="23">
        <f>($B74-$C74)*100</f>
        <v/>
      </c>
    </row>
    <row r="75">
      <c r="A75" s="11" t="n">
        <v>37008</v>
      </c>
      <c r="B75" s="22">
        <f>'JGBCurve'!$C$75</f>
        <v/>
      </c>
      <c r="C75" s="22" t="n">
        <v>0.02</v>
      </c>
      <c r="D75" s="23">
        <f>($B75-$C75)*100</f>
        <v/>
      </c>
    </row>
    <row r="76">
      <c r="A76" s="11" t="n">
        <v>37015</v>
      </c>
      <c r="B76" s="22">
        <f>'JGBCurve'!$C$76</f>
        <v/>
      </c>
      <c r="C76" s="22" t="n">
        <v>0.0186</v>
      </c>
      <c r="D76" s="23">
        <f>($B76-$C76)*100</f>
        <v/>
      </c>
    </row>
    <row r="77">
      <c r="A77" s="11" t="n">
        <v>37022</v>
      </c>
      <c r="B77" s="22">
        <f>'JGBCurve'!$C$77</f>
        <v/>
      </c>
      <c r="C77" s="22" t="n">
        <v>0.0186</v>
      </c>
      <c r="D77" s="23">
        <f>($B77-$C77)*100</f>
        <v/>
      </c>
    </row>
    <row r="78">
      <c r="A78" s="11" t="n">
        <v>37029</v>
      </c>
      <c r="B78" s="22">
        <f>'JGBCurve'!$C$78</f>
        <v/>
      </c>
      <c r="C78" s="22" t="n">
        <v>0.0186</v>
      </c>
      <c r="D78" s="23">
        <f>($B78-$C78)*100</f>
        <v/>
      </c>
    </row>
    <row r="79">
      <c r="A79" s="11" t="n">
        <v>37036</v>
      </c>
      <c r="B79" s="22">
        <f>'JGBCurve'!$C$79</f>
        <v/>
      </c>
      <c r="C79" s="22" t="n">
        <v>0.0186</v>
      </c>
      <c r="D79" s="23">
        <f>($B79-$C79)*100</f>
        <v/>
      </c>
    </row>
    <row r="80">
      <c r="A80" s="11" t="n">
        <v>37043</v>
      </c>
      <c r="B80" s="22">
        <f>'JGBCurve'!$C$80</f>
        <v/>
      </c>
      <c r="C80" s="22" t="n">
        <v>0.0176</v>
      </c>
      <c r="D80" s="23">
        <f>($B80-$C80)*100</f>
        <v/>
      </c>
    </row>
    <row r="81">
      <c r="A81" s="11" t="n">
        <v>37050</v>
      </c>
      <c r="B81" s="22">
        <f>'JGBCurve'!$C$81</f>
        <v/>
      </c>
      <c r="C81" s="22" t="n">
        <v>0.0176</v>
      </c>
      <c r="D81" s="23">
        <f>($B81-$C81)*100</f>
        <v/>
      </c>
    </row>
    <row r="82">
      <c r="A82" s="11" t="n">
        <v>37057</v>
      </c>
      <c r="B82" s="22">
        <f>'JGBCurve'!$C$82</f>
        <v/>
      </c>
      <c r="C82" s="22" t="n">
        <v>0.0176</v>
      </c>
      <c r="D82" s="23">
        <f>($B82-$C82)*100</f>
        <v/>
      </c>
    </row>
    <row r="83">
      <c r="A83" s="11" t="n">
        <v>37064</v>
      </c>
      <c r="B83" s="22">
        <f>'JGBCurve'!$C$83</f>
        <v/>
      </c>
      <c r="C83" s="22" t="n">
        <v>0.0176</v>
      </c>
      <c r="D83" s="23">
        <f>($B83-$C83)*100</f>
        <v/>
      </c>
    </row>
    <row r="84">
      <c r="A84" s="11" t="n">
        <v>37071</v>
      </c>
      <c r="B84" s="22">
        <f>'JGBCurve'!$C$84</f>
        <v/>
      </c>
      <c r="C84" s="22" t="n">
        <v>0.0176</v>
      </c>
      <c r="D84" s="23">
        <f>($B84-$C84)*100</f>
        <v/>
      </c>
    </row>
    <row r="85">
      <c r="A85" s="11" t="n">
        <v>37078</v>
      </c>
      <c r="B85" s="22">
        <f>'JGBCurve'!$C$85</f>
        <v/>
      </c>
      <c r="C85" s="22" t="n">
        <v>0.0129</v>
      </c>
      <c r="D85" s="23">
        <f>($B85-$C85)*100</f>
        <v/>
      </c>
    </row>
    <row r="86">
      <c r="A86" s="11" t="n">
        <v>37085</v>
      </c>
      <c r="B86" s="22">
        <f>'JGBCurve'!$C$86</f>
        <v/>
      </c>
      <c r="C86" s="22" t="n">
        <v>0.0129</v>
      </c>
      <c r="D86" s="23">
        <f>($B86-$C86)*100</f>
        <v/>
      </c>
    </row>
    <row r="87">
      <c r="A87" s="11" t="n">
        <v>37092</v>
      </c>
      <c r="B87" s="22">
        <f>'JGBCurve'!$C$87</f>
        <v/>
      </c>
      <c r="C87" s="22" t="n">
        <v>0.0129</v>
      </c>
      <c r="D87" s="23">
        <f>($B87-$C87)*100</f>
        <v/>
      </c>
    </row>
    <row r="88">
      <c r="A88" s="11" t="n">
        <v>37099</v>
      </c>
      <c r="B88" s="22">
        <f>'JGBCurve'!$C$88</f>
        <v/>
      </c>
      <c r="C88" s="22" t="n">
        <v>0.0129</v>
      </c>
      <c r="D88" s="23">
        <f>($B88-$C88)*100</f>
        <v/>
      </c>
    </row>
    <row r="89">
      <c r="A89" s="11" t="n">
        <v>37106</v>
      </c>
      <c r="B89" s="22">
        <f>'JGBCurve'!$C$89</f>
        <v/>
      </c>
      <c r="C89" s="22" t="n">
        <v>0.01</v>
      </c>
      <c r="D89" s="23">
        <f>($B89-$C89)*100</f>
        <v/>
      </c>
    </row>
    <row r="90">
      <c r="A90" s="11" t="n">
        <v>37113</v>
      </c>
      <c r="B90" s="22">
        <f>'JGBCurve'!$C$90</f>
        <v/>
      </c>
      <c r="C90" s="22" t="n">
        <v>0.01</v>
      </c>
      <c r="D90" s="23">
        <f>($B90-$C90)*100</f>
        <v/>
      </c>
    </row>
    <row r="91">
      <c r="A91" s="11" t="n">
        <v>37120</v>
      </c>
      <c r="B91" s="22">
        <f>'JGBCurve'!$C$91</f>
        <v/>
      </c>
      <c r="C91" s="22" t="n">
        <v>0.01</v>
      </c>
      <c r="D91" s="23">
        <f>($B91-$C91)*100</f>
        <v/>
      </c>
    </row>
    <row r="92">
      <c r="A92" s="11" t="n">
        <v>37127</v>
      </c>
      <c r="B92" s="22">
        <f>'JGBCurve'!$C$92</f>
        <v/>
      </c>
      <c r="C92" s="22" t="n">
        <v>0.01</v>
      </c>
      <c r="D92" s="23">
        <f>($B92-$C92)*100</f>
        <v/>
      </c>
    </row>
    <row r="93">
      <c r="A93" s="11" t="n">
        <v>37134</v>
      </c>
      <c r="B93" s="22">
        <f>'JGBCurve'!$C$93</f>
        <v/>
      </c>
      <c r="C93" s="22" t="n">
        <v>0.01</v>
      </c>
      <c r="D93" s="23">
        <f>($B93-$C93)*100</f>
        <v/>
      </c>
    </row>
    <row r="94">
      <c r="A94" s="11" t="n">
        <v>37141</v>
      </c>
      <c r="B94" s="22">
        <f>'JGBCurve'!$C$94</f>
        <v/>
      </c>
      <c r="C94" s="22" t="n">
        <v>0.005</v>
      </c>
      <c r="D94" s="23">
        <f>($B94-$C94)*100</f>
        <v/>
      </c>
    </row>
    <row r="95">
      <c r="A95" s="11" t="n">
        <v>37148</v>
      </c>
      <c r="B95" s="22">
        <f>'JGBCurve'!$C$95</f>
        <v/>
      </c>
      <c r="C95" s="22" t="n">
        <v>0.005</v>
      </c>
      <c r="D95" s="23">
        <f>($B95-$C95)*100</f>
        <v/>
      </c>
    </row>
    <row r="96">
      <c r="A96" s="11" t="n">
        <v>37155</v>
      </c>
      <c r="B96" s="22">
        <f>'JGBCurve'!$C$96</f>
        <v/>
      </c>
      <c r="C96" s="22" t="n">
        <v>0.005</v>
      </c>
      <c r="D96" s="23">
        <f>($B96-$C96)*100</f>
        <v/>
      </c>
    </row>
    <row r="97">
      <c r="A97" s="11" t="n">
        <v>37162</v>
      </c>
      <c r="B97" s="22">
        <f>'JGBCurve'!$C$97</f>
        <v/>
      </c>
      <c r="C97" s="22" t="n">
        <v>0.005</v>
      </c>
      <c r="D97" s="23">
        <f>($B97-$C97)*100</f>
        <v/>
      </c>
    </row>
    <row r="98">
      <c r="A98" s="11" t="n">
        <v>37169</v>
      </c>
      <c r="B98" s="22">
        <f>'JGBCurve'!$C$98</f>
        <v/>
      </c>
      <c r="C98" s="22" t="n">
        <v>0.0031</v>
      </c>
      <c r="D98" s="23">
        <f>($B98-$C98)*100</f>
        <v/>
      </c>
    </row>
    <row r="99">
      <c r="A99" s="11" t="n">
        <v>37176</v>
      </c>
      <c r="B99" s="22">
        <f>'JGBCurve'!$C$99</f>
        <v/>
      </c>
      <c r="C99" s="22" t="n">
        <v>0.0031</v>
      </c>
      <c r="D99" s="23">
        <f>($B99-$C99)*100</f>
        <v/>
      </c>
    </row>
    <row r="100">
      <c r="A100" s="11" t="n">
        <v>37183</v>
      </c>
      <c r="B100" s="22">
        <f>'JGBCurve'!$C$100</f>
        <v/>
      </c>
      <c r="C100" s="22" t="n">
        <v>0.0031</v>
      </c>
      <c r="D100" s="23">
        <f>($B100-$C100)*100</f>
        <v/>
      </c>
    </row>
    <row r="101">
      <c r="A101" s="11" t="n">
        <v>37190</v>
      </c>
      <c r="B101" s="22">
        <f>'JGBCurve'!$C$101</f>
        <v/>
      </c>
      <c r="C101" s="22" t="n">
        <v>0.0031</v>
      </c>
      <c r="D101" s="23">
        <f>($B101-$C101)*100</f>
        <v/>
      </c>
    </row>
    <row r="102">
      <c r="A102" s="11" t="n">
        <v>37197</v>
      </c>
      <c r="B102" s="22">
        <f>'JGBCurve'!$C$102</f>
        <v/>
      </c>
      <c r="C102" s="22" t="n">
        <v>0.0024</v>
      </c>
      <c r="D102" s="23">
        <f>($B102-$C102)*100</f>
        <v/>
      </c>
    </row>
    <row r="103">
      <c r="A103" s="11" t="n">
        <v>37204</v>
      </c>
      <c r="B103" s="22">
        <f>'JGBCurve'!$C$103</f>
        <v/>
      </c>
      <c r="C103" s="22" t="n">
        <v>0.0024</v>
      </c>
      <c r="D103" s="23">
        <f>($B103-$C103)*100</f>
        <v/>
      </c>
    </row>
    <row r="104">
      <c r="A104" s="11" t="n">
        <v>37211</v>
      </c>
      <c r="B104" s="22">
        <f>'JGBCurve'!$C$104</f>
        <v/>
      </c>
      <c r="C104" s="22" t="n">
        <v>0.0024</v>
      </c>
      <c r="D104" s="23">
        <f>($B104-$C104)*100</f>
        <v/>
      </c>
    </row>
    <row r="105">
      <c r="A105" s="11" t="n">
        <v>37218</v>
      </c>
      <c r="B105" s="22">
        <f>'JGBCurve'!$C$105</f>
        <v/>
      </c>
      <c r="C105" s="22" t="n">
        <v>0.0024</v>
      </c>
      <c r="D105" s="23">
        <f>($B105-$C105)*100</f>
        <v/>
      </c>
    </row>
    <row r="106">
      <c r="A106" s="11" t="n">
        <v>37225</v>
      </c>
      <c r="B106" s="22">
        <f>'JGBCurve'!$C$106</f>
        <v/>
      </c>
      <c r="C106" s="22" t="n">
        <v>0.0024</v>
      </c>
      <c r="D106" s="23">
        <f>($B106-$C106)*100</f>
        <v/>
      </c>
    </row>
    <row r="107">
      <c r="A107" s="11" t="n">
        <v>37232</v>
      </c>
      <c r="B107" s="22">
        <f>'JGBCurve'!$C$107</f>
        <v/>
      </c>
      <c r="C107" s="22" t="n">
        <v>0.0018</v>
      </c>
      <c r="D107" s="23">
        <f>($B107-$C107)*100</f>
        <v/>
      </c>
    </row>
    <row r="108">
      <c r="A108" s="11" t="n">
        <v>37239</v>
      </c>
      <c r="B108" s="22">
        <f>'JGBCurve'!$C$108</f>
        <v/>
      </c>
      <c r="C108" s="22" t="n">
        <v>0.0018</v>
      </c>
      <c r="D108" s="23">
        <f>($B108-$C108)*100</f>
        <v/>
      </c>
    </row>
    <row r="109">
      <c r="A109" s="11" t="n">
        <v>37246</v>
      </c>
      <c r="B109" s="22">
        <f>'JGBCurve'!$C$109</f>
        <v/>
      </c>
      <c r="C109" s="22" t="n">
        <v>0.0018</v>
      </c>
      <c r="D109" s="23">
        <f>($B109-$C109)*100</f>
        <v/>
      </c>
    </row>
    <row r="110">
      <c r="A110" s="11" t="n">
        <v>37253</v>
      </c>
      <c r="B110" s="22">
        <f>'JGBCurve'!$C$110</f>
        <v/>
      </c>
      <c r="C110" s="22" t="n">
        <v>0.0018</v>
      </c>
      <c r="D110" s="23">
        <f>($B110-$C110)*100</f>
        <v/>
      </c>
    </row>
    <row r="111">
      <c r="A111" s="11" t="n">
        <v>37260</v>
      </c>
      <c r="B111" s="22">
        <f>'JGBCurve'!$C$111</f>
        <v/>
      </c>
      <c r="C111" s="22" t="n">
        <v>0.0011</v>
      </c>
      <c r="D111" s="23">
        <f>($B111-$C111)*100</f>
        <v/>
      </c>
    </row>
    <row r="112">
      <c r="A112" s="11" t="n">
        <v>37267</v>
      </c>
      <c r="B112" s="22">
        <f>'JGBCurve'!$C$112</f>
        <v/>
      </c>
      <c r="C112" s="22" t="n">
        <v>0.0011</v>
      </c>
      <c r="D112" s="23">
        <f>($B112-$C112)*100</f>
        <v/>
      </c>
    </row>
    <row r="113">
      <c r="A113" s="11" t="n">
        <v>37274</v>
      </c>
      <c r="B113" s="22">
        <f>'JGBCurve'!$C$113</f>
        <v/>
      </c>
      <c r="C113" s="22" t="n">
        <v>0.0011</v>
      </c>
      <c r="D113" s="23">
        <f>($B113-$C113)*100</f>
        <v/>
      </c>
    </row>
    <row r="114">
      <c r="A114" s="11" t="n">
        <v>37281</v>
      </c>
      <c r="B114" s="22">
        <f>'JGBCurve'!$C$114</f>
        <v/>
      </c>
      <c r="C114" s="22" t="n">
        <v>0.0011</v>
      </c>
      <c r="D114" s="23">
        <f>($B114-$C114)*100</f>
        <v/>
      </c>
    </row>
    <row r="115">
      <c r="A115" s="11" t="n">
        <v>37288</v>
      </c>
      <c r="B115" s="22">
        <f>'JGBCurve'!$C$115</f>
        <v/>
      </c>
      <c r="C115" s="22" t="n">
        <v>0.001</v>
      </c>
      <c r="D115" s="23">
        <f>($B115-$C115)*100</f>
        <v/>
      </c>
    </row>
    <row r="116">
      <c r="A116" s="11" t="n">
        <v>37295</v>
      </c>
      <c r="B116" s="22">
        <f>'JGBCurve'!$C$116</f>
        <v/>
      </c>
      <c r="C116" s="22" t="n">
        <v>0.001</v>
      </c>
      <c r="D116" s="23">
        <f>($B116-$C116)*100</f>
        <v/>
      </c>
    </row>
    <row r="117">
      <c r="A117" s="11" t="n">
        <v>37302</v>
      </c>
      <c r="B117" s="22">
        <f>'JGBCurve'!$C$117</f>
        <v/>
      </c>
      <c r="C117" s="22" t="n">
        <v>0.001</v>
      </c>
      <c r="D117" s="23">
        <f>($B117-$C117)*100</f>
        <v/>
      </c>
    </row>
    <row r="118">
      <c r="A118" s="11" t="n">
        <v>37309</v>
      </c>
      <c r="B118" s="22">
        <f>'JGBCurve'!$C$118</f>
        <v/>
      </c>
      <c r="C118" s="22" t="n">
        <v>0.001</v>
      </c>
      <c r="D118" s="23">
        <f>($B118-$C118)*100</f>
        <v/>
      </c>
    </row>
    <row r="119">
      <c r="A119" s="11" t="n">
        <v>37316</v>
      </c>
      <c r="B119" s="22">
        <f>'JGBCurve'!$C$119</f>
        <v/>
      </c>
      <c r="C119" s="22" t="n">
        <v>0.0021</v>
      </c>
      <c r="D119" s="23">
        <f>($B119-$C119)*100</f>
        <v/>
      </c>
    </row>
    <row r="120">
      <c r="A120" s="11" t="n">
        <v>37323</v>
      </c>
      <c r="B120" s="22">
        <f>'JGBCurve'!$C$120</f>
        <v/>
      </c>
      <c r="C120" s="22" t="n">
        <v>0.0021</v>
      </c>
      <c r="D120" s="23">
        <f>($B120-$C120)*100</f>
        <v/>
      </c>
    </row>
    <row r="121">
      <c r="A121" s="11" t="n">
        <v>37330</v>
      </c>
      <c r="B121" s="22">
        <f>'JGBCurve'!$C$121</f>
        <v/>
      </c>
      <c r="C121" s="22" t="n">
        <v>0.0021</v>
      </c>
      <c r="D121" s="23">
        <f>($B121-$C121)*100</f>
        <v/>
      </c>
    </row>
    <row r="122">
      <c r="A122" s="11" t="n">
        <v>37337</v>
      </c>
      <c r="B122" s="22">
        <f>'JGBCurve'!$C$122</f>
        <v/>
      </c>
      <c r="C122" s="22" t="n">
        <v>0.0021</v>
      </c>
      <c r="D122" s="23">
        <f>($B122-$C122)*100</f>
        <v/>
      </c>
    </row>
    <row r="123">
      <c r="A123" s="11" t="n">
        <v>37344</v>
      </c>
      <c r="B123" s="22">
        <f>'JGBCurve'!$C$123</f>
        <v/>
      </c>
      <c r="C123" s="22" t="n">
        <v>0.0021</v>
      </c>
      <c r="D123" s="23">
        <f>($B123-$C123)*100</f>
        <v/>
      </c>
    </row>
    <row r="124">
      <c r="A124" s="11" t="n">
        <v>37351</v>
      </c>
      <c r="B124" s="22">
        <f>'JGBCurve'!$C$124</f>
        <v/>
      </c>
      <c r="C124" s="22" t="n">
        <v>0.0015</v>
      </c>
      <c r="D124" s="23">
        <f>($B124-$C124)*100</f>
        <v/>
      </c>
    </row>
    <row r="125">
      <c r="A125" s="11" t="n">
        <v>37358</v>
      </c>
      <c r="B125" s="22">
        <f>'JGBCurve'!$C$125</f>
        <v/>
      </c>
      <c r="C125" s="22" t="n">
        <v>0.0015</v>
      </c>
      <c r="D125" s="23">
        <f>($B125-$C125)*100</f>
        <v/>
      </c>
    </row>
    <row r="126">
      <c r="A126" s="11" t="n">
        <v>37365</v>
      </c>
      <c r="B126" s="22">
        <f>'JGBCurve'!$C$126</f>
        <v/>
      </c>
      <c r="C126" s="22" t="n">
        <v>0.0015</v>
      </c>
      <c r="D126" s="23">
        <f>($B126-$C126)*100</f>
        <v/>
      </c>
    </row>
    <row r="127">
      <c r="A127" s="11" t="n">
        <v>37372</v>
      </c>
      <c r="B127" s="22">
        <f>'JGBCurve'!$C$127</f>
        <v/>
      </c>
      <c r="C127" s="22" t="n">
        <v>0.0015</v>
      </c>
      <c r="D127" s="23">
        <f>($B127-$C127)*100</f>
        <v/>
      </c>
    </row>
    <row r="128">
      <c r="A128" s="11" t="n">
        <v>37379</v>
      </c>
      <c r="B128" s="22">
        <f>'JGBCurve'!$C$128</f>
        <v/>
      </c>
      <c r="C128" s="22" t="n">
        <v>0.0014</v>
      </c>
      <c r="D128" s="23">
        <f>($B128-$C128)*100</f>
        <v/>
      </c>
    </row>
    <row r="129">
      <c r="A129" s="11" t="n">
        <v>37386</v>
      </c>
      <c r="B129" s="22">
        <f>'JGBCurve'!$C$129</f>
        <v/>
      </c>
      <c r="C129" s="22" t="n">
        <v>0.0014</v>
      </c>
      <c r="D129" s="23">
        <f>($B129-$C129)*100</f>
        <v/>
      </c>
    </row>
    <row r="130">
      <c r="A130" s="11" t="n">
        <v>37393</v>
      </c>
      <c r="B130" s="22">
        <f>'JGBCurve'!$C$130</f>
        <v/>
      </c>
      <c r="C130" s="22" t="n">
        <v>0.0014</v>
      </c>
      <c r="D130" s="23">
        <f>($B130-$C130)*100</f>
        <v/>
      </c>
    </row>
    <row r="131">
      <c r="A131" s="11" t="n">
        <v>37400</v>
      </c>
      <c r="B131" s="22">
        <f>'JGBCurve'!$C$131</f>
        <v/>
      </c>
      <c r="C131" s="22" t="n">
        <v>0.0014</v>
      </c>
      <c r="D131" s="23">
        <f>($B131-$C131)*100</f>
        <v/>
      </c>
    </row>
    <row r="132">
      <c r="A132" s="11" t="n">
        <v>37407</v>
      </c>
      <c r="B132" s="22">
        <f>'JGBCurve'!$C$132</f>
        <v/>
      </c>
      <c r="C132" s="22" t="n">
        <v>0.0014</v>
      </c>
      <c r="D132" s="23">
        <f>($B132-$C132)*100</f>
        <v/>
      </c>
    </row>
    <row r="133">
      <c r="A133" s="11" t="n">
        <v>37414</v>
      </c>
      <c r="B133" s="22">
        <f>'JGBCurve'!$C$133</f>
        <v/>
      </c>
      <c r="C133" s="22" t="n">
        <v>0.0014</v>
      </c>
      <c r="D133" s="23">
        <f>($B133-$C133)*100</f>
        <v/>
      </c>
    </row>
    <row r="134">
      <c r="A134" s="11" t="n">
        <v>37421</v>
      </c>
      <c r="B134" s="22">
        <f>'JGBCurve'!$C$134</f>
        <v/>
      </c>
      <c r="C134" s="22" t="n">
        <v>0.0014</v>
      </c>
      <c r="D134" s="23">
        <f>($B134-$C134)*100</f>
        <v/>
      </c>
    </row>
    <row r="135">
      <c r="A135" s="11" t="n">
        <v>37428</v>
      </c>
      <c r="B135" s="22">
        <f>'JGBCurve'!$C$135</f>
        <v/>
      </c>
      <c r="C135" s="22" t="n">
        <v>0.0014</v>
      </c>
      <c r="D135" s="23">
        <f>($B135-$C135)*100</f>
        <v/>
      </c>
    </row>
    <row r="136">
      <c r="A136" s="11" t="n">
        <v>37435</v>
      </c>
      <c r="B136" s="22">
        <f>'JGBCurve'!$C$136</f>
        <v/>
      </c>
      <c r="C136" s="22" t="n">
        <v>0.0014</v>
      </c>
      <c r="D136" s="23">
        <f>($B136-$C136)*100</f>
        <v/>
      </c>
    </row>
    <row r="137">
      <c r="A137" s="11" t="n">
        <v>37442</v>
      </c>
      <c r="B137" s="22">
        <f>'JGBCurve'!$C$137</f>
        <v/>
      </c>
      <c r="C137" s="22" t="n">
        <v>0.0018</v>
      </c>
      <c r="D137" s="23">
        <f>($B137-$C137)*100</f>
        <v/>
      </c>
    </row>
    <row r="138">
      <c r="A138" s="11" t="n">
        <v>37449</v>
      </c>
      <c r="B138" s="22">
        <f>'JGBCurve'!$C$138</f>
        <v/>
      </c>
      <c r="C138" s="22" t="n">
        <v>0.0018</v>
      </c>
      <c r="D138" s="23">
        <f>($B138-$C138)*100</f>
        <v/>
      </c>
    </row>
    <row r="139">
      <c r="A139" s="11" t="n">
        <v>37456</v>
      </c>
      <c r="B139" s="22">
        <f>'JGBCurve'!$C$139</f>
        <v/>
      </c>
      <c r="C139" s="22" t="n">
        <v>0.0018</v>
      </c>
      <c r="D139" s="23">
        <f>($B139-$C139)*100</f>
        <v/>
      </c>
    </row>
    <row r="140">
      <c r="A140" s="11" t="n">
        <v>37463</v>
      </c>
      <c r="B140" s="22">
        <f>'JGBCurve'!$C$140</f>
        <v/>
      </c>
      <c r="C140" s="22" t="n">
        <v>0.0018</v>
      </c>
      <c r="D140" s="23">
        <f>($B140-$C140)*100</f>
        <v/>
      </c>
    </row>
    <row r="141">
      <c r="A141" s="11" t="n">
        <v>37470</v>
      </c>
      <c r="B141" s="22">
        <f>'JGBCurve'!$C$141</f>
        <v/>
      </c>
      <c r="C141" s="22" t="n">
        <v>0.0019</v>
      </c>
      <c r="D141" s="23">
        <f>($B141-$C141)*100</f>
        <v/>
      </c>
    </row>
    <row r="142">
      <c r="A142" s="11" t="n">
        <v>37477</v>
      </c>
      <c r="B142" s="22">
        <f>'JGBCurve'!$C$142</f>
        <v/>
      </c>
      <c r="C142" s="22" t="n">
        <v>0.0019</v>
      </c>
      <c r="D142" s="23">
        <f>($B142-$C142)*100</f>
        <v/>
      </c>
    </row>
    <row r="143">
      <c r="A143" s="11" t="n">
        <v>37484</v>
      </c>
      <c r="B143" s="22">
        <f>'JGBCurve'!$C$143</f>
        <v/>
      </c>
      <c r="C143" s="22" t="n">
        <v>0.0019</v>
      </c>
      <c r="D143" s="23">
        <f>($B143-$C143)*100</f>
        <v/>
      </c>
    </row>
    <row r="144">
      <c r="A144" s="11" t="n">
        <v>37491</v>
      </c>
      <c r="B144" s="22">
        <f>'JGBCurve'!$C$144</f>
        <v/>
      </c>
      <c r="C144" s="22" t="n">
        <v>0.0019</v>
      </c>
      <c r="D144" s="23">
        <f>($B144-$C144)*100</f>
        <v/>
      </c>
    </row>
    <row r="145">
      <c r="A145" s="11" t="n">
        <v>37498</v>
      </c>
      <c r="B145" s="22">
        <f>'JGBCurve'!$C$145</f>
        <v/>
      </c>
      <c r="C145" s="22" t="n">
        <v>0.0019</v>
      </c>
      <c r="D145" s="23">
        <f>($B145-$C145)*100</f>
        <v/>
      </c>
    </row>
    <row r="146">
      <c r="A146" s="11" t="n">
        <v>37505</v>
      </c>
      <c r="B146" s="22">
        <f>'JGBCurve'!$C$146</f>
        <v/>
      </c>
      <c r="C146" s="22" t="n">
        <v>0.0053</v>
      </c>
      <c r="D146" s="23">
        <f>($B146-$C146)*100</f>
        <v/>
      </c>
    </row>
    <row r="147">
      <c r="A147" s="11" t="n">
        <v>37512</v>
      </c>
      <c r="B147" s="22">
        <f>'JGBCurve'!$C$147</f>
        <v/>
      </c>
      <c r="C147" s="22" t="n">
        <v>0.0053</v>
      </c>
      <c r="D147" s="23">
        <f>($B147-$C147)*100</f>
        <v/>
      </c>
    </row>
    <row r="148">
      <c r="A148" s="11" t="n">
        <v>37519</v>
      </c>
      <c r="B148" s="22">
        <f>'JGBCurve'!$C$148</f>
        <v/>
      </c>
      <c r="C148" s="22" t="n">
        <v>0.0053</v>
      </c>
      <c r="D148" s="23">
        <f>($B148-$C148)*100</f>
        <v/>
      </c>
    </row>
    <row r="149">
      <c r="A149" s="11" t="n">
        <v>37526</v>
      </c>
      <c r="B149" s="22">
        <f>'JGBCurve'!$C$149</f>
        <v/>
      </c>
      <c r="C149" s="22" t="n">
        <v>0.0053</v>
      </c>
      <c r="D149" s="23">
        <f>($B149-$C149)*100</f>
        <v/>
      </c>
    </row>
    <row r="150">
      <c r="A150" s="11" t="n">
        <v>37533</v>
      </c>
      <c r="B150" s="22">
        <f>'JGBCurve'!$C$150</f>
        <v/>
      </c>
      <c r="C150" s="22" t="n">
        <v>0.0019</v>
      </c>
      <c r="D150" s="23">
        <f>($B150-$C150)*100</f>
        <v/>
      </c>
    </row>
    <row r="151">
      <c r="A151" s="11" t="n">
        <v>37540</v>
      </c>
      <c r="B151" s="22">
        <f>'JGBCurve'!$C$151</f>
        <v/>
      </c>
      <c r="C151" s="22" t="n">
        <v>0.0019</v>
      </c>
      <c r="D151" s="23">
        <f>($B151-$C151)*100</f>
        <v/>
      </c>
    </row>
    <row r="152">
      <c r="A152" s="11" t="n">
        <v>37547</v>
      </c>
      <c r="B152" s="22">
        <f>'JGBCurve'!$C$152</f>
        <v/>
      </c>
      <c r="C152" s="22" t="n">
        <v>0.0019</v>
      </c>
      <c r="D152" s="23">
        <f>($B152-$C152)*100</f>
        <v/>
      </c>
    </row>
    <row r="153">
      <c r="A153" s="11" t="n">
        <v>37554</v>
      </c>
      <c r="B153" s="22">
        <f>'JGBCurve'!$C$153</f>
        <v/>
      </c>
      <c r="C153" s="22" t="n">
        <v>0.0019</v>
      </c>
      <c r="D153" s="23">
        <f>($B153-$C153)*100</f>
        <v/>
      </c>
    </row>
    <row r="154">
      <c r="A154" s="11" t="n">
        <v>37561</v>
      </c>
      <c r="B154" s="22">
        <f>'JGBCurve'!$C$154</f>
        <v/>
      </c>
      <c r="C154" s="22" t="n">
        <v>0.0019</v>
      </c>
      <c r="D154" s="23">
        <f>($B154-$C154)*100</f>
        <v/>
      </c>
    </row>
    <row r="155">
      <c r="A155" s="11" t="n">
        <v>37568</v>
      </c>
      <c r="B155" s="22">
        <f>'JGBCurve'!$C$155</f>
        <v/>
      </c>
      <c r="C155" s="22" t="n">
        <v>0.0019</v>
      </c>
      <c r="D155" s="23">
        <f>($B155-$C155)*100</f>
        <v/>
      </c>
    </row>
    <row r="156">
      <c r="A156" s="11" t="n">
        <v>37575</v>
      </c>
      <c r="B156" s="22">
        <f>'JGBCurve'!$C$156</f>
        <v/>
      </c>
      <c r="C156" s="22" t="n">
        <v>0.0019</v>
      </c>
      <c r="D156" s="23">
        <f>($B156-$C156)*100</f>
        <v/>
      </c>
    </row>
    <row r="157">
      <c r="A157" s="11" t="n">
        <v>37582</v>
      </c>
      <c r="B157" s="22">
        <f>'JGBCurve'!$C$157</f>
        <v/>
      </c>
      <c r="C157" s="22" t="n">
        <v>0.0019</v>
      </c>
      <c r="D157" s="23">
        <f>($B157-$C157)*100</f>
        <v/>
      </c>
    </row>
    <row r="158">
      <c r="A158" s="11" t="n">
        <v>37589</v>
      </c>
      <c r="B158" s="22">
        <f>'JGBCurve'!$C$158</f>
        <v/>
      </c>
      <c r="C158" s="22" t="n">
        <v>0.0019</v>
      </c>
      <c r="D158" s="23">
        <f>($B158-$C158)*100</f>
        <v/>
      </c>
    </row>
    <row r="159">
      <c r="A159" s="11" t="n">
        <v>37596</v>
      </c>
      <c r="B159" s="22">
        <f>'JGBCurve'!$C$159</f>
        <v/>
      </c>
      <c r="C159" s="22" t="n">
        <v>0.0019</v>
      </c>
      <c r="D159" s="23">
        <f>($B159-$C159)*100</f>
        <v/>
      </c>
    </row>
    <row r="160">
      <c r="A160" s="11" t="n">
        <v>37603</v>
      </c>
      <c r="B160" s="22">
        <f>'JGBCurve'!$C$160</f>
        <v/>
      </c>
      <c r="C160" s="22" t="n">
        <v>0.0019</v>
      </c>
      <c r="D160" s="23">
        <f>($B160-$C160)*100</f>
        <v/>
      </c>
    </row>
    <row r="161">
      <c r="A161" s="11" t="n">
        <v>37610</v>
      </c>
      <c r="B161" s="22">
        <f>'JGBCurve'!$C$161</f>
        <v/>
      </c>
      <c r="C161" s="22" t="n">
        <v>0.0019</v>
      </c>
      <c r="D161" s="23">
        <f>($B161-$C161)*100</f>
        <v/>
      </c>
    </row>
    <row r="162">
      <c r="A162" s="11" t="n">
        <v>37617</v>
      </c>
      <c r="B162" s="22">
        <f>'JGBCurve'!$C$162</f>
        <v/>
      </c>
      <c r="C162" s="22" t="n">
        <v>0.0019</v>
      </c>
      <c r="D162" s="23">
        <f>($B162-$C162)*100</f>
        <v/>
      </c>
    </row>
    <row r="163">
      <c r="A163" s="11" t="n">
        <v>37624</v>
      </c>
      <c r="B163" s="22">
        <f>'JGBCurve'!$C$163</f>
        <v/>
      </c>
      <c r="C163" s="22" t="n">
        <v>0.002</v>
      </c>
      <c r="D163" s="23">
        <f>($B163-$C163)*100</f>
        <v/>
      </c>
    </row>
    <row r="164">
      <c r="A164" s="11" t="n">
        <v>37631</v>
      </c>
      <c r="B164" s="22">
        <f>'JGBCurve'!$C$164</f>
        <v/>
      </c>
      <c r="C164" s="22" t="n">
        <v>0.002</v>
      </c>
      <c r="D164" s="23">
        <f>($B164-$C164)*100</f>
        <v/>
      </c>
    </row>
    <row r="165">
      <c r="A165" s="11" t="n">
        <v>37638</v>
      </c>
      <c r="B165" s="22">
        <f>'JGBCurve'!$C$165</f>
        <v/>
      </c>
      <c r="C165" s="22" t="n">
        <v>0.002</v>
      </c>
      <c r="D165" s="23">
        <f>($B165-$C165)*100</f>
        <v/>
      </c>
    </row>
    <row r="166">
      <c r="A166" s="11" t="n">
        <v>37645</v>
      </c>
      <c r="B166" s="22">
        <f>'JGBCurve'!$C$166</f>
        <v/>
      </c>
      <c r="C166" s="22" t="n">
        <v>0.002</v>
      </c>
      <c r="D166" s="23">
        <f>($B166-$C166)*100</f>
        <v/>
      </c>
    </row>
    <row r="167">
      <c r="A167" s="11" t="n">
        <v>37652</v>
      </c>
      <c r="B167" s="22">
        <f>'JGBCurve'!$C$167</f>
        <v/>
      </c>
      <c r="C167" s="22" t="n">
        <v>0.002</v>
      </c>
      <c r="D167" s="23">
        <f>($B167-$C167)*100</f>
        <v/>
      </c>
    </row>
    <row r="168">
      <c r="A168" s="11" t="n">
        <v>37659</v>
      </c>
      <c r="B168" s="22">
        <f>'JGBCurve'!$C$168</f>
        <v/>
      </c>
      <c r="C168" s="22" t="n">
        <v>0.001</v>
      </c>
      <c r="D168" s="23">
        <f>($B168-$C168)*100</f>
        <v/>
      </c>
    </row>
    <row r="169">
      <c r="A169" s="11" t="n">
        <v>37666</v>
      </c>
      <c r="B169" s="22">
        <f>'JGBCurve'!$C$169</f>
        <v/>
      </c>
      <c r="C169" s="22" t="n">
        <v>0.001</v>
      </c>
      <c r="D169" s="23">
        <f>($B169-$C169)*100</f>
        <v/>
      </c>
    </row>
    <row r="170">
      <c r="A170" s="11" t="n">
        <v>37673</v>
      </c>
      <c r="B170" s="22">
        <f>'JGBCurve'!$C$170</f>
        <v/>
      </c>
      <c r="C170" s="22" t="n">
        <v>0.001</v>
      </c>
      <c r="D170" s="23">
        <f>($B170-$C170)*100</f>
        <v/>
      </c>
    </row>
    <row r="171">
      <c r="A171" s="11" t="n">
        <v>37680</v>
      </c>
      <c r="B171" s="22">
        <f>'JGBCurve'!$C$171</f>
        <v/>
      </c>
      <c r="C171" s="22" t="n">
        <v>0.001</v>
      </c>
      <c r="D171" s="23">
        <f>($B171-$C171)*100</f>
        <v/>
      </c>
    </row>
    <row r="172">
      <c r="A172" s="11" t="n">
        <v>37687</v>
      </c>
      <c r="B172" s="22">
        <f>'JGBCurve'!$C$172</f>
        <v/>
      </c>
      <c r="C172" s="22" t="n">
        <v>0.002</v>
      </c>
      <c r="D172" s="23">
        <f>($B172-$C172)*100</f>
        <v/>
      </c>
    </row>
    <row r="173">
      <c r="A173" s="11" t="n">
        <v>37694</v>
      </c>
      <c r="B173" s="22">
        <f>'JGBCurve'!$C$173</f>
        <v/>
      </c>
      <c r="C173" s="22" t="n">
        <v>0.002</v>
      </c>
      <c r="D173" s="23">
        <f>($B173-$C173)*100</f>
        <v/>
      </c>
    </row>
    <row r="174">
      <c r="A174" s="11" t="n">
        <v>37701</v>
      </c>
      <c r="B174" s="22">
        <f>'JGBCurve'!$C$174</f>
        <v/>
      </c>
      <c r="C174" s="22" t="n">
        <v>0.002</v>
      </c>
      <c r="D174" s="23">
        <f>($B174-$C174)*100</f>
        <v/>
      </c>
    </row>
    <row r="175">
      <c r="A175" s="11" t="n">
        <v>37708</v>
      </c>
      <c r="B175" s="22">
        <f>'JGBCurve'!$C$175</f>
        <v/>
      </c>
      <c r="C175" s="22" t="n">
        <v>0.002</v>
      </c>
      <c r="D175" s="23">
        <f>($B175-$C175)*100</f>
        <v/>
      </c>
    </row>
    <row r="176">
      <c r="A176" s="11" t="n">
        <v>37715</v>
      </c>
      <c r="B176" s="22">
        <f>'JGBCurve'!$C$176</f>
        <v/>
      </c>
      <c r="C176" s="22" t="n">
        <v>0.001</v>
      </c>
      <c r="D176" s="23">
        <f>($B176-$C176)*100</f>
        <v/>
      </c>
    </row>
    <row r="177">
      <c r="A177" s="11" t="n">
        <v>37722</v>
      </c>
      <c r="B177" s="22">
        <f>'JGBCurve'!$C$177</f>
        <v/>
      </c>
      <c r="C177" s="22" t="n">
        <v>0.001</v>
      </c>
      <c r="D177" s="23">
        <f>($B177-$C177)*100</f>
        <v/>
      </c>
    </row>
    <row r="178">
      <c r="A178" s="11" t="n">
        <v>37729</v>
      </c>
      <c r="B178" s="22">
        <f>'JGBCurve'!$C$178</f>
        <v/>
      </c>
      <c r="C178" s="22" t="n">
        <v>0.001</v>
      </c>
      <c r="D178" s="23">
        <f>($B178-$C178)*100</f>
        <v/>
      </c>
    </row>
    <row r="179">
      <c r="A179" s="11" t="n">
        <v>37736</v>
      </c>
      <c r="B179" s="22">
        <f>'JGBCurve'!$C$179</f>
        <v/>
      </c>
      <c r="C179" s="22" t="n">
        <v>0.001</v>
      </c>
      <c r="D179" s="23">
        <f>($B179-$C179)*100</f>
        <v/>
      </c>
    </row>
    <row r="180">
      <c r="A180" s="11" t="n">
        <v>37743</v>
      </c>
      <c r="B180" s="22">
        <f>'JGBCurve'!$C$180</f>
        <v/>
      </c>
      <c r="C180" s="22" t="n">
        <v>0.001</v>
      </c>
      <c r="D180" s="23">
        <f>($B180-$C180)*100</f>
        <v/>
      </c>
    </row>
    <row r="181">
      <c r="A181" s="11" t="n">
        <v>37750</v>
      </c>
      <c r="B181" s="22">
        <f>'JGBCurve'!$C$181</f>
        <v/>
      </c>
      <c r="C181" s="22" t="n">
        <v>0.001</v>
      </c>
      <c r="D181" s="23">
        <f>($B181-$C181)*100</f>
        <v/>
      </c>
    </row>
    <row r="182">
      <c r="A182" s="11" t="n">
        <v>37757</v>
      </c>
      <c r="B182" s="22">
        <f>'JGBCurve'!$C$182</f>
        <v/>
      </c>
      <c r="C182" s="22" t="n">
        <v>0.001</v>
      </c>
      <c r="D182" s="23">
        <f>($B182-$C182)*100</f>
        <v/>
      </c>
    </row>
    <row r="183">
      <c r="A183" s="11" t="n">
        <v>37764</v>
      </c>
      <c r="B183" s="22">
        <f>'JGBCurve'!$C$183</f>
        <v/>
      </c>
      <c r="C183" s="22" t="n">
        <v>0.001</v>
      </c>
      <c r="D183" s="23">
        <f>($B183-$C183)*100</f>
        <v/>
      </c>
    </row>
    <row r="184">
      <c r="A184" s="11" t="n">
        <v>37771</v>
      </c>
      <c r="B184" s="22">
        <f>'JGBCurve'!$C$184</f>
        <v/>
      </c>
      <c r="C184" s="22" t="n">
        <v>0.001</v>
      </c>
      <c r="D184" s="23">
        <f>($B184-$C184)*100</f>
        <v/>
      </c>
    </row>
    <row r="185">
      <c r="A185" s="11" t="n">
        <v>37778</v>
      </c>
      <c r="B185" s="22">
        <f>'JGBCurve'!$C$185</f>
        <v/>
      </c>
      <c r="C185" s="22" t="n">
        <v>0.001</v>
      </c>
      <c r="D185" s="23">
        <f>($B185-$C185)*100</f>
        <v/>
      </c>
    </row>
    <row r="186">
      <c r="A186" s="11" t="n">
        <v>37785</v>
      </c>
      <c r="B186" s="22">
        <f>'JGBCurve'!$C$186</f>
        <v/>
      </c>
      <c r="C186" s="22" t="n">
        <v>0.001</v>
      </c>
      <c r="D186" s="23">
        <f>($B186-$C186)*100</f>
        <v/>
      </c>
    </row>
    <row r="187">
      <c r="A187" s="11" t="n">
        <v>37792</v>
      </c>
      <c r="B187" s="22">
        <f>'JGBCurve'!$C$187</f>
        <v/>
      </c>
      <c r="C187" s="22" t="n">
        <v>0.001</v>
      </c>
      <c r="D187" s="23">
        <f>($B187-$C187)*100</f>
        <v/>
      </c>
    </row>
    <row r="188">
      <c r="A188" s="11" t="n">
        <v>37799</v>
      </c>
      <c r="B188" s="22">
        <f>'JGBCurve'!$C$188</f>
        <v/>
      </c>
      <c r="C188" s="22" t="n">
        <v>0.001</v>
      </c>
      <c r="D188" s="23">
        <f>($B188-$C188)*100</f>
        <v/>
      </c>
    </row>
    <row r="189">
      <c r="A189" s="11" t="n">
        <v>37806</v>
      </c>
      <c r="B189" s="22">
        <f>'JGBCurve'!$C$189</f>
        <v/>
      </c>
      <c r="C189" s="22" t="n">
        <v>0.002</v>
      </c>
      <c r="D189" s="23">
        <f>($B189-$C189)*100</f>
        <v/>
      </c>
    </row>
    <row r="190">
      <c r="A190" s="11" t="n">
        <v>37813</v>
      </c>
      <c r="B190" s="22">
        <f>'JGBCurve'!$C$190</f>
        <v/>
      </c>
      <c r="C190" s="22" t="n">
        <v>0.002</v>
      </c>
      <c r="D190" s="23">
        <f>($B190-$C190)*100</f>
        <v/>
      </c>
    </row>
    <row r="191">
      <c r="A191" s="11" t="n">
        <v>37820</v>
      </c>
      <c r="B191" s="22">
        <f>'JGBCurve'!$C$191</f>
        <v/>
      </c>
      <c r="C191" s="22" t="n">
        <v>0.002</v>
      </c>
      <c r="D191" s="23">
        <f>($B191-$C191)*100</f>
        <v/>
      </c>
    </row>
    <row r="192">
      <c r="A192" s="11" t="n">
        <v>37827</v>
      </c>
      <c r="B192" s="22">
        <f>'JGBCurve'!$C$192</f>
        <v/>
      </c>
      <c r="C192" s="22" t="n">
        <v>0.002</v>
      </c>
      <c r="D192" s="23">
        <f>($B192-$C192)*100</f>
        <v/>
      </c>
    </row>
    <row r="193">
      <c r="A193" s="11" t="n">
        <v>37834</v>
      </c>
      <c r="B193" s="22">
        <f>'JGBCurve'!$C$193</f>
        <v/>
      </c>
      <c r="C193" s="22" t="n">
        <v>0.001</v>
      </c>
      <c r="D193" s="23">
        <f>($B193-$C193)*100</f>
        <v/>
      </c>
    </row>
    <row r="194">
      <c r="A194" s="11" t="n">
        <v>37841</v>
      </c>
      <c r="B194" s="22">
        <f>'JGBCurve'!$C$194</f>
        <v/>
      </c>
      <c r="C194" s="22" t="n">
        <v>0.001</v>
      </c>
      <c r="D194" s="23">
        <f>($B194-$C194)*100</f>
        <v/>
      </c>
    </row>
    <row r="195">
      <c r="A195" s="11" t="n">
        <v>37848</v>
      </c>
      <c r="B195" s="22">
        <f>'JGBCurve'!$C$195</f>
        <v/>
      </c>
      <c r="C195" s="22" t="n">
        <v>0.001</v>
      </c>
      <c r="D195" s="23">
        <f>($B195-$C195)*100</f>
        <v/>
      </c>
    </row>
    <row r="196">
      <c r="A196" s="11" t="n">
        <v>37855</v>
      </c>
      <c r="B196" s="22">
        <f>'JGBCurve'!$C$196</f>
        <v/>
      </c>
      <c r="C196" s="22" t="n">
        <v>0.001</v>
      </c>
      <c r="D196" s="23">
        <f>($B196-$C196)*100</f>
        <v/>
      </c>
    </row>
    <row r="197">
      <c r="A197" s="11" t="n">
        <v>37862</v>
      </c>
      <c r="B197" s="22">
        <f>'JGBCurve'!$C$197</f>
        <v/>
      </c>
      <c r="C197" s="22" t="n">
        <v>0.001</v>
      </c>
      <c r="D197" s="23">
        <f>($B197-$C197)*100</f>
        <v/>
      </c>
    </row>
    <row r="198">
      <c r="A198" s="11" t="n">
        <v>37869</v>
      </c>
      <c r="B198" s="22">
        <f>'JGBCurve'!$C$198</f>
        <v/>
      </c>
      <c r="C198" s="22" t="n">
        <v>0.002</v>
      </c>
      <c r="D198" s="23">
        <f>($B198-$C198)*100</f>
        <v/>
      </c>
    </row>
    <row r="199">
      <c r="A199" s="11" t="n">
        <v>37876</v>
      </c>
      <c r="B199" s="22">
        <f>'JGBCurve'!$C$199</f>
        <v/>
      </c>
      <c r="C199" s="22" t="n">
        <v>0.002</v>
      </c>
      <c r="D199" s="23">
        <f>($B199-$C199)*100</f>
        <v/>
      </c>
    </row>
    <row r="200">
      <c r="A200" s="11" t="n">
        <v>37883</v>
      </c>
      <c r="B200" s="22">
        <f>'JGBCurve'!$C$200</f>
        <v/>
      </c>
      <c r="C200" s="22" t="n">
        <v>0.002</v>
      </c>
      <c r="D200" s="23">
        <f>($B200-$C200)*100</f>
        <v/>
      </c>
    </row>
    <row r="201">
      <c r="A201" s="11" t="n">
        <v>37890</v>
      </c>
      <c r="B201" s="22">
        <f>'JGBCurve'!$C$201</f>
        <v/>
      </c>
      <c r="C201" s="22" t="n">
        <v>0.002</v>
      </c>
      <c r="D201" s="23">
        <f>($B201-$C201)*100</f>
        <v/>
      </c>
    </row>
    <row r="202">
      <c r="A202" s="11" t="n">
        <v>37897</v>
      </c>
      <c r="B202" s="22">
        <f>'JGBCurve'!$C$202</f>
        <v/>
      </c>
      <c r="C202" s="22" t="n">
        <v>0.001</v>
      </c>
      <c r="D202" s="23">
        <f>($B202-$C202)*100</f>
        <v/>
      </c>
    </row>
    <row r="203">
      <c r="A203" s="11" t="n">
        <v>37904</v>
      </c>
      <c r="B203" s="22">
        <f>'JGBCurve'!$C$203</f>
        <v/>
      </c>
      <c r="C203" s="22" t="n">
        <v>0.001</v>
      </c>
      <c r="D203" s="23">
        <f>($B203-$C203)*100</f>
        <v/>
      </c>
    </row>
    <row r="204">
      <c r="A204" s="11" t="n">
        <v>37911</v>
      </c>
      <c r="B204" s="22">
        <f>'JGBCurve'!$C$204</f>
        <v/>
      </c>
      <c r="C204" s="22" t="n">
        <v>0.001</v>
      </c>
      <c r="D204" s="23">
        <f>($B204-$C204)*100</f>
        <v/>
      </c>
    </row>
    <row r="205">
      <c r="A205" s="11" t="n">
        <v>37918</v>
      </c>
      <c r="B205" s="22">
        <f>'JGBCurve'!$C$205</f>
        <v/>
      </c>
      <c r="C205" s="22" t="n">
        <v>0.001</v>
      </c>
      <c r="D205" s="23">
        <f>($B205-$C205)*100</f>
        <v/>
      </c>
    </row>
    <row r="206">
      <c r="A206" s="11" t="n">
        <v>37925</v>
      </c>
      <c r="B206" s="22">
        <f>'JGBCurve'!$C$206</f>
        <v/>
      </c>
      <c r="C206" s="22" t="n">
        <v>0.001</v>
      </c>
      <c r="D206" s="23">
        <f>($B206-$C206)*100</f>
        <v/>
      </c>
    </row>
    <row r="207">
      <c r="A207" s="11" t="n">
        <v>37932</v>
      </c>
      <c r="B207" s="22">
        <f>'JGBCurve'!$C$207</f>
        <v/>
      </c>
      <c r="C207" s="22" t="n">
        <v>0.001</v>
      </c>
      <c r="D207" s="23">
        <f>($B207-$C207)*100</f>
        <v/>
      </c>
    </row>
    <row r="208">
      <c r="A208" s="11" t="n">
        <v>37939</v>
      </c>
      <c r="B208" s="22">
        <f>'JGBCurve'!$C$208</f>
        <v/>
      </c>
      <c r="C208" s="22" t="n">
        <v>0.001</v>
      </c>
      <c r="D208" s="23">
        <f>($B208-$C208)*100</f>
        <v/>
      </c>
    </row>
    <row r="209">
      <c r="A209" s="11" t="n">
        <v>37946</v>
      </c>
      <c r="B209" s="22">
        <f>'JGBCurve'!$C$209</f>
        <v/>
      </c>
      <c r="C209" s="22" t="n">
        <v>0.001</v>
      </c>
      <c r="D209" s="23">
        <f>($B209-$C209)*100</f>
        <v/>
      </c>
    </row>
    <row r="210">
      <c r="A210" s="11" t="n">
        <v>37953</v>
      </c>
      <c r="B210" s="22">
        <f>'JGBCurve'!$C$210</f>
        <v/>
      </c>
      <c r="C210" s="22" t="n">
        <v>0.001</v>
      </c>
      <c r="D210" s="23">
        <f>($B210-$C210)*100</f>
        <v/>
      </c>
    </row>
    <row r="211">
      <c r="A211" s="11" t="n">
        <v>37960</v>
      </c>
      <c r="B211" s="22">
        <f>'JGBCurve'!$C$211</f>
        <v/>
      </c>
      <c r="C211" s="22" t="n">
        <v>0.001</v>
      </c>
      <c r="D211" s="23">
        <f>($B211-$C211)*100</f>
        <v/>
      </c>
    </row>
    <row r="212">
      <c r="A212" s="11" t="n">
        <v>37967</v>
      </c>
      <c r="B212" s="22">
        <f>'JGBCurve'!$C$212</f>
        <v/>
      </c>
      <c r="C212" s="22" t="n">
        <v>0.001</v>
      </c>
      <c r="D212" s="23">
        <f>($B212-$C212)*100</f>
        <v/>
      </c>
    </row>
    <row r="213">
      <c r="A213" s="11" t="n">
        <v>37974</v>
      </c>
      <c r="B213" s="22">
        <f>'JGBCurve'!$C$213</f>
        <v/>
      </c>
      <c r="C213" s="22" t="n">
        <v>0.001</v>
      </c>
      <c r="D213" s="23">
        <f>($B213-$C213)*100</f>
        <v/>
      </c>
    </row>
    <row r="214">
      <c r="A214" s="11" t="n">
        <v>37981</v>
      </c>
      <c r="B214" s="22">
        <f>'JGBCurve'!$C$214</f>
        <v/>
      </c>
      <c r="C214" s="22" t="n">
        <v>0.001</v>
      </c>
      <c r="D214" s="23">
        <f>($B214-$C214)*100</f>
        <v/>
      </c>
    </row>
    <row r="215">
      <c r="A215" s="11" t="n">
        <v>37988</v>
      </c>
      <c r="B215" s="22">
        <f>'JGBCurve'!$C$215</f>
        <v/>
      </c>
      <c r="C215" s="22" t="n">
        <v>0</v>
      </c>
      <c r="D215" s="23">
        <f>($B215-$C215)*100</f>
        <v/>
      </c>
    </row>
    <row r="216">
      <c r="A216" s="11" t="n">
        <v>37995</v>
      </c>
      <c r="B216" s="22">
        <f>'JGBCurve'!$C$216</f>
        <v/>
      </c>
      <c r="C216" s="22" t="n">
        <v>0</v>
      </c>
      <c r="D216" s="23">
        <f>($B216-$C216)*100</f>
        <v/>
      </c>
    </row>
    <row r="217">
      <c r="A217" s="11" t="n">
        <v>38002</v>
      </c>
      <c r="B217" s="22">
        <f>'JGBCurve'!$C$217</f>
        <v/>
      </c>
      <c r="C217" s="22" t="n">
        <v>0</v>
      </c>
      <c r="D217" s="23">
        <f>($B217-$C217)*100</f>
        <v/>
      </c>
    </row>
    <row r="218">
      <c r="A218" s="11" t="n">
        <v>38009</v>
      </c>
      <c r="B218" s="22">
        <f>'JGBCurve'!$C$218</f>
        <v/>
      </c>
      <c r="C218" s="22" t="n">
        <v>0</v>
      </c>
      <c r="D218" s="23">
        <f>($B218-$C218)*100</f>
        <v/>
      </c>
    </row>
    <row r="219">
      <c r="A219" s="11" t="n">
        <v>38016</v>
      </c>
      <c r="B219" s="22">
        <f>'JGBCurve'!$C$219</f>
        <v/>
      </c>
      <c r="C219" s="22" t="n">
        <v>0</v>
      </c>
      <c r="D219" s="23">
        <f>($B219-$C219)*100</f>
        <v/>
      </c>
    </row>
    <row r="220">
      <c r="A220" s="11" t="n">
        <v>38023</v>
      </c>
      <c r="B220" s="22">
        <f>'JGBCurve'!$C$220</f>
        <v/>
      </c>
      <c r="C220" s="22" t="n">
        <v>0.001</v>
      </c>
      <c r="D220" s="23">
        <f>($B220-$C220)*100</f>
        <v/>
      </c>
    </row>
    <row r="221">
      <c r="A221" s="11" t="n">
        <v>38030</v>
      </c>
      <c r="B221" s="22">
        <f>'JGBCurve'!$C$221</f>
        <v/>
      </c>
      <c r="C221" s="22" t="n">
        <v>0.001</v>
      </c>
      <c r="D221" s="23">
        <f>($B221-$C221)*100</f>
        <v/>
      </c>
    </row>
    <row r="222">
      <c r="A222" s="11" t="n">
        <v>38037</v>
      </c>
      <c r="B222" s="22">
        <f>'JGBCurve'!$C$222</f>
        <v/>
      </c>
      <c r="C222" s="22" t="n">
        <v>0.001</v>
      </c>
      <c r="D222" s="23">
        <f>($B222-$C222)*100</f>
        <v/>
      </c>
    </row>
    <row r="223">
      <c r="A223" s="11" t="n">
        <v>38044</v>
      </c>
      <c r="B223" s="22">
        <f>'JGBCurve'!$C$223</f>
        <v/>
      </c>
      <c r="C223" s="22" t="n">
        <v>0.001</v>
      </c>
      <c r="D223" s="23">
        <f>($B223-$C223)*100</f>
        <v/>
      </c>
    </row>
    <row r="224">
      <c r="A224" s="11" t="n">
        <v>38051</v>
      </c>
      <c r="B224" s="22">
        <f>'JGBCurve'!$C$224</f>
        <v/>
      </c>
      <c r="C224" s="22" t="n">
        <v>0.001</v>
      </c>
      <c r="D224" s="23">
        <f>($B224-$C224)*100</f>
        <v/>
      </c>
    </row>
    <row r="225">
      <c r="A225" s="11" t="n">
        <v>38058</v>
      </c>
      <c r="B225" s="22">
        <f>'JGBCurve'!$C$225</f>
        <v/>
      </c>
      <c r="C225" s="22" t="n">
        <v>0.001</v>
      </c>
      <c r="D225" s="23">
        <f>($B225-$C225)*100</f>
        <v/>
      </c>
    </row>
    <row r="226">
      <c r="A226" s="11" t="n">
        <v>38065</v>
      </c>
      <c r="B226" s="22">
        <f>'JGBCurve'!$C$226</f>
        <v/>
      </c>
      <c r="C226" s="22" t="n">
        <v>0.001</v>
      </c>
      <c r="D226" s="23">
        <f>($B226-$C226)*100</f>
        <v/>
      </c>
    </row>
    <row r="227">
      <c r="A227" s="11" t="n">
        <v>38072</v>
      </c>
      <c r="B227" s="22">
        <f>'JGBCurve'!$C$227</f>
        <v/>
      </c>
      <c r="C227" s="22" t="n">
        <v>0.001</v>
      </c>
      <c r="D227" s="23">
        <f>($B227-$C227)*100</f>
        <v/>
      </c>
    </row>
    <row r="228">
      <c r="A228" s="11" t="n">
        <v>38079</v>
      </c>
      <c r="B228" s="22">
        <f>'JGBCurve'!$C$228</f>
        <v/>
      </c>
      <c r="C228" s="22" t="n">
        <v>0</v>
      </c>
      <c r="D228" s="23">
        <f>($B228-$C228)*100</f>
        <v/>
      </c>
    </row>
    <row r="229">
      <c r="A229" s="11" t="n">
        <v>38086</v>
      </c>
      <c r="B229" s="22">
        <f>'JGBCurve'!$C$229</f>
        <v/>
      </c>
      <c r="C229" s="22" t="n">
        <v>0</v>
      </c>
      <c r="D229" s="23">
        <f>($B229-$C229)*100</f>
        <v/>
      </c>
    </row>
    <row r="230">
      <c r="A230" s="11" t="n">
        <v>38093</v>
      </c>
      <c r="B230" s="22">
        <f>'JGBCurve'!$C$230</f>
        <v/>
      </c>
      <c r="C230" s="22" t="n">
        <v>0</v>
      </c>
      <c r="D230" s="23">
        <f>($B230-$C230)*100</f>
        <v/>
      </c>
    </row>
    <row r="231">
      <c r="A231" s="11" t="n">
        <v>38100</v>
      </c>
      <c r="B231" s="22">
        <f>'JGBCurve'!$C$231</f>
        <v/>
      </c>
      <c r="C231" s="22" t="n">
        <v>0</v>
      </c>
      <c r="D231" s="23">
        <f>($B231-$C231)*100</f>
        <v/>
      </c>
    </row>
    <row r="232">
      <c r="A232" s="11" t="n">
        <v>38107</v>
      </c>
      <c r="B232" s="22">
        <f>'JGBCurve'!$C$232</f>
        <v/>
      </c>
      <c r="C232" s="22" t="n">
        <v>0</v>
      </c>
      <c r="D232" s="23">
        <f>($B232-$C232)*100</f>
        <v/>
      </c>
    </row>
    <row r="233">
      <c r="A233" s="11" t="n">
        <v>38114</v>
      </c>
      <c r="B233" s="22">
        <f>'JGBCurve'!$C$233</f>
        <v/>
      </c>
      <c r="C233" s="22" t="n">
        <v>0.001</v>
      </c>
      <c r="D233" s="23">
        <f>($B233-$C233)*100</f>
        <v/>
      </c>
    </row>
    <row r="234">
      <c r="A234" s="11" t="n">
        <v>38121</v>
      </c>
      <c r="B234" s="22">
        <f>'JGBCurve'!$C$234</f>
        <v/>
      </c>
      <c r="C234" s="22" t="n">
        <v>0.001</v>
      </c>
      <c r="D234" s="23">
        <f>($B234-$C234)*100</f>
        <v/>
      </c>
    </row>
    <row r="235">
      <c r="A235" s="11" t="n">
        <v>38128</v>
      </c>
      <c r="B235" s="22">
        <f>'JGBCurve'!$C$235</f>
        <v/>
      </c>
      <c r="C235" s="22" t="n">
        <v>0.001</v>
      </c>
      <c r="D235" s="23">
        <f>($B235-$C235)*100</f>
        <v/>
      </c>
    </row>
    <row r="236">
      <c r="A236" s="11" t="n">
        <v>38135</v>
      </c>
      <c r="B236" s="22">
        <f>'JGBCurve'!$C$236</f>
        <v/>
      </c>
      <c r="C236" s="22" t="n">
        <v>0.001</v>
      </c>
      <c r="D236" s="23">
        <f>($B236-$C236)*100</f>
        <v/>
      </c>
    </row>
    <row r="237">
      <c r="A237" s="11" t="n">
        <v>38142</v>
      </c>
      <c r="B237" s="22">
        <f>'JGBCurve'!$C$237</f>
        <v/>
      </c>
      <c r="C237" s="22" t="n">
        <v>0.001</v>
      </c>
      <c r="D237" s="23">
        <f>($B237-$C237)*100</f>
        <v/>
      </c>
    </row>
    <row r="238">
      <c r="A238" s="11" t="n">
        <v>38149</v>
      </c>
      <c r="B238" s="22">
        <f>'JGBCurve'!$C$238</f>
        <v/>
      </c>
      <c r="C238" s="22" t="n">
        <v>0.001</v>
      </c>
      <c r="D238" s="23">
        <f>($B238-$C238)*100</f>
        <v/>
      </c>
    </row>
    <row r="239">
      <c r="A239" s="11" t="n">
        <v>38156</v>
      </c>
      <c r="B239" s="22">
        <f>'JGBCurve'!$C$239</f>
        <v/>
      </c>
      <c r="C239" s="22" t="n">
        <v>0.001</v>
      </c>
      <c r="D239" s="23">
        <f>($B239-$C239)*100</f>
        <v/>
      </c>
    </row>
    <row r="240">
      <c r="A240" s="11" t="n">
        <v>38163</v>
      </c>
      <c r="B240" s="22">
        <f>'JGBCurve'!$C$240</f>
        <v/>
      </c>
      <c r="C240" s="22" t="n">
        <v>0.001</v>
      </c>
      <c r="D240" s="23">
        <f>($B240-$C240)*100</f>
        <v/>
      </c>
    </row>
    <row r="241">
      <c r="A241" s="11" t="n">
        <v>38170</v>
      </c>
      <c r="B241" s="22">
        <f>'JGBCurve'!$C$241</f>
        <v/>
      </c>
      <c r="C241" s="22" t="n">
        <v>0</v>
      </c>
      <c r="D241" s="23">
        <f>($B241-$C241)*100</f>
        <v/>
      </c>
    </row>
    <row r="242">
      <c r="A242" s="11" t="n">
        <v>38177</v>
      </c>
      <c r="B242" s="22">
        <f>'JGBCurve'!$C$242</f>
        <v/>
      </c>
      <c r="C242" s="22" t="n">
        <v>0</v>
      </c>
      <c r="D242" s="23">
        <f>($B242-$C242)*100</f>
        <v/>
      </c>
    </row>
    <row r="243">
      <c r="A243" s="11" t="n">
        <v>38184</v>
      </c>
      <c r="B243" s="22">
        <f>'JGBCurve'!$C$243</f>
        <v/>
      </c>
      <c r="C243" s="22" t="n">
        <v>0</v>
      </c>
      <c r="D243" s="23">
        <f>($B243-$C243)*100</f>
        <v/>
      </c>
    </row>
    <row r="244">
      <c r="A244" s="11" t="n">
        <v>38191</v>
      </c>
      <c r="B244" s="22">
        <f>'JGBCurve'!$C$244</f>
        <v/>
      </c>
      <c r="C244" s="22" t="n">
        <v>0</v>
      </c>
      <c r="D244" s="23">
        <f>($B244-$C244)*100</f>
        <v/>
      </c>
    </row>
    <row r="245">
      <c r="A245" s="11" t="n">
        <v>38198</v>
      </c>
      <c r="B245" s="22">
        <f>'JGBCurve'!$C$245</f>
        <v/>
      </c>
      <c r="C245" s="22" t="n">
        <v>0</v>
      </c>
      <c r="D245" s="23">
        <f>($B245-$C245)*100</f>
        <v/>
      </c>
    </row>
    <row r="246">
      <c r="A246" s="11" t="n">
        <v>38205</v>
      </c>
      <c r="B246" s="22">
        <f>'JGBCurve'!$C$246</f>
        <v/>
      </c>
      <c r="C246" s="22" t="n">
        <v>0.001</v>
      </c>
      <c r="D246" s="23">
        <f>($B246-$C246)*100</f>
        <v/>
      </c>
    </row>
    <row r="247">
      <c r="A247" s="11" t="n">
        <v>38212</v>
      </c>
      <c r="B247" s="22">
        <f>'JGBCurve'!$C$247</f>
        <v/>
      </c>
      <c r="C247" s="22" t="n">
        <v>0.001</v>
      </c>
      <c r="D247" s="23">
        <f>($B247-$C247)*100</f>
        <v/>
      </c>
    </row>
    <row r="248">
      <c r="A248" s="11" t="n">
        <v>38219</v>
      </c>
      <c r="B248" s="22">
        <f>'JGBCurve'!$C$248</f>
        <v/>
      </c>
      <c r="C248" s="22" t="n">
        <v>0.001</v>
      </c>
      <c r="D248" s="23">
        <f>($B248-$C248)*100</f>
        <v/>
      </c>
    </row>
    <row r="249">
      <c r="A249" s="11" t="n">
        <v>38226</v>
      </c>
      <c r="B249" s="22">
        <f>'JGBCurve'!$C$249</f>
        <v/>
      </c>
      <c r="C249" s="22" t="n">
        <v>0.001</v>
      </c>
      <c r="D249" s="23">
        <f>($B249-$C249)*100</f>
        <v/>
      </c>
    </row>
    <row r="250">
      <c r="A250" s="11" t="n">
        <v>38233</v>
      </c>
      <c r="B250" s="22">
        <f>'JGBCurve'!$C$250</f>
        <v/>
      </c>
      <c r="C250" s="22" t="n">
        <v>0.001</v>
      </c>
      <c r="D250" s="23">
        <f>($B250-$C250)*100</f>
        <v/>
      </c>
    </row>
    <row r="251">
      <c r="A251" s="11" t="n">
        <v>38240</v>
      </c>
      <c r="B251" s="22">
        <f>'JGBCurve'!$C$251</f>
        <v/>
      </c>
      <c r="C251" s="22" t="n">
        <v>0.001</v>
      </c>
      <c r="D251" s="23">
        <f>($B251-$C251)*100</f>
        <v/>
      </c>
    </row>
    <row r="252">
      <c r="A252" s="11" t="n">
        <v>38247</v>
      </c>
      <c r="B252" s="22">
        <f>'JGBCurve'!$C$252</f>
        <v/>
      </c>
      <c r="C252" s="22" t="n">
        <v>0.001</v>
      </c>
      <c r="D252" s="23">
        <f>($B252-$C252)*100</f>
        <v/>
      </c>
    </row>
    <row r="253">
      <c r="A253" s="11" t="n">
        <v>38254</v>
      </c>
      <c r="B253" s="22">
        <f>'JGBCurve'!$C$253</f>
        <v/>
      </c>
      <c r="C253" s="22" t="n">
        <v>0.001</v>
      </c>
      <c r="D253" s="23">
        <f>($B253-$C253)*100</f>
        <v/>
      </c>
    </row>
    <row r="254">
      <c r="A254" s="11" t="n">
        <v>38261</v>
      </c>
      <c r="B254" s="22">
        <f>'JGBCurve'!$C$254</f>
        <v/>
      </c>
      <c r="C254" s="22" t="n">
        <v>0.001</v>
      </c>
      <c r="D254" s="23">
        <f>($B254-$C254)*100</f>
        <v/>
      </c>
    </row>
    <row r="255">
      <c r="A255" s="11" t="n">
        <v>38268</v>
      </c>
      <c r="B255" s="22">
        <f>'JGBCurve'!$C$255</f>
        <v/>
      </c>
      <c r="C255" s="22" t="n">
        <v>0.001</v>
      </c>
      <c r="D255" s="23">
        <f>($B255-$C255)*100</f>
        <v/>
      </c>
    </row>
    <row r="256">
      <c r="A256" s="11" t="n">
        <v>38275</v>
      </c>
      <c r="B256" s="22">
        <f>'JGBCurve'!$C$256</f>
        <v/>
      </c>
      <c r="C256" s="22" t="n">
        <v>0.001</v>
      </c>
      <c r="D256" s="23">
        <f>($B256-$C256)*100</f>
        <v/>
      </c>
    </row>
    <row r="257">
      <c r="A257" s="11" t="n">
        <v>38282</v>
      </c>
      <c r="B257" s="22">
        <f>'JGBCurve'!$C$257</f>
        <v/>
      </c>
      <c r="C257" s="22" t="n">
        <v>0.001</v>
      </c>
      <c r="D257" s="23">
        <f>($B257-$C257)*100</f>
        <v/>
      </c>
    </row>
    <row r="258">
      <c r="A258" s="11" t="n">
        <v>38289</v>
      </c>
      <c r="B258" s="22">
        <f>'JGBCurve'!$C$258</f>
        <v/>
      </c>
      <c r="C258" s="22" t="n">
        <v>0.001</v>
      </c>
      <c r="D258" s="23">
        <f>($B258-$C258)*100</f>
        <v/>
      </c>
    </row>
    <row r="259">
      <c r="A259" s="11" t="n">
        <v>38296</v>
      </c>
      <c r="B259" s="22">
        <f>'JGBCurve'!$C$259</f>
        <v/>
      </c>
      <c r="C259" s="22" t="n">
        <v>0.001</v>
      </c>
      <c r="D259" s="23">
        <f>($B259-$C259)*100</f>
        <v/>
      </c>
    </row>
    <row r="260">
      <c r="A260" s="11" t="n">
        <v>38303</v>
      </c>
      <c r="B260" s="22">
        <f>'JGBCurve'!$C$260</f>
        <v/>
      </c>
      <c r="C260" s="22" t="n">
        <v>0.001</v>
      </c>
      <c r="D260" s="23">
        <f>($B260-$C260)*100</f>
        <v/>
      </c>
    </row>
    <row r="261">
      <c r="A261" s="11" t="n">
        <v>38310</v>
      </c>
      <c r="B261" s="22">
        <f>'JGBCurve'!$C$261</f>
        <v/>
      </c>
      <c r="C261" s="22" t="n">
        <v>0.001</v>
      </c>
      <c r="D261" s="23">
        <f>($B261-$C261)*100</f>
        <v/>
      </c>
    </row>
    <row r="262">
      <c r="A262" s="11" t="n">
        <v>38317</v>
      </c>
      <c r="B262" s="22">
        <f>'JGBCurve'!$C$262</f>
        <v/>
      </c>
      <c r="C262" s="22" t="n">
        <v>0.001</v>
      </c>
      <c r="D262" s="23">
        <f>($B262-$C262)*100</f>
        <v/>
      </c>
    </row>
    <row r="263">
      <c r="A263" s="11" t="n">
        <v>38324</v>
      </c>
      <c r="B263" s="22">
        <f>'JGBCurve'!$C$263</f>
        <v/>
      </c>
      <c r="C263" s="22" t="n">
        <v>0.001</v>
      </c>
      <c r="D263" s="23">
        <f>($B263-$C263)*100</f>
        <v/>
      </c>
    </row>
    <row r="264">
      <c r="A264" s="11" t="n">
        <v>38331</v>
      </c>
      <c r="B264" s="22">
        <f>'JGBCurve'!$C$264</f>
        <v/>
      </c>
      <c r="C264" s="22" t="n">
        <v>0.001</v>
      </c>
      <c r="D264" s="23">
        <f>($B264-$C264)*100</f>
        <v/>
      </c>
    </row>
    <row r="265">
      <c r="A265" s="11" t="n">
        <v>38338</v>
      </c>
      <c r="B265" s="22">
        <f>'JGBCurve'!$C$265</f>
        <v/>
      </c>
      <c r="C265" s="22" t="n">
        <v>0.001</v>
      </c>
      <c r="D265" s="23">
        <f>($B265-$C265)*100</f>
        <v/>
      </c>
    </row>
    <row r="266">
      <c r="A266" s="11" t="n">
        <v>38345</v>
      </c>
      <c r="B266" s="22">
        <f>'JGBCurve'!$C$266</f>
        <v/>
      </c>
      <c r="C266" s="22" t="n">
        <v>0.001</v>
      </c>
      <c r="D266" s="23">
        <f>($B266-$C266)*100</f>
        <v/>
      </c>
    </row>
    <row r="267">
      <c r="A267" s="11" t="n">
        <v>38352</v>
      </c>
      <c r="B267" s="22">
        <f>'JGBCurve'!$C$267</f>
        <v/>
      </c>
      <c r="C267" s="22" t="n">
        <v>0.001</v>
      </c>
      <c r="D267" s="23">
        <f>($B267-$C267)*100</f>
        <v/>
      </c>
    </row>
    <row r="268">
      <c r="A268" s="11" t="n">
        <v>38359</v>
      </c>
      <c r="B268" s="22">
        <f>'JGBCurve'!$C$268</f>
        <v/>
      </c>
      <c r="C268" s="22" t="n">
        <v>0.001</v>
      </c>
      <c r="D268" s="23">
        <f>($B268-$C268)*100</f>
        <v/>
      </c>
    </row>
    <row r="269">
      <c r="A269" s="11" t="n">
        <v>38366</v>
      </c>
      <c r="B269" s="22">
        <f>'JGBCurve'!$C$269</f>
        <v/>
      </c>
      <c r="C269" s="22" t="n">
        <v>0.001</v>
      </c>
      <c r="D269" s="23">
        <f>($B269-$C269)*100</f>
        <v/>
      </c>
    </row>
    <row r="270">
      <c r="A270" s="11" t="n">
        <v>38373</v>
      </c>
      <c r="B270" s="22">
        <f>'JGBCurve'!$C$270</f>
        <v/>
      </c>
      <c r="C270" s="22" t="n">
        <v>0.001</v>
      </c>
      <c r="D270" s="23">
        <f>($B270-$C270)*100</f>
        <v/>
      </c>
    </row>
    <row r="271">
      <c r="A271" s="11" t="n">
        <v>38380</v>
      </c>
      <c r="B271" s="22">
        <f>'JGBCurve'!$C$271</f>
        <v/>
      </c>
      <c r="C271" s="22" t="n">
        <v>0.001</v>
      </c>
      <c r="D271" s="23">
        <f>($B271-$C271)*100</f>
        <v/>
      </c>
    </row>
    <row r="272">
      <c r="A272" s="11" t="n">
        <v>38387</v>
      </c>
      <c r="B272" s="22">
        <f>'JGBCurve'!$C$272</f>
        <v/>
      </c>
      <c r="C272" s="22" t="n">
        <v>0.001</v>
      </c>
      <c r="D272" s="23">
        <f>($B272-$C272)*100</f>
        <v/>
      </c>
    </row>
    <row r="273">
      <c r="A273" s="11" t="n">
        <v>38394</v>
      </c>
      <c r="B273" s="22">
        <f>'JGBCurve'!$C$273</f>
        <v/>
      </c>
      <c r="C273" s="22" t="n">
        <v>0.001</v>
      </c>
      <c r="D273" s="23">
        <f>($B273-$C273)*100</f>
        <v/>
      </c>
    </row>
    <row r="274">
      <c r="A274" s="11" t="n">
        <v>38401</v>
      </c>
      <c r="B274" s="22">
        <f>'JGBCurve'!$C$274</f>
        <v/>
      </c>
      <c r="C274" s="22" t="n">
        <v>0.001</v>
      </c>
      <c r="D274" s="23">
        <f>($B274-$C274)*100</f>
        <v/>
      </c>
    </row>
    <row r="275">
      <c r="A275" s="11" t="n">
        <v>38408</v>
      </c>
      <c r="B275" s="22">
        <f>'JGBCurve'!$C$275</f>
        <v/>
      </c>
      <c r="C275" s="22" t="n">
        <v>0.001</v>
      </c>
      <c r="D275" s="23">
        <f>($B275-$C275)*100</f>
        <v/>
      </c>
    </row>
    <row r="276">
      <c r="A276" s="11" t="n">
        <v>38415</v>
      </c>
      <c r="B276" s="22">
        <f>'JGBCurve'!$C$276</f>
        <v/>
      </c>
      <c r="C276" s="22" t="n">
        <v>0.002</v>
      </c>
      <c r="D276" s="23">
        <f>($B276-$C276)*100</f>
        <v/>
      </c>
    </row>
    <row r="277">
      <c r="A277" s="11" t="n">
        <v>38422</v>
      </c>
      <c r="B277" s="22">
        <f>'JGBCurve'!$C$277</f>
        <v/>
      </c>
      <c r="C277" s="22" t="n">
        <v>0.002</v>
      </c>
      <c r="D277" s="23">
        <f>($B277-$C277)*100</f>
        <v/>
      </c>
    </row>
    <row r="278">
      <c r="A278" s="11" t="n">
        <v>38429</v>
      </c>
      <c r="B278" s="22">
        <f>'JGBCurve'!$C$278</f>
        <v/>
      </c>
      <c r="C278" s="22" t="n">
        <v>0.002</v>
      </c>
      <c r="D278" s="23">
        <f>($B278-$C278)*100</f>
        <v/>
      </c>
    </row>
    <row r="279">
      <c r="A279" s="11" t="n">
        <v>38436</v>
      </c>
      <c r="B279" s="22">
        <f>'JGBCurve'!$C$279</f>
        <v/>
      </c>
      <c r="C279" s="22" t="n">
        <v>0.002</v>
      </c>
      <c r="D279" s="23">
        <f>($B279-$C279)*100</f>
        <v/>
      </c>
    </row>
    <row r="280">
      <c r="A280" s="11" t="n">
        <v>38443</v>
      </c>
      <c r="B280" s="22">
        <f>'JGBCurve'!$C$280</f>
        <v/>
      </c>
      <c r="C280" s="22" t="n">
        <v>0.001</v>
      </c>
      <c r="D280" s="23">
        <f>($B280-$C280)*100</f>
        <v/>
      </c>
    </row>
    <row r="281">
      <c r="A281" s="11" t="n">
        <v>38450</v>
      </c>
      <c r="B281" s="22">
        <f>'JGBCurve'!$C$281</f>
        <v/>
      </c>
      <c r="C281" s="22" t="n">
        <v>0.001</v>
      </c>
      <c r="D281" s="23">
        <f>($B281-$C281)*100</f>
        <v/>
      </c>
    </row>
    <row r="282">
      <c r="A282" s="11" t="n">
        <v>38457</v>
      </c>
      <c r="B282" s="22">
        <f>'JGBCurve'!$C$282</f>
        <v/>
      </c>
      <c r="C282" s="22" t="n">
        <v>0.001</v>
      </c>
      <c r="D282" s="23">
        <f>($B282-$C282)*100</f>
        <v/>
      </c>
    </row>
    <row r="283">
      <c r="A283" s="11" t="n">
        <v>38464</v>
      </c>
      <c r="B283" s="22">
        <f>'JGBCurve'!$C$283</f>
        <v/>
      </c>
      <c r="C283" s="22" t="n">
        <v>0.001</v>
      </c>
      <c r="D283" s="23">
        <f>($B283-$C283)*100</f>
        <v/>
      </c>
    </row>
    <row r="284">
      <c r="A284" s="11" t="n">
        <v>38471</v>
      </c>
      <c r="B284" s="22">
        <f>'JGBCurve'!$C$284</f>
        <v/>
      </c>
      <c r="C284" s="22" t="n">
        <v>0.001</v>
      </c>
      <c r="D284" s="23">
        <f>($B284-$C284)*100</f>
        <v/>
      </c>
    </row>
    <row r="285">
      <c r="A285" s="11" t="n">
        <v>38478</v>
      </c>
      <c r="B285" s="22">
        <f>'JGBCurve'!$C$285</f>
        <v/>
      </c>
      <c r="C285" s="22" t="n">
        <v>0.001</v>
      </c>
      <c r="D285" s="23">
        <f>($B285-$C285)*100</f>
        <v/>
      </c>
    </row>
    <row r="286">
      <c r="A286" s="11" t="n">
        <v>38485</v>
      </c>
      <c r="B286" s="22">
        <f>'JGBCurve'!$C$286</f>
        <v/>
      </c>
      <c r="C286" s="22" t="n">
        <v>0.001</v>
      </c>
      <c r="D286" s="23">
        <f>($B286-$C286)*100</f>
        <v/>
      </c>
    </row>
    <row r="287">
      <c r="A287" s="11" t="n">
        <v>38492</v>
      </c>
      <c r="B287" s="22">
        <f>'JGBCurve'!$C$287</f>
        <v/>
      </c>
      <c r="C287" s="22" t="n">
        <v>0.001</v>
      </c>
      <c r="D287" s="23">
        <f>($B287-$C287)*100</f>
        <v/>
      </c>
    </row>
    <row r="288">
      <c r="A288" s="11" t="n">
        <v>38499</v>
      </c>
      <c r="B288" s="22">
        <f>'JGBCurve'!$C$288</f>
        <v/>
      </c>
      <c r="C288" s="22" t="n">
        <v>0.001</v>
      </c>
      <c r="D288" s="23">
        <f>($B288-$C288)*100</f>
        <v/>
      </c>
    </row>
    <row r="289">
      <c r="A289" s="11" t="n">
        <v>38506</v>
      </c>
      <c r="B289" s="22">
        <f>'JGBCurve'!$C$289</f>
        <v/>
      </c>
      <c r="C289" s="22" t="n">
        <v>0.001</v>
      </c>
      <c r="D289" s="23">
        <f>($B289-$C289)*100</f>
        <v/>
      </c>
    </row>
    <row r="290">
      <c r="A290" s="11" t="n">
        <v>38513</v>
      </c>
      <c r="B290" s="22">
        <f>'JGBCurve'!$C$290</f>
        <v/>
      </c>
      <c r="C290" s="22" t="n">
        <v>0.001</v>
      </c>
      <c r="D290" s="23">
        <f>($B290-$C290)*100</f>
        <v/>
      </c>
    </row>
    <row r="291">
      <c r="A291" s="11" t="n">
        <v>38520</v>
      </c>
      <c r="B291" s="22">
        <f>'JGBCurve'!$C$291</f>
        <v/>
      </c>
      <c r="C291" s="22" t="n">
        <v>0.001</v>
      </c>
      <c r="D291" s="23">
        <f>($B291-$C291)*100</f>
        <v/>
      </c>
    </row>
    <row r="292">
      <c r="A292" s="11" t="n">
        <v>38527</v>
      </c>
      <c r="B292" s="22">
        <f>'JGBCurve'!$C$292</f>
        <v/>
      </c>
      <c r="C292" s="22" t="n">
        <v>0.001</v>
      </c>
      <c r="D292" s="23">
        <f>($B292-$C292)*100</f>
        <v/>
      </c>
    </row>
    <row r="293">
      <c r="A293" s="11" t="n">
        <v>38534</v>
      </c>
      <c r="B293" s="22">
        <f>'JGBCurve'!$C$293</f>
        <v/>
      </c>
      <c r="C293" s="22" t="n">
        <v>0.001</v>
      </c>
      <c r="D293" s="23">
        <f>($B293-$C293)*100</f>
        <v/>
      </c>
    </row>
    <row r="294">
      <c r="A294" s="11" t="n">
        <v>38541</v>
      </c>
      <c r="B294" s="22">
        <f>'JGBCurve'!$C$294</f>
        <v/>
      </c>
      <c r="C294" s="22" t="n">
        <v>0.001</v>
      </c>
      <c r="D294" s="23">
        <f>($B294-$C294)*100</f>
        <v/>
      </c>
    </row>
    <row r="295">
      <c r="A295" s="11" t="n">
        <v>38548</v>
      </c>
      <c r="B295" s="22">
        <f>'JGBCurve'!$C$295</f>
        <v/>
      </c>
      <c r="C295" s="22" t="n">
        <v>0.001</v>
      </c>
      <c r="D295" s="23">
        <f>($B295-$C295)*100</f>
        <v/>
      </c>
    </row>
    <row r="296">
      <c r="A296" s="11" t="n">
        <v>38555</v>
      </c>
      <c r="B296" s="22">
        <f>'JGBCurve'!$C$296</f>
        <v/>
      </c>
      <c r="C296" s="22" t="n">
        <v>0.001</v>
      </c>
      <c r="D296" s="23">
        <f>($B296-$C296)*100</f>
        <v/>
      </c>
    </row>
    <row r="297">
      <c r="A297" s="11" t="n">
        <v>38562</v>
      </c>
      <c r="B297" s="22">
        <f>'JGBCurve'!$C$297</f>
        <v/>
      </c>
      <c r="C297" s="22" t="n">
        <v>0.001</v>
      </c>
      <c r="D297" s="23">
        <f>($B297-$C297)*100</f>
        <v/>
      </c>
    </row>
    <row r="298">
      <c r="A298" s="11" t="n">
        <v>38569</v>
      </c>
      <c r="B298" s="22">
        <f>'JGBCurve'!$C$298</f>
        <v/>
      </c>
      <c r="C298" s="22" t="n">
        <v>0.001</v>
      </c>
      <c r="D298" s="23">
        <f>($B298-$C298)*100</f>
        <v/>
      </c>
    </row>
    <row r="299">
      <c r="A299" s="11" t="n">
        <v>38576</v>
      </c>
      <c r="B299" s="22">
        <f>'JGBCurve'!$C$299</f>
        <v/>
      </c>
      <c r="C299" s="22" t="n">
        <v>0.001</v>
      </c>
      <c r="D299" s="23">
        <f>($B299-$C299)*100</f>
        <v/>
      </c>
    </row>
    <row r="300">
      <c r="A300" s="11" t="n">
        <v>38583</v>
      </c>
      <c r="B300" s="22">
        <f>'JGBCurve'!$C$300</f>
        <v/>
      </c>
      <c r="C300" s="22" t="n">
        <v>0.001</v>
      </c>
      <c r="D300" s="23">
        <f>($B300-$C300)*100</f>
        <v/>
      </c>
    </row>
    <row r="301">
      <c r="A301" s="11" t="n">
        <v>38590</v>
      </c>
      <c r="B301" s="22">
        <f>'JGBCurve'!$C$301</f>
        <v/>
      </c>
      <c r="C301" s="22" t="n">
        <v>0.001</v>
      </c>
      <c r="D301" s="23">
        <f>($B301-$C301)*100</f>
        <v/>
      </c>
    </row>
    <row r="302">
      <c r="A302" s="11" t="n">
        <v>38597</v>
      </c>
      <c r="B302" s="22">
        <f>'JGBCurve'!$C$302</f>
        <v/>
      </c>
      <c r="C302" s="22" t="n">
        <v>0.001</v>
      </c>
      <c r="D302" s="23">
        <f>($B302-$C302)*100</f>
        <v/>
      </c>
    </row>
    <row r="303">
      <c r="A303" s="11" t="n">
        <v>38604</v>
      </c>
      <c r="B303" s="22">
        <f>'JGBCurve'!$C$303</f>
        <v/>
      </c>
      <c r="C303" s="22" t="n">
        <v>0.001</v>
      </c>
      <c r="D303" s="23">
        <f>($B303-$C303)*100</f>
        <v/>
      </c>
    </row>
    <row r="304">
      <c r="A304" s="11" t="n">
        <v>38611</v>
      </c>
      <c r="B304" s="22">
        <f>'JGBCurve'!$C$304</f>
        <v/>
      </c>
      <c r="C304" s="22" t="n">
        <v>0.001</v>
      </c>
      <c r="D304" s="23">
        <f>($B304-$C304)*100</f>
        <v/>
      </c>
    </row>
    <row r="305">
      <c r="A305" s="11" t="n">
        <v>38618</v>
      </c>
      <c r="B305" s="22">
        <f>'JGBCurve'!$C$305</f>
        <v/>
      </c>
      <c r="C305" s="22" t="n">
        <v>0.001</v>
      </c>
      <c r="D305" s="23">
        <f>($B305-$C305)*100</f>
        <v/>
      </c>
    </row>
    <row r="306">
      <c r="A306" s="11" t="n">
        <v>38625</v>
      </c>
      <c r="B306" s="22">
        <f>'JGBCurve'!$C$306</f>
        <v/>
      </c>
      <c r="C306" s="22" t="n">
        <v>0.001</v>
      </c>
      <c r="D306" s="23">
        <f>($B306-$C306)*100</f>
        <v/>
      </c>
    </row>
    <row r="307">
      <c r="A307" s="11" t="n">
        <v>38632</v>
      </c>
      <c r="B307" s="22">
        <f>'JGBCurve'!$C$307</f>
        <v/>
      </c>
      <c r="C307" s="22" t="n">
        <v>0.001</v>
      </c>
      <c r="D307" s="23">
        <f>($B307-$C307)*100</f>
        <v/>
      </c>
    </row>
    <row r="308">
      <c r="A308" s="11" t="n">
        <v>38639</v>
      </c>
      <c r="B308" s="22">
        <f>'JGBCurve'!$C$308</f>
        <v/>
      </c>
      <c r="C308" s="22" t="n">
        <v>0.001</v>
      </c>
      <c r="D308" s="23">
        <f>($B308-$C308)*100</f>
        <v/>
      </c>
    </row>
    <row r="309">
      <c r="A309" s="11" t="n">
        <v>38646</v>
      </c>
      <c r="B309" s="22">
        <f>'JGBCurve'!$C$309</f>
        <v/>
      </c>
      <c r="C309" s="22" t="n">
        <v>0.001</v>
      </c>
      <c r="D309" s="23">
        <f>($B309-$C309)*100</f>
        <v/>
      </c>
    </row>
    <row r="310">
      <c r="A310" s="11" t="n">
        <v>38653</v>
      </c>
      <c r="B310" s="22">
        <f>'JGBCurve'!$C$310</f>
        <v/>
      </c>
      <c r="C310" s="22" t="n">
        <v>0.001</v>
      </c>
      <c r="D310" s="23">
        <f>($B310-$C310)*100</f>
        <v/>
      </c>
    </row>
    <row r="311">
      <c r="A311" s="11" t="n">
        <v>38660</v>
      </c>
      <c r="B311" s="22">
        <f>'JGBCurve'!$C$311</f>
        <v/>
      </c>
      <c r="C311" s="22" t="n">
        <v>0.001</v>
      </c>
      <c r="D311" s="23">
        <f>($B311-$C311)*100</f>
        <v/>
      </c>
    </row>
    <row r="312">
      <c r="A312" s="11" t="n">
        <v>38667</v>
      </c>
      <c r="B312" s="22">
        <f>'JGBCurve'!$C$312</f>
        <v/>
      </c>
      <c r="C312" s="22" t="n">
        <v>0.001</v>
      </c>
      <c r="D312" s="23">
        <f>($B312-$C312)*100</f>
        <v/>
      </c>
    </row>
    <row r="313">
      <c r="A313" s="11" t="n">
        <v>38674</v>
      </c>
      <c r="B313" s="22">
        <f>'JGBCurve'!$C$313</f>
        <v/>
      </c>
      <c r="C313" s="22" t="n">
        <v>0.001</v>
      </c>
      <c r="D313" s="23">
        <f>($B313-$C313)*100</f>
        <v/>
      </c>
    </row>
    <row r="314">
      <c r="A314" s="11" t="n">
        <v>38681</v>
      </c>
      <c r="B314" s="22">
        <f>'JGBCurve'!$C$314</f>
        <v/>
      </c>
      <c r="C314" s="22" t="n">
        <v>0.001</v>
      </c>
      <c r="D314" s="23">
        <f>($B314-$C314)*100</f>
        <v/>
      </c>
    </row>
    <row r="315">
      <c r="A315" s="11" t="n">
        <v>38688</v>
      </c>
      <c r="B315" s="22">
        <f>'JGBCurve'!$C$315</f>
        <v/>
      </c>
      <c r="C315" s="22" t="n">
        <v>0.001</v>
      </c>
      <c r="D315" s="23">
        <f>($B315-$C315)*100</f>
        <v/>
      </c>
    </row>
    <row r="316">
      <c r="A316" s="11" t="n">
        <v>38695</v>
      </c>
      <c r="B316" s="22">
        <f>'JGBCurve'!$C$316</f>
        <v/>
      </c>
      <c r="C316" s="22" t="n">
        <v>0.001</v>
      </c>
      <c r="D316" s="23">
        <f>($B316-$C316)*100</f>
        <v/>
      </c>
    </row>
    <row r="317">
      <c r="A317" s="11" t="n">
        <v>38702</v>
      </c>
      <c r="B317" s="22">
        <f>'JGBCurve'!$C$317</f>
        <v/>
      </c>
      <c r="C317" s="22" t="n">
        <v>0.001</v>
      </c>
      <c r="D317" s="23">
        <f>($B317-$C317)*100</f>
        <v/>
      </c>
    </row>
    <row r="318">
      <c r="A318" s="11" t="n">
        <v>38709</v>
      </c>
      <c r="B318" s="22">
        <f>'JGBCurve'!$C$318</f>
        <v/>
      </c>
      <c r="C318" s="22" t="n">
        <v>0.001</v>
      </c>
      <c r="D318" s="23">
        <f>($B318-$C318)*100</f>
        <v/>
      </c>
    </row>
    <row r="319">
      <c r="A319" s="11" t="n">
        <v>38716</v>
      </c>
      <c r="B319" s="22">
        <f>'JGBCurve'!$C$319</f>
        <v/>
      </c>
      <c r="C319" s="22" t="n">
        <v>0.001</v>
      </c>
      <c r="D319" s="23">
        <f>($B319-$C319)*100</f>
        <v/>
      </c>
    </row>
    <row r="320">
      <c r="A320" s="11" t="n">
        <v>38723</v>
      </c>
      <c r="B320" s="22">
        <f>'JGBCurve'!$C$320</f>
        <v/>
      </c>
      <c r="C320" s="22" t="n">
        <v>0.001</v>
      </c>
      <c r="D320" s="23">
        <f>($B320-$C320)*100</f>
        <v/>
      </c>
    </row>
    <row r="321">
      <c r="A321" s="11" t="n">
        <v>38730</v>
      </c>
      <c r="B321" s="22">
        <f>'JGBCurve'!$C$321</f>
        <v/>
      </c>
      <c r="C321" s="22" t="n">
        <v>0.001</v>
      </c>
      <c r="D321" s="23">
        <f>($B321-$C321)*100</f>
        <v/>
      </c>
    </row>
    <row r="322">
      <c r="A322" s="11" t="n">
        <v>38737</v>
      </c>
      <c r="B322" s="22">
        <f>'JGBCurve'!$C$322</f>
        <v/>
      </c>
      <c r="C322" s="22" t="n">
        <v>0.001</v>
      </c>
      <c r="D322" s="23">
        <f>($B322-$C322)*100</f>
        <v/>
      </c>
    </row>
    <row r="323">
      <c r="A323" s="11" t="n">
        <v>38744</v>
      </c>
      <c r="B323" s="22">
        <f>'JGBCurve'!$C$323</f>
        <v/>
      </c>
      <c r="C323" s="22" t="n">
        <v>0.001</v>
      </c>
      <c r="D323" s="23">
        <f>($B323-$C323)*100</f>
        <v/>
      </c>
    </row>
    <row r="324">
      <c r="A324" s="11" t="n">
        <v>38751</v>
      </c>
      <c r="B324" s="22">
        <f>'JGBCurve'!$C$324</f>
        <v/>
      </c>
      <c r="C324" s="22" t="n">
        <v>0.001</v>
      </c>
      <c r="D324" s="23">
        <f>($B324-$C324)*100</f>
        <v/>
      </c>
    </row>
    <row r="325">
      <c r="A325" s="11" t="n">
        <v>38758</v>
      </c>
      <c r="B325" s="22">
        <f>'JGBCurve'!$C$325</f>
        <v/>
      </c>
      <c r="C325" s="22" t="n">
        <v>0.001</v>
      </c>
      <c r="D325" s="23">
        <f>($B325-$C325)*100</f>
        <v/>
      </c>
    </row>
    <row r="326">
      <c r="A326" s="11" t="n">
        <v>38765</v>
      </c>
      <c r="B326" s="22">
        <f>'JGBCurve'!$C$326</f>
        <v/>
      </c>
      <c r="C326" s="22" t="n">
        <v>0.001</v>
      </c>
      <c r="D326" s="23">
        <f>($B326-$C326)*100</f>
        <v/>
      </c>
    </row>
    <row r="327">
      <c r="A327" s="11" t="n">
        <v>38772</v>
      </c>
      <c r="B327" s="22">
        <f>'JGBCurve'!$C$327</f>
        <v/>
      </c>
      <c r="C327" s="22" t="n">
        <v>0.001</v>
      </c>
      <c r="D327" s="23">
        <f>($B327-$C327)*100</f>
        <v/>
      </c>
    </row>
    <row r="328">
      <c r="A328" s="11" t="n">
        <v>38779</v>
      </c>
      <c r="B328" s="22">
        <f>'JGBCurve'!$C$328</f>
        <v/>
      </c>
      <c r="C328" s="22" t="n">
        <v>0.002</v>
      </c>
      <c r="D328" s="23">
        <f>($B328-$C328)*100</f>
        <v/>
      </c>
    </row>
    <row r="329">
      <c r="A329" s="11" t="n">
        <v>38786</v>
      </c>
      <c r="B329" s="22">
        <f>'JGBCurve'!$C$329</f>
        <v/>
      </c>
      <c r="C329" s="22" t="n">
        <v>0.002</v>
      </c>
      <c r="D329" s="23">
        <f>($B329-$C329)*100</f>
        <v/>
      </c>
    </row>
    <row r="330">
      <c r="A330" s="11" t="n">
        <v>38793</v>
      </c>
      <c r="B330" s="22">
        <f>'JGBCurve'!$C$330</f>
        <v/>
      </c>
      <c r="C330" s="22" t="n">
        <v>0.002</v>
      </c>
      <c r="D330" s="23">
        <f>($B330-$C330)*100</f>
        <v/>
      </c>
    </row>
    <row r="331">
      <c r="A331" s="11" t="n">
        <v>38800</v>
      </c>
      <c r="B331" s="22">
        <f>'JGBCurve'!$C$331</f>
        <v/>
      </c>
      <c r="C331" s="22" t="n">
        <v>0.002</v>
      </c>
      <c r="D331" s="23">
        <f>($B331-$C331)*100</f>
        <v/>
      </c>
    </row>
    <row r="332">
      <c r="A332" s="11" t="n">
        <v>38807</v>
      </c>
      <c r="B332" s="22">
        <f>'JGBCurve'!$C$332</f>
        <v/>
      </c>
      <c r="C332" s="22" t="n">
        <v>0.002</v>
      </c>
      <c r="D332" s="23">
        <f>($B332-$C332)*100</f>
        <v/>
      </c>
    </row>
    <row r="333">
      <c r="A333" s="11" t="n">
        <v>38814</v>
      </c>
      <c r="B333" s="22">
        <f>'JGBCurve'!$C$333</f>
        <v/>
      </c>
      <c r="C333" s="22" t="n">
        <v>0.002</v>
      </c>
      <c r="D333" s="23">
        <f>($B333-$C333)*100</f>
        <v/>
      </c>
    </row>
    <row r="334">
      <c r="A334" s="11" t="n">
        <v>38821</v>
      </c>
      <c r="B334" s="22">
        <f>'JGBCurve'!$C$334</f>
        <v/>
      </c>
      <c r="C334" s="22" t="n">
        <v>0.002</v>
      </c>
      <c r="D334" s="23">
        <f>($B334-$C334)*100</f>
        <v/>
      </c>
    </row>
    <row r="335">
      <c r="A335" s="11" t="n">
        <v>38828</v>
      </c>
      <c r="B335" s="22">
        <f>'JGBCurve'!$C$335</f>
        <v/>
      </c>
      <c r="C335" s="22" t="n">
        <v>0.002</v>
      </c>
      <c r="D335" s="23">
        <f>($B335-$C335)*100</f>
        <v/>
      </c>
    </row>
    <row r="336">
      <c r="A336" s="11" t="n">
        <v>38835</v>
      </c>
      <c r="B336" s="22">
        <f>'JGBCurve'!$C$336</f>
        <v/>
      </c>
      <c r="C336" s="22" t="n">
        <v>0.002</v>
      </c>
      <c r="D336" s="23">
        <f>($B336-$C336)*100</f>
        <v/>
      </c>
    </row>
    <row r="337">
      <c r="A337" s="11" t="n">
        <v>38842</v>
      </c>
      <c r="B337" s="22">
        <f>'JGBCurve'!$C$337</f>
        <v/>
      </c>
      <c r="C337" s="22" t="n">
        <v>0.02</v>
      </c>
      <c r="D337" s="23">
        <f>($B337-$C337)*100</f>
        <v/>
      </c>
    </row>
    <row r="338">
      <c r="A338" s="11" t="n">
        <v>38849</v>
      </c>
      <c r="B338" s="22">
        <f>'JGBCurve'!$C$338</f>
        <v/>
      </c>
      <c r="C338" s="22" t="n">
        <v>0.02</v>
      </c>
      <c r="D338" s="23">
        <f>($B338-$C338)*100</f>
        <v/>
      </c>
    </row>
    <row r="339">
      <c r="A339" s="11" t="n">
        <v>38856</v>
      </c>
      <c r="B339" s="22">
        <f>'JGBCurve'!$C$339</f>
        <v/>
      </c>
      <c r="C339" s="22" t="n">
        <v>0.02</v>
      </c>
      <c r="D339" s="23">
        <f>($B339-$C339)*100</f>
        <v/>
      </c>
    </row>
    <row r="340">
      <c r="A340" s="11" t="n">
        <v>38863</v>
      </c>
      <c r="B340" s="22">
        <f>'JGBCurve'!$C$340</f>
        <v/>
      </c>
      <c r="C340" s="22" t="n">
        <v>0.02</v>
      </c>
      <c r="D340" s="23">
        <f>($B340-$C340)*100</f>
        <v/>
      </c>
    </row>
    <row r="341">
      <c r="A341" s="11" t="n">
        <v>38870</v>
      </c>
      <c r="B341" s="22">
        <f>'JGBCurve'!$C$341</f>
        <v/>
      </c>
      <c r="C341" s="22" t="n">
        <v>0.036</v>
      </c>
      <c r="D341" s="23">
        <f>($B341-$C341)*100</f>
        <v/>
      </c>
    </row>
    <row r="342">
      <c r="A342" s="11" t="n">
        <v>38877</v>
      </c>
      <c r="B342" s="22">
        <f>'JGBCurve'!$C$342</f>
        <v/>
      </c>
      <c r="C342" s="22" t="n">
        <v>0.036</v>
      </c>
      <c r="D342" s="23">
        <f>($B342-$C342)*100</f>
        <v/>
      </c>
    </row>
    <row r="343">
      <c r="A343" s="11" t="n">
        <v>38884</v>
      </c>
      <c r="B343" s="22">
        <f>'JGBCurve'!$C$343</f>
        <v/>
      </c>
      <c r="C343" s="22" t="n">
        <v>0.036</v>
      </c>
      <c r="D343" s="23">
        <f>($B343-$C343)*100</f>
        <v/>
      </c>
    </row>
    <row r="344">
      <c r="A344" s="11" t="n">
        <v>38891</v>
      </c>
      <c r="B344" s="22">
        <f>'JGBCurve'!$C$344</f>
        <v/>
      </c>
      <c r="C344" s="22" t="n">
        <v>0.036</v>
      </c>
      <c r="D344" s="23">
        <f>($B344-$C344)*100</f>
        <v/>
      </c>
    </row>
    <row r="345">
      <c r="A345" s="11" t="n">
        <v>38898</v>
      </c>
      <c r="B345" s="22">
        <f>'JGBCurve'!$C$345</f>
        <v/>
      </c>
      <c r="C345" s="22" t="n">
        <v>0.036</v>
      </c>
      <c r="D345" s="23">
        <f>($B345-$C345)*100</f>
        <v/>
      </c>
    </row>
    <row r="346">
      <c r="A346" s="11" t="n">
        <v>38905</v>
      </c>
      <c r="B346" s="22">
        <f>'JGBCurve'!$C$346</f>
        <v/>
      </c>
      <c r="C346" s="22" t="n">
        <v>0.155</v>
      </c>
      <c r="D346" s="23">
        <f>($B346-$C346)*100</f>
        <v/>
      </c>
    </row>
    <row r="347">
      <c r="A347" s="11" t="n">
        <v>38912</v>
      </c>
      <c r="B347" s="22">
        <f>'JGBCurve'!$C$347</f>
        <v/>
      </c>
      <c r="C347" s="22" t="n">
        <v>0.155</v>
      </c>
      <c r="D347" s="23">
        <f>($B347-$C347)*100</f>
        <v/>
      </c>
    </row>
    <row r="348">
      <c r="A348" s="11" t="n">
        <v>38919</v>
      </c>
      <c r="B348" s="22">
        <f>'JGBCurve'!$C$348</f>
        <v/>
      </c>
      <c r="C348" s="22" t="n">
        <v>0.155</v>
      </c>
      <c r="D348" s="23">
        <f>($B348-$C348)*100</f>
        <v/>
      </c>
    </row>
    <row r="349">
      <c r="A349" s="11" t="n">
        <v>38926</v>
      </c>
      <c r="B349" s="22">
        <f>'JGBCurve'!$C$349</f>
        <v/>
      </c>
      <c r="C349" s="22" t="n">
        <v>0.155</v>
      </c>
      <c r="D349" s="23">
        <f>($B349-$C349)*100</f>
        <v/>
      </c>
    </row>
    <row r="350">
      <c r="A350" s="11" t="n">
        <v>38933</v>
      </c>
      <c r="B350" s="22">
        <f>'JGBCurve'!$C$350</f>
        <v/>
      </c>
      <c r="C350" s="22" t="n">
        <v>0.25</v>
      </c>
      <c r="D350" s="23">
        <f>($B350-$C350)*100</f>
        <v/>
      </c>
    </row>
    <row r="351">
      <c r="A351" s="11" t="n">
        <v>38940</v>
      </c>
      <c r="B351" s="22">
        <f>'JGBCurve'!$C$351</f>
        <v/>
      </c>
      <c r="C351" s="22" t="n">
        <v>0.25</v>
      </c>
      <c r="D351" s="23">
        <f>($B351-$C351)*100</f>
        <v/>
      </c>
    </row>
    <row r="352">
      <c r="A352" s="11" t="n">
        <v>38947</v>
      </c>
      <c r="B352" s="22">
        <f>'JGBCurve'!$C$352</f>
        <v/>
      </c>
      <c r="C352" s="22" t="n">
        <v>0.25</v>
      </c>
      <c r="D352" s="23">
        <f>($B352-$C352)*100</f>
        <v/>
      </c>
    </row>
    <row r="353">
      <c r="A353" s="11" t="n">
        <v>38954</v>
      </c>
      <c r="B353" s="22">
        <f>'JGBCurve'!$C$353</f>
        <v/>
      </c>
      <c r="C353" s="22" t="n">
        <v>0.25</v>
      </c>
      <c r="D353" s="23">
        <f>($B353-$C353)*100</f>
        <v/>
      </c>
    </row>
    <row r="354">
      <c r="A354" s="11" t="n">
        <v>38961</v>
      </c>
      <c r="B354" s="22">
        <f>'JGBCurve'!$C$354</f>
        <v/>
      </c>
      <c r="C354" s="22" t="n">
        <v>0.261</v>
      </c>
      <c r="D354" s="23">
        <f>($B354-$C354)*100</f>
        <v/>
      </c>
    </row>
    <row r="355">
      <c r="A355" s="11" t="n">
        <v>38968</v>
      </c>
      <c r="B355" s="22">
        <f>'JGBCurve'!$C$355</f>
        <v/>
      </c>
      <c r="C355" s="22" t="n">
        <v>0.261</v>
      </c>
      <c r="D355" s="23">
        <f>($B355-$C355)*100</f>
        <v/>
      </c>
    </row>
    <row r="356">
      <c r="A356" s="11" t="n">
        <v>38975</v>
      </c>
      <c r="B356" s="22">
        <f>'JGBCurve'!$C$356</f>
        <v/>
      </c>
      <c r="C356" s="22" t="n">
        <v>0.261</v>
      </c>
      <c r="D356" s="23">
        <f>($B356-$C356)*100</f>
        <v/>
      </c>
    </row>
    <row r="357">
      <c r="A357" s="11" t="n">
        <v>38982</v>
      </c>
      <c r="B357" s="22">
        <f>'JGBCurve'!$C$357</f>
        <v/>
      </c>
      <c r="C357" s="22" t="n">
        <v>0.261</v>
      </c>
      <c r="D357" s="23">
        <f>($B357-$C357)*100</f>
        <v/>
      </c>
    </row>
    <row r="358">
      <c r="A358" s="11" t="n">
        <v>38989</v>
      </c>
      <c r="B358" s="22">
        <f>'JGBCurve'!$C$358</f>
        <v/>
      </c>
      <c r="C358" s="22" t="n">
        <v>0.261</v>
      </c>
      <c r="D358" s="23">
        <f>($B358-$C358)*100</f>
        <v/>
      </c>
    </row>
    <row r="359">
      <c r="A359" s="11" t="n">
        <v>38996</v>
      </c>
      <c r="B359" s="22">
        <f>'JGBCurve'!$C$359</f>
        <v/>
      </c>
      <c r="C359" s="22" t="n">
        <v>0.254</v>
      </c>
      <c r="D359" s="23">
        <f>($B359-$C359)*100</f>
        <v/>
      </c>
    </row>
    <row r="360">
      <c r="A360" s="11" t="n">
        <v>39003</v>
      </c>
      <c r="B360" s="22">
        <f>'JGBCurve'!$C$360</f>
        <v/>
      </c>
      <c r="C360" s="22" t="n">
        <v>0.254</v>
      </c>
      <c r="D360" s="23">
        <f>($B360-$C360)*100</f>
        <v/>
      </c>
    </row>
    <row r="361">
      <c r="A361" s="11" t="n">
        <v>39010</v>
      </c>
      <c r="B361" s="22">
        <f>'JGBCurve'!$C$361</f>
        <v/>
      </c>
      <c r="C361" s="22" t="n">
        <v>0.254</v>
      </c>
      <c r="D361" s="23">
        <f>($B361-$C361)*100</f>
        <v/>
      </c>
    </row>
    <row r="362">
      <c r="A362" s="11" t="n">
        <v>39017</v>
      </c>
      <c r="B362" s="22">
        <f>'JGBCurve'!$C$362</f>
        <v/>
      </c>
      <c r="C362" s="22" t="n">
        <v>0.254</v>
      </c>
      <c r="D362" s="23">
        <f>($B362-$C362)*100</f>
        <v/>
      </c>
    </row>
    <row r="363">
      <c r="A363" s="11" t="n">
        <v>39024</v>
      </c>
      <c r="B363" s="22">
        <f>'JGBCurve'!$C$363</f>
        <v/>
      </c>
      <c r="C363" s="22" t="n">
        <v>0.257</v>
      </c>
      <c r="D363" s="23">
        <f>($B363-$C363)*100</f>
        <v/>
      </c>
    </row>
    <row r="364">
      <c r="A364" s="11" t="n">
        <v>39031</v>
      </c>
      <c r="B364" s="22">
        <f>'JGBCurve'!$C$364</f>
        <v/>
      </c>
      <c r="C364" s="22" t="n">
        <v>0.257</v>
      </c>
      <c r="D364" s="23">
        <f>($B364-$C364)*100</f>
        <v/>
      </c>
    </row>
    <row r="365">
      <c r="A365" s="11" t="n">
        <v>39038</v>
      </c>
      <c r="B365" s="22">
        <f>'JGBCurve'!$C$365</f>
        <v/>
      </c>
      <c r="C365" s="22" t="n">
        <v>0.257</v>
      </c>
      <c r="D365" s="23">
        <f>($B365-$C365)*100</f>
        <v/>
      </c>
    </row>
    <row r="366">
      <c r="A366" s="11" t="n">
        <v>39045</v>
      </c>
      <c r="B366" s="22">
        <f>'JGBCurve'!$C$366</f>
        <v/>
      </c>
      <c r="C366" s="22" t="n">
        <v>0.257</v>
      </c>
      <c r="D366" s="23">
        <f>($B366-$C366)*100</f>
        <v/>
      </c>
    </row>
    <row r="367">
      <c r="A367" s="11" t="n">
        <v>39052</v>
      </c>
      <c r="B367" s="22">
        <f>'JGBCurve'!$C$367</f>
        <v/>
      </c>
      <c r="C367" s="22" t="n">
        <v>0.255</v>
      </c>
      <c r="D367" s="23">
        <f>($B367-$C367)*100</f>
        <v/>
      </c>
    </row>
    <row r="368">
      <c r="A368" s="11" t="n">
        <v>39059</v>
      </c>
      <c r="B368" s="22">
        <f>'JGBCurve'!$C$368</f>
        <v/>
      </c>
      <c r="C368" s="22" t="n">
        <v>0.255</v>
      </c>
      <c r="D368" s="23">
        <f>($B368-$C368)*100</f>
        <v/>
      </c>
    </row>
    <row r="369">
      <c r="A369" s="11" t="n">
        <v>39066</v>
      </c>
      <c r="B369" s="22">
        <f>'JGBCurve'!$C$369</f>
        <v/>
      </c>
      <c r="C369" s="22" t="n">
        <v>0.255</v>
      </c>
      <c r="D369" s="23">
        <f>($B369-$C369)*100</f>
        <v/>
      </c>
    </row>
    <row r="370">
      <c r="A370" s="11" t="n">
        <v>39073</v>
      </c>
      <c r="B370" s="22">
        <f>'JGBCurve'!$C$370</f>
        <v/>
      </c>
      <c r="C370" s="22" t="n">
        <v>0.255</v>
      </c>
      <c r="D370" s="23">
        <f>($B370-$C370)*100</f>
        <v/>
      </c>
    </row>
    <row r="371">
      <c r="A371" s="11" t="n">
        <v>39080</v>
      </c>
      <c r="B371" s="22">
        <f>'JGBCurve'!$C$371</f>
        <v/>
      </c>
      <c r="C371" s="22" t="n">
        <v>0.255</v>
      </c>
      <c r="D371" s="23">
        <f>($B371-$C371)*100</f>
        <v/>
      </c>
    </row>
    <row r="372">
      <c r="A372" s="11" t="n">
        <v>39087</v>
      </c>
      <c r="B372" s="22">
        <f>'JGBCurve'!$C$372</f>
        <v/>
      </c>
      <c r="C372" s="22" t="n">
        <v>0.267</v>
      </c>
      <c r="D372" s="23">
        <f>($B372-$C372)*100</f>
        <v/>
      </c>
    </row>
    <row r="373">
      <c r="A373" s="11" t="n">
        <v>39094</v>
      </c>
      <c r="B373" s="22">
        <f>'JGBCurve'!$C$373</f>
        <v/>
      </c>
      <c r="C373" s="22" t="n">
        <v>0.267</v>
      </c>
      <c r="D373" s="23">
        <f>($B373-$C373)*100</f>
        <v/>
      </c>
    </row>
    <row r="374">
      <c r="A374" s="11" t="n">
        <v>39101</v>
      </c>
      <c r="B374" s="22">
        <f>'JGBCurve'!$C$374</f>
        <v/>
      </c>
      <c r="C374" s="22" t="n">
        <v>0.267</v>
      </c>
      <c r="D374" s="23">
        <f>($B374-$C374)*100</f>
        <v/>
      </c>
    </row>
    <row r="375">
      <c r="A375" s="11" t="n">
        <v>39108</v>
      </c>
      <c r="B375" s="22">
        <f>'JGBCurve'!$C$375</f>
        <v/>
      </c>
      <c r="C375" s="22" t="n">
        <v>0.267</v>
      </c>
      <c r="D375" s="23">
        <f>($B375-$C375)*100</f>
        <v/>
      </c>
    </row>
    <row r="376">
      <c r="A376" s="11" t="n">
        <v>39115</v>
      </c>
      <c r="B376" s="22">
        <f>'JGBCurve'!$C$376</f>
        <v/>
      </c>
      <c r="C376" s="22" t="n">
        <v>0.357</v>
      </c>
      <c r="D376" s="23">
        <f>($B376-$C376)*100</f>
        <v/>
      </c>
    </row>
    <row r="377">
      <c r="A377" s="11" t="n">
        <v>39122</v>
      </c>
      <c r="B377" s="22">
        <f>'JGBCurve'!$C$377</f>
        <v/>
      </c>
      <c r="C377" s="22" t="n">
        <v>0.357</v>
      </c>
      <c r="D377" s="23">
        <f>($B377-$C377)*100</f>
        <v/>
      </c>
    </row>
    <row r="378">
      <c r="A378" s="11" t="n">
        <v>39129</v>
      </c>
      <c r="B378" s="22">
        <f>'JGBCurve'!$C$378</f>
        <v/>
      </c>
      <c r="C378" s="22" t="n">
        <v>0.357</v>
      </c>
      <c r="D378" s="23">
        <f>($B378-$C378)*100</f>
        <v/>
      </c>
    </row>
    <row r="379">
      <c r="A379" s="11" t="n">
        <v>39136</v>
      </c>
      <c r="B379" s="22">
        <f>'JGBCurve'!$C$379</f>
        <v/>
      </c>
      <c r="C379" s="22" t="n">
        <v>0.357</v>
      </c>
      <c r="D379" s="23">
        <f>($B379-$C379)*100</f>
        <v/>
      </c>
    </row>
    <row r="380">
      <c r="A380" s="11" t="n">
        <v>39143</v>
      </c>
      <c r="B380" s="22">
        <f>'JGBCurve'!$C$380</f>
        <v/>
      </c>
      <c r="C380" s="22" t="n">
        <v>0.509</v>
      </c>
      <c r="D380" s="23">
        <f>($B380-$C380)*100</f>
        <v/>
      </c>
    </row>
    <row r="381">
      <c r="A381" s="11" t="n">
        <v>39150</v>
      </c>
      <c r="B381" s="22">
        <f>'JGBCurve'!$C$381</f>
        <v/>
      </c>
      <c r="C381" s="22" t="n">
        <v>0.509</v>
      </c>
      <c r="D381" s="23">
        <f>($B381-$C381)*100</f>
        <v/>
      </c>
    </row>
    <row r="382">
      <c r="A382" s="11" t="n">
        <v>39157</v>
      </c>
      <c r="B382" s="22">
        <f>'JGBCurve'!$C$382</f>
        <v/>
      </c>
      <c r="C382" s="22" t="n">
        <v>0.509</v>
      </c>
      <c r="D382" s="23">
        <f>($B382-$C382)*100</f>
        <v/>
      </c>
    </row>
    <row r="383">
      <c r="A383" s="11" t="n">
        <v>39164</v>
      </c>
      <c r="B383" s="22">
        <f>'JGBCurve'!$C$383</f>
        <v/>
      </c>
      <c r="C383" s="22" t="n">
        <v>0.509</v>
      </c>
      <c r="D383" s="23">
        <f>($B383-$C383)*100</f>
        <v/>
      </c>
    </row>
    <row r="384">
      <c r="A384" s="11" t="n">
        <v>39171</v>
      </c>
      <c r="B384" s="22">
        <f>'JGBCurve'!$C$384</f>
        <v/>
      </c>
      <c r="C384" s="22" t="n">
        <v>0.509</v>
      </c>
      <c r="D384" s="23">
        <f>($B384-$C384)*100</f>
        <v/>
      </c>
    </row>
    <row r="385">
      <c r="A385" s="11" t="n">
        <v>39178</v>
      </c>
      <c r="B385" s="22">
        <f>'JGBCurve'!$C$385</f>
        <v/>
      </c>
      <c r="C385" s="22" t="n">
        <v>0.511</v>
      </c>
      <c r="D385" s="23">
        <f>($B385-$C385)*100</f>
        <v/>
      </c>
    </row>
    <row r="386">
      <c r="A386" s="11" t="n">
        <v>39185</v>
      </c>
      <c r="B386" s="22">
        <f>'JGBCurve'!$C$386</f>
        <v/>
      </c>
      <c r="C386" s="22" t="n">
        <v>0.511</v>
      </c>
      <c r="D386" s="23">
        <f>($B386-$C386)*100</f>
        <v/>
      </c>
    </row>
    <row r="387">
      <c r="A387" s="11" t="n">
        <v>39192</v>
      </c>
      <c r="B387" s="22">
        <f>'JGBCurve'!$C$387</f>
        <v/>
      </c>
      <c r="C387" s="22" t="n">
        <v>0.511</v>
      </c>
      <c r="D387" s="23">
        <f>($B387-$C387)*100</f>
        <v/>
      </c>
    </row>
    <row r="388">
      <c r="A388" s="11" t="n">
        <v>39199</v>
      </c>
      <c r="B388" s="22">
        <f>'JGBCurve'!$C$388</f>
        <v/>
      </c>
      <c r="C388" s="22" t="n">
        <v>0.511</v>
      </c>
      <c r="D388" s="23">
        <f>($B388-$C388)*100</f>
        <v/>
      </c>
    </row>
    <row r="389">
      <c r="A389" s="11" t="n">
        <v>39206</v>
      </c>
      <c r="B389" s="22">
        <f>'JGBCurve'!$C$389</f>
        <v/>
      </c>
      <c r="C389" s="22" t="n">
        <v>0.521</v>
      </c>
      <c r="D389" s="23">
        <f>($B389-$C389)*100</f>
        <v/>
      </c>
    </row>
    <row r="390">
      <c r="A390" s="11" t="n">
        <v>39213</v>
      </c>
      <c r="B390" s="22">
        <f>'JGBCurve'!$C$390</f>
        <v/>
      </c>
      <c r="C390" s="22" t="n">
        <v>0.521</v>
      </c>
      <c r="D390" s="23">
        <f>($B390-$C390)*100</f>
        <v/>
      </c>
    </row>
    <row r="391">
      <c r="A391" s="11" t="n">
        <v>39220</v>
      </c>
      <c r="B391" s="22">
        <f>'JGBCurve'!$C$391</f>
        <v/>
      </c>
      <c r="C391" s="22" t="n">
        <v>0.521</v>
      </c>
      <c r="D391" s="23">
        <f>($B391-$C391)*100</f>
        <v/>
      </c>
    </row>
    <row r="392">
      <c r="A392" s="11" t="n">
        <v>39227</v>
      </c>
      <c r="B392" s="22">
        <f>'JGBCurve'!$C$392</f>
        <v/>
      </c>
      <c r="C392" s="22" t="n">
        <v>0.521</v>
      </c>
      <c r="D392" s="23">
        <f>($B392-$C392)*100</f>
        <v/>
      </c>
    </row>
    <row r="393">
      <c r="A393" s="11" t="n">
        <v>39234</v>
      </c>
      <c r="B393" s="22">
        <f>'JGBCurve'!$C$393</f>
        <v/>
      </c>
      <c r="C393" s="22" t="n">
        <v>0.51</v>
      </c>
      <c r="D393" s="23">
        <f>($B393-$C393)*100</f>
        <v/>
      </c>
    </row>
    <row r="394">
      <c r="A394" s="11" t="n">
        <v>39241</v>
      </c>
      <c r="B394" s="22">
        <f>'JGBCurve'!$C$394</f>
        <v/>
      </c>
      <c r="C394" s="22" t="n">
        <v>0.51</v>
      </c>
      <c r="D394" s="23">
        <f>($B394-$C394)*100</f>
        <v/>
      </c>
    </row>
    <row r="395">
      <c r="A395" s="11" t="n">
        <v>39248</v>
      </c>
      <c r="B395" s="22">
        <f>'JGBCurve'!$C$395</f>
        <v/>
      </c>
      <c r="C395" s="22" t="n">
        <v>0.51</v>
      </c>
      <c r="D395" s="23">
        <f>($B395-$C395)*100</f>
        <v/>
      </c>
    </row>
    <row r="396">
      <c r="A396" s="11" t="n">
        <v>39255</v>
      </c>
      <c r="B396" s="22">
        <f>'JGBCurve'!$C$396</f>
        <v/>
      </c>
      <c r="C396" s="22" t="n">
        <v>0.51</v>
      </c>
      <c r="D396" s="23">
        <f>($B396-$C396)*100</f>
        <v/>
      </c>
    </row>
    <row r="397">
      <c r="A397" s="11" t="n">
        <v>39262</v>
      </c>
      <c r="B397" s="22">
        <f>'JGBCurve'!$C$397</f>
        <v/>
      </c>
      <c r="C397" s="22" t="n">
        <v>0.51</v>
      </c>
      <c r="D397" s="23">
        <f>($B397-$C397)*100</f>
        <v/>
      </c>
    </row>
    <row r="398">
      <c r="A398" s="11" t="n">
        <v>39269</v>
      </c>
      <c r="B398" s="22">
        <f>'JGBCurve'!$C$398</f>
        <v/>
      </c>
      <c r="C398" s="22" t="n">
        <v>0.499</v>
      </c>
      <c r="D398" s="23">
        <f>($B398-$C398)*100</f>
        <v/>
      </c>
    </row>
    <row r="399">
      <c r="A399" s="11" t="n">
        <v>39276</v>
      </c>
      <c r="B399" s="22">
        <f>'JGBCurve'!$C$399</f>
        <v/>
      </c>
      <c r="C399" s="22" t="n">
        <v>0.499</v>
      </c>
      <c r="D399" s="23">
        <f>($B399-$C399)*100</f>
        <v/>
      </c>
    </row>
    <row r="400">
      <c r="A400" s="11" t="n">
        <v>39283</v>
      </c>
      <c r="B400" s="22">
        <f>'JGBCurve'!$C$400</f>
        <v/>
      </c>
      <c r="C400" s="22" t="n">
        <v>0.499</v>
      </c>
      <c r="D400" s="23">
        <f>($B400-$C400)*100</f>
        <v/>
      </c>
    </row>
    <row r="401">
      <c r="A401" s="11" t="n">
        <v>39290</v>
      </c>
      <c r="B401" s="22">
        <f>'JGBCurve'!$C$401</f>
        <v/>
      </c>
      <c r="C401" s="22" t="n">
        <v>0.499</v>
      </c>
      <c r="D401" s="23">
        <f>($B401-$C401)*100</f>
        <v/>
      </c>
    </row>
    <row r="402">
      <c r="A402" s="11" t="n">
        <v>39297</v>
      </c>
      <c r="B402" s="22">
        <f>'JGBCurve'!$C$402</f>
        <v/>
      </c>
      <c r="C402" s="22" t="n">
        <v>0.485</v>
      </c>
      <c r="D402" s="23">
        <f>($B402-$C402)*100</f>
        <v/>
      </c>
    </row>
    <row r="403">
      <c r="A403" s="11" t="n">
        <v>39304</v>
      </c>
      <c r="B403" s="22">
        <f>'JGBCurve'!$C$403</f>
        <v/>
      </c>
      <c r="C403" s="22" t="n">
        <v>0.485</v>
      </c>
      <c r="D403" s="23">
        <f>($B403-$C403)*100</f>
        <v/>
      </c>
    </row>
    <row r="404">
      <c r="A404" s="11" t="n">
        <v>39311</v>
      </c>
      <c r="B404" s="22">
        <f>'JGBCurve'!$C$404</f>
        <v/>
      </c>
      <c r="C404" s="22" t="n">
        <v>0.485</v>
      </c>
      <c r="D404" s="23">
        <f>($B404-$C404)*100</f>
        <v/>
      </c>
    </row>
    <row r="405">
      <c r="A405" s="11" t="n">
        <v>39318</v>
      </c>
      <c r="B405" s="22">
        <f>'JGBCurve'!$C$405</f>
        <v/>
      </c>
      <c r="C405" s="22" t="n">
        <v>0.485</v>
      </c>
      <c r="D405" s="23">
        <f>($B405-$C405)*100</f>
        <v/>
      </c>
    </row>
    <row r="406">
      <c r="A406" s="11" t="n">
        <v>39325</v>
      </c>
      <c r="B406" s="22">
        <f>'JGBCurve'!$C$406</f>
        <v/>
      </c>
      <c r="C406" s="22" t="n">
        <v>0.485</v>
      </c>
      <c r="D406" s="23">
        <f>($B406-$C406)*100</f>
        <v/>
      </c>
    </row>
    <row r="407">
      <c r="A407" s="11" t="n">
        <v>39332</v>
      </c>
      <c r="B407" s="22">
        <f>'JGBCurve'!$C$407</f>
        <v/>
      </c>
      <c r="C407" s="22" t="n">
        <v>0.51</v>
      </c>
      <c r="D407" s="23">
        <f>($B407-$C407)*100</f>
        <v/>
      </c>
    </row>
    <row r="408">
      <c r="A408" s="11" t="n">
        <v>39339</v>
      </c>
      <c r="B408" s="22">
        <f>'JGBCurve'!$C$408</f>
        <v/>
      </c>
      <c r="C408" s="22" t="n">
        <v>0.51</v>
      </c>
      <c r="D408" s="23">
        <f>($B408-$C408)*100</f>
        <v/>
      </c>
    </row>
    <row r="409">
      <c r="A409" s="11" t="n">
        <v>39346</v>
      </c>
      <c r="B409" s="22">
        <f>'JGBCurve'!$C$409</f>
        <v/>
      </c>
      <c r="C409" s="22" t="n">
        <v>0.51</v>
      </c>
      <c r="D409" s="23">
        <f>($B409-$C409)*100</f>
        <v/>
      </c>
    </row>
    <row r="410">
      <c r="A410" s="11" t="n">
        <v>39353</v>
      </c>
      <c r="B410" s="22">
        <f>'JGBCurve'!$C$410</f>
        <v/>
      </c>
      <c r="C410" s="22" t="n">
        <v>0.51</v>
      </c>
      <c r="D410" s="23">
        <f>($B410-$C410)*100</f>
        <v/>
      </c>
    </row>
    <row r="411">
      <c r="A411" s="11" t="n">
        <v>39360</v>
      </c>
      <c r="B411" s="22">
        <f>'JGBCurve'!$C$411</f>
        <v/>
      </c>
      <c r="C411" s="22" t="n">
        <v>0.506</v>
      </c>
      <c r="D411" s="23">
        <f>($B411-$C411)*100</f>
        <v/>
      </c>
    </row>
    <row r="412">
      <c r="A412" s="11" t="n">
        <v>39367</v>
      </c>
      <c r="B412" s="22">
        <f>'JGBCurve'!$C$412</f>
        <v/>
      </c>
      <c r="C412" s="22" t="n">
        <v>0.506</v>
      </c>
      <c r="D412" s="23">
        <f>($B412-$C412)*100</f>
        <v/>
      </c>
    </row>
    <row r="413">
      <c r="A413" s="11" t="n">
        <v>39374</v>
      </c>
      <c r="B413" s="22">
        <f>'JGBCurve'!$C$413</f>
        <v/>
      </c>
      <c r="C413" s="22" t="n">
        <v>0.506</v>
      </c>
      <c r="D413" s="23">
        <f>($B413-$C413)*100</f>
        <v/>
      </c>
    </row>
    <row r="414">
      <c r="A414" s="11" t="n">
        <v>39381</v>
      </c>
      <c r="B414" s="22">
        <f>'JGBCurve'!$C$414</f>
        <v/>
      </c>
      <c r="C414" s="22" t="n">
        <v>0.506</v>
      </c>
      <c r="D414" s="23">
        <f>($B414-$C414)*100</f>
        <v/>
      </c>
    </row>
    <row r="415">
      <c r="A415" s="11" t="n">
        <v>39388</v>
      </c>
      <c r="B415" s="22">
        <f>'JGBCurve'!$C$415</f>
        <v/>
      </c>
      <c r="C415" s="22" t="n">
        <v>0.5</v>
      </c>
      <c r="D415" s="23">
        <f>($B415-$C415)*100</f>
        <v/>
      </c>
    </row>
    <row r="416">
      <c r="A416" s="11" t="n">
        <v>39395</v>
      </c>
      <c r="B416" s="22">
        <f>'JGBCurve'!$C$416</f>
        <v/>
      </c>
      <c r="C416" s="22" t="n">
        <v>0.5</v>
      </c>
      <c r="D416" s="23">
        <f>($B416-$C416)*100</f>
        <v/>
      </c>
    </row>
    <row r="417">
      <c r="A417" s="11" t="n">
        <v>39402</v>
      </c>
      <c r="B417" s="22">
        <f>'JGBCurve'!$C$417</f>
        <v/>
      </c>
      <c r="C417" s="22" t="n">
        <v>0.5</v>
      </c>
      <c r="D417" s="23">
        <f>($B417-$C417)*100</f>
        <v/>
      </c>
    </row>
    <row r="418">
      <c r="A418" s="11" t="n">
        <v>39409</v>
      </c>
      <c r="B418" s="22">
        <f>'JGBCurve'!$C$418</f>
        <v/>
      </c>
      <c r="C418" s="22" t="n">
        <v>0.5</v>
      </c>
      <c r="D418" s="23">
        <f>($B418-$C418)*100</f>
        <v/>
      </c>
    </row>
    <row r="419">
      <c r="A419" s="11" t="n">
        <v>39416</v>
      </c>
      <c r="B419" s="22">
        <f>'JGBCurve'!$C$419</f>
        <v/>
      </c>
      <c r="C419" s="22" t="n">
        <v>0.5</v>
      </c>
      <c r="D419" s="23">
        <f>($B419-$C419)*100</f>
        <v/>
      </c>
    </row>
    <row r="420">
      <c r="A420" s="11" t="n">
        <v>39423</v>
      </c>
      <c r="B420" s="22">
        <f>'JGBCurve'!$C$420</f>
        <v/>
      </c>
      <c r="C420" s="22" t="n">
        <v>0.497</v>
      </c>
      <c r="D420" s="23">
        <f>($B420-$C420)*100</f>
        <v/>
      </c>
    </row>
    <row r="421">
      <c r="A421" s="11" t="n">
        <v>39430</v>
      </c>
      <c r="B421" s="22">
        <f>'JGBCurve'!$C$421</f>
        <v/>
      </c>
      <c r="C421" s="22" t="n">
        <v>0.497</v>
      </c>
      <c r="D421" s="23">
        <f>($B421-$C421)*100</f>
        <v/>
      </c>
    </row>
    <row r="422">
      <c r="A422" s="11" t="n">
        <v>39437</v>
      </c>
      <c r="B422" s="22">
        <f>'JGBCurve'!$C$422</f>
        <v/>
      </c>
      <c r="C422" s="22" t="n">
        <v>0.497</v>
      </c>
      <c r="D422" s="23">
        <f>($B422-$C422)*100</f>
        <v/>
      </c>
    </row>
    <row r="423">
      <c r="A423" s="11" t="n">
        <v>39444</v>
      </c>
      <c r="B423" s="22">
        <f>'JGBCurve'!$C$423</f>
        <v/>
      </c>
      <c r="C423" s="22" t="n">
        <v>0.497</v>
      </c>
      <c r="D423" s="23">
        <f>($B423-$C423)*100</f>
        <v/>
      </c>
    </row>
    <row r="424">
      <c r="A424" s="11" t="n">
        <v>39451</v>
      </c>
      <c r="B424" s="22">
        <f>'JGBCurve'!$C$424</f>
        <v/>
      </c>
      <c r="C424" s="22" t="n">
        <v>0.502</v>
      </c>
      <c r="D424" s="23">
        <f>($B424-$C424)*100</f>
        <v/>
      </c>
    </row>
    <row r="425">
      <c r="A425" s="11" t="n">
        <v>39458</v>
      </c>
      <c r="B425" s="22">
        <f>'JGBCurve'!$C$425</f>
        <v/>
      </c>
      <c r="C425" s="22" t="n">
        <v>0.502</v>
      </c>
      <c r="D425" s="23">
        <f>($B425-$C425)*100</f>
        <v/>
      </c>
    </row>
    <row r="426">
      <c r="A426" s="11" t="n">
        <v>39465</v>
      </c>
      <c r="B426" s="22">
        <f>'JGBCurve'!$C$426</f>
        <v/>
      </c>
      <c r="C426" s="22" t="n">
        <v>0.502</v>
      </c>
      <c r="D426" s="23">
        <f>($B426-$C426)*100</f>
        <v/>
      </c>
    </row>
    <row r="427">
      <c r="A427" s="11" t="n">
        <v>39472</v>
      </c>
      <c r="B427" s="22">
        <f>'JGBCurve'!$C$427</f>
        <v/>
      </c>
      <c r="C427" s="22" t="n">
        <v>0.502</v>
      </c>
      <c r="D427" s="23">
        <f>($B427-$C427)*100</f>
        <v/>
      </c>
    </row>
    <row r="428">
      <c r="A428" s="11" t="n">
        <v>39479</v>
      </c>
      <c r="B428" s="22">
        <f>'JGBCurve'!$C$428</f>
        <v/>
      </c>
      <c r="C428" s="22" t="n">
        <v>0.504</v>
      </c>
      <c r="D428" s="23">
        <f>($B428-$C428)*100</f>
        <v/>
      </c>
    </row>
    <row r="429">
      <c r="A429" s="11" t="n">
        <v>39486</v>
      </c>
      <c r="B429" s="22">
        <f>'JGBCurve'!$C$429</f>
        <v/>
      </c>
      <c r="C429" s="22" t="n">
        <v>0.504</v>
      </c>
      <c r="D429" s="23">
        <f>($B429-$C429)*100</f>
        <v/>
      </c>
    </row>
    <row r="430">
      <c r="A430" s="11" t="n">
        <v>39493</v>
      </c>
      <c r="B430" s="22">
        <f>'JGBCurve'!$C$430</f>
        <v/>
      </c>
      <c r="C430" s="22" t="n">
        <v>0.504</v>
      </c>
      <c r="D430" s="23">
        <f>($B430-$C430)*100</f>
        <v/>
      </c>
    </row>
    <row r="431">
      <c r="A431" s="11" t="n">
        <v>39500</v>
      </c>
      <c r="B431" s="22">
        <f>'JGBCurve'!$C$431</f>
        <v/>
      </c>
      <c r="C431" s="22" t="n">
        <v>0.504</v>
      </c>
      <c r="D431" s="23">
        <f>($B431-$C431)*100</f>
        <v/>
      </c>
    </row>
    <row r="432">
      <c r="A432" s="11" t="n">
        <v>39507</v>
      </c>
      <c r="B432" s="22">
        <f>'JGBCurve'!$C$432</f>
        <v/>
      </c>
      <c r="C432" s="22" t="n">
        <v>0.504</v>
      </c>
      <c r="D432" s="23">
        <f>($B432-$C432)*100</f>
        <v/>
      </c>
    </row>
    <row r="433">
      <c r="A433" s="11" t="n">
        <v>39514</v>
      </c>
      <c r="B433" s="22">
        <f>'JGBCurve'!$C$433</f>
        <v/>
      </c>
      <c r="C433" s="22" t="n">
        <v>0.511</v>
      </c>
      <c r="D433" s="23">
        <f>($B433-$C433)*100</f>
        <v/>
      </c>
    </row>
    <row r="434">
      <c r="A434" s="11" t="n">
        <v>39521</v>
      </c>
      <c r="B434" s="22">
        <f>'JGBCurve'!$C$434</f>
        <v/>
      </c>
      <c r="C434" s="22" t="n">
        <v>0.511</v>
      </c>
      <c r="D434" s="23">
        <f>($B434-$C434)*100</f>
        <v/>
      </c>
    </row>
    <row r="435">
      <c r="A435" s="11" t="n">
        <v>39528</v>
      </c>
      <c r="B435" s="22">
        <f>'JGBCurve'!$C$435</f>
        <v/>
      </c>
      <c r="C435" s="22" t="n">
        <v>0.511</v>
      </c>
      <c r="D435" s="23">
        <f>($B435-$C435)*100</f>
        <v/>
      </c>
    </row>
    <row r="436">
      <c r="A436" s="11" t="n">
        <v>39535</v>
      </c>
      <c r="B436" s="22">
        <f>'JGBCurve'!$C$436</f>
        <v/>
      </c>
      <c r="C436" s="22" t="n">
        <v>0.511</v>
      </c>
      <c r="D436" s="23">
        <f>($B436-$C436)*100</f>
        <v/>
      </c>
    </row>
    <row r="437">
      <c r="A437" s="11" t="n">
        <v>39542</v>
      </c>
      <c r="B437" s="22">
        <f>'JGBCurve'!$C$437</f>
        <v/>
      </c>
      <c r="C437" s="22" t="n">
        <v>0.506</v>
      </c>
      <c r="D437" s="23">
        <f>($B437-$C437)*100</f>
        <v/>
      </c>
    </row>
    <row r="438">
      <c r="A438" s="11" t="n">
        <v>39549</v>
      </c>
      <c r="B438" s="22">
        <f>'JGBCurve'!$C$438</f>
        <v/>
      </c>
      <c r="C438" s="22" t="n">
        <v>0.506</v>
      </c>
      <c r="D438" s="23">
        <f>($B438-$C438)*100</f>
        <v/>
      </c>
    </row>
    <row r="439">
      <c r="A439" s="11" t="n">
        <v>39556</v>
      </c>
      <c r="B439" s="22">
        <f>'JGBCurve'!$C$439</f>
        <v/>
      </c>
      <c r="C439" s="22" t="n">
        <v>0.506</v>
      </c>
      <c r="D439" s="23">
        <f>($B439-$C439)*100</f>
        <v/>
      </c>
    </row>
    <row r="440">
      <c r="A440" s="11" t="n">
        <v>39563</v>
      </c>
      <c r="B440" s="22">
        <f>'JGBCurve'!$C$440</f>
        <v/>
      </c>
      <c r="C440" s="22" t="n">
        <v>0.506</v>
      </c>
      <c r="D440" s="23">
        <f>($B440-$C440)*100</f>
        <v/>
      </c>
    </row>
    <row r="441">
      <c r="A441" s="11" t="n">
        <v>39570</v>
      </c>
      <c r="B441" s="22">
        <f>'JGBCurve'!$C$441</f>
        <v/>
      </c>
      <c r="C441" s="22" t="n">
        <v>0.505</v>
      </c>
      <c r="D441" s="23">
        <f>($B441-$C441)*100</f>
        <v/>
      </c>
    </row>
    <row r="442">
      <c r="A442" s="11" t="n">
        <v>39577</v>
      </c>
      <c r="B442" s="22">
        <f>'JGBCurve'!$C$442</f>
        <v/>
      </c>
      <c r="C442" s="22" t="n">
        <v>0.505</v>
      </c>
      <c r="D442" s="23">
        <f>($B442-$C442)*100</f>
        <v/>
      </c>
    </row>
    <row r="443">
      <c r="A443" s="11" t="n">
        <v>39584</v>
      </c>
      <c r="B443" s="22">
        <f>'JGBCurve'!$C$443</f>
        <v/>
      </c>
      <c r="C443" s="22" t="n">
        <v>0.505</v>
      </c>
      <c r="D443" s="23">
        <f>($B443-$C443)*100</f>
        <v/>
      </c>
    </row>
    <row r="444">
      <c r="A444" s="11" t="n">
        <v>39591</v>
      </c>
      <c r="B444" s="22">
        <f>'JGBCurve'!$C$444</f>
        <v/>
      </c>
      <c r="C444" s="22" t="n">
        <v>0.505</v>
      </c>
      <c r="D444" s="23">
        <f>($B444-$C444)*100</f>
        <v/>
      </c>
    </row>
    <row r="445">
      <c r="A445" s="11" t="n">
        <v>39598</v>
      </c>
      <c r="B445" s="22">
        <f>'JGBCurve'!$C$445</f>
        <v/>
      </c>
      <c r="C445" s="22" t="n">
        <v>0.505</v>
      </c>
      <c r="D445" s="23">
        <f>($B445-$C445)*100</f>
        <v/>
      </c>
    </row>
    <row r="446">
      <c r="A446" s="11" t="n">
        <v>39605</v>
      </c>
      <c r="B446" s="22">
        <f>'JGBCurve'!$C$446</f>
        <v/>
      </c>
      <c r="C446" s="22" t="n">
        <v>0.509</v>
      </c>
      <c r="D446" s="23">
        <f>($B446-$C446)*100</f>
        <v/>
      </c>
    </row>
    <row r="447">
      <c r="A447" s="11" t="n">
        <v>39612</v>
      </c>
      <c r="B447" s="22">
        <f>'JGBCurve'!$C$447</f>
        <v/>
      </c>
      <c r="C447" s="22" t="n">
        <v>0.509</v>
      </c>
      <c r="D447" s="23">
        <f>($B447-$C447)*100</f>
        <v/>
      </c>
    </row>
    <row r="448">
      <c r="A448" s="11" t="n">
        <v>39619</v>
      </c>
      <c r="B448" s="22">
        <f>'JGBCurve'!$C$448</f>
        <v/>
      </c>
      <c r="C448" s="22" t="n">
        <v>0.509</v>
      </c>
      <c r="D448" s="23">
        <f>($B448-$C448)*100</f>
        <v/>
      </c>
    </row>
    <row r="449">
      <c r="A449" s="11" t="n">
        <v>39626</v>
      </c>
      <c r="B449" s="22">
        <f>'JGBCurve'!$C$449</f>
        <v/>
      </c>
      <c r="C449" s="22" t="n">
        <v>0.509</v>
      </c>
      <c r="D449" s="23">
        <f>($B449-$C449)*100</f>
        <v/>
      </c>
    </row>
    <row r="450">
      <c r="A450" s="11" t="n">
        <v>39633</v>
      </c>
      <c r="B450" s="22">
        <f>'JGBCurve'!$C$450</f>
        <v/>
      </c>
      <c r="C450" s="22" t="n">
        <v>0.503</v>
      </c>
      <c r="D450" s="23">
        <f>($B450-$C450)*100</f>
        <v/>
      </c>
    </row>
    <row r="451">
      <c r="A451" s="11" t="n">
        <v>39640</v>
      </c>
      <c r="B451" s="22">
        <f>'JGBCurve'!$C$451</f>
        <v/>
      </c>
      <c r="C451" s="22" t="n">
        <v>0.503</v>
      </c>
      <c r="D451" s="23">
        <f>($B451-$C451)*100</f>
        <v/>
      </c>
    </row>
    <row r="452">
      <c r="A452" s="11" t="n">
        <v>39647</v>
      </c>
      <c r="B452" s="22">
        <f>'JGBCurve'!$C$452</f>
        <v/>
      </c>
      <c r="C452" s="22" t="n">
        <v>0.503</v>
      </c>
      <c r="D452" s="23">
        <f>($B452-$C452)*100</f>
        <v/>
      </c>
    </row>
    <row r="453">
      <c r="A453" s="11" t="n">
        <v>39654</v>
      </c>
      <c r="B453" s="22">
        <f>'JGBCurve'!$C$453</f>
        <v/>
      </c>
      <c r="C453" s="22" t="n">
        <v>0.503</v>
      </c>
      <c r="D453" s="23">
        <f>($B453-$C453)*100</f>
        <v/>
      </c>
    </row>
    <row r="454">
      <c r="A454" s="11" t="n">
        <v>39661</v>
      </c>
      <c r="B454" s="22">
        <f>'JGBCurve'!$C$454</f>
        <v/>
      </c>
      <c r="C454" s="22" t="n">
        <v>0.504</v>
      </c>
      <c r="D454" s="23">
        <f>($B454-$C454)*100</f>
        <v/>
      </c>
    </row>
    <row r="455">
      <c r="A455" s="11" t="n">
        <v>39668</v>
      </c>
      <c r="B455" s="22">
        <f>'JGBCurve'!$C$455</f>
        <v/>
      </c>
      <c r="C455" s="22" t="n">
        <v>0.504</v>
      </c>
      <c r="D455" s="23">
        <f>($B455-$C455)*100</f>
        <v/>
      </c>
    </row>
    <row r="456">
      <c r="A456" s="11" t="n">
        <v>39675</v>
      </c>
      <c r="B456" s="22">
        <f>'JGBCurve'!$C$456</f>
        <v/>
      </c>
      <c r="C456" s="22" t="n">
        <v>0.504</v>
      </c>
      <c r="D456" s="23">
        <f>($B456-$C456)*100</f>
        <v/>
      </c>
    </row>
    <row r="457">
      <c r="A457" s="11" t="n">
        <v>39682</v>
      </c>
      <c r="B457" s="22">
        <f>'JGBCurve'!$C$457</f>
        <v/>
      </c>
      <c r="C457" s="22" t="n">
        <v>0.504</v>
      </c>
      <c r="D457" s="23">
        <f>($B457-$C457)*100</f>
        <v/>
      </c>
    </row>
    <row r="458">
      <c r="A458" s="11" t="n">
        <v>39689</v>
      </c>
      <c r="B458" s="22">
        <f>'JGBCurve'!$C$458</f>
        <v/>
      </c>
      <c r="C458" s="22" t="n">
        <v>0.504</v>
      </c>
      <c r="D458" s="23">
        <f>($B458-$C458)*100</f>
        <v/>
      </c>
    </row>
    <row r="459">
      <c r="A459" s="11" t="n">
        <v>39696</v>
      </c>
      <c r="B459" s="22">
        <f>'JGBCurve'!$C$459</f>
        <v/>
      </c>
      <c r="C459" s="22" t="n">
        <v>0.495</v>
      </c>
      <c r="D459" s="23">
        <f>($B459-$C459)*100</f>
        <v/>
      </c>
    </row>
    <row r="460">
      <c r="A460" s="11" t="n">
        <v>39703</v>
      </c>
      <c r="B460" s="22">
        <f>'JGBCurve'!$C$460</f>
        <v/>
      </c>
      <c r="C460" s="22" t="n">
        <v>0.495</v>
      </c>
      <c r="D460" s="23">
        <f>($B460-$C460)*100</f>
        <v/>
      </c>
    </row>
    <row r="461">
      <c r="A461" s="11" t="n">
        <v>39710</v>
      </c>
      <c r="B461" s="22">
        <f>'JGBCurve'!$C$461</f>
        <v/>
      </c>
      <c r="C461" s="22" t="n">
        <v>0.495</v>
      </c>
      <c r="D461" s="23">
        <f>($B461-$C461)*100</f>
        <v/>
      </c>
    </row>
    <row r="462">
      <c r="A462" s="11" t="n">
        <v>39717</v>
      </c>
      <c r="B462" s="22">
        <f>'JGBCurve'!$C$462</f>
        <v/>
      </c>
      <c r="C462" s="22" t="n">
        <v>0.495</v>
      </c>
      <c r="D462" s="23">
        <f>($B462-$C462)*100</f>
        <v/>
      </c>
    </row>
    <row r="463">
      <c r="A463" s="11" t="n">
        <v>39724</v>
      </c>
      <c r="B463" s="22">
        <f>'JGBCurve'!$C$463</f>
        <v/>
      </c>
      <c r="C463" s="22" t="n">
        <v>0.487</v>
      </c>
      <c r="D463" s="23">
        <f>($B463-$C463)*100</f>
        <v/>
      </c>
    </row>
    <row r="464">
      <c r="A464" s="11" t="n">
        <v>39731</v>
      </c>
      <c r="B464" s="22">
        <f>'JGBCurve'!$C$464</f>
        <v/>
      </c>
      <c r="C464" s="22" t="n">
        <v>0.487</v>
      </c>
      <c r="D464" s="23">
        <f>($B464-$C464)*100</f>
        <v/>
      </c>
    </row>
    <row r="465">
      <c r="A465" s="11" t="n">
        <v>39738</v>
      </c>
      <c r="B465" s="22">
        <f>'JGBCurve'!$C$465</f>
        <v/>
      </c>
      <c r="C465" s="22" t="n">
        <v>0.487</v>
      </c>
      <c r="D465" s="23">
        <f>($B465-$C465)*100</f>
        <v/>
      </c>
    </row>
    <row r="466">
      <c r="A466" s="11" t="n">
        <v>39745</v>
      </c>
      <c r="B466" s="22">
        <f>'JGBCurve'!$C$466</f>
        <v/>
      </c>
      <c r="C466" s="22" t="n">
        <v>0.487</v>
      </c>
      <c r="D466" s="23">
        <f>($B466-$C466)*100</f>
        <v/>
      </c>
    </row>
    <row r="467">
      <c r="A467" s="11" t="n">
        <v>39752</v>
      </c>
      <c r="B467" s="22">
        <f>'JGBCurve'!$C$467</f>
        <v/>
      </c>
      <c r="C467" s="22" t="n">
        <v>0.487</v>
      </c>
      <c r="D467" s="23">
        <f>($B467-$C467)*100</f>
        <v/>
      </c>
    </row>
    <row r="468">
      <c r="A468" s="11" t="n">
        <v>39759</v>
      </c>
      <c r="B468" s="22">
        <f>'JGBCurve'!$C$468</f>
        <v/>
      </c>
      <c r="C468" s="22" t="n">
        <v>0.301</v>
      </c>
      <c r="D468" s="23">
        <f>($B468-$C468)*100</f>
        <v/>
      </c>
    </row>
    <row r="469">
      <c r="A469" s="11" t="n">
        <v>39766</v>
      </c>
      <c r="B469" s="22">
        <f>'JGBCurve'!$C$469</f>
        <v/>
      </c>
      <c r="C469" s="22" t="n">
        <v>0.301</v>
      </c>
      <c r="D469" s="23">
        <f>($B469-$C469)*100</f>
        <v/>
      </c>
    </row>
    <row r="470">
      <c r="A470" s="11" t="n">
        <v>39773</v>
      </c>
      <c r="B470" s="22">
        <f>'JGBCurve'!$C$470</f>
        <v/>
      </c>
      <c r="C470" s="22" t="n">
        <v>0.301</v>
      </c>
      <c r="D470" s="23">
        <f>($B470-$C470)*100</f>
        <v/>
      </c>
    </row>
    <row r="471">
      <c r="A471" s="11" t="n">
        <v>39780</v>
      </c>
      <c r="B471" s="22">
        <f>'JGBCurve'!$C$471</f>
        <v/>
      </c>
      <c r="C471" s="22" t="n">
        <v>0.301</v>
      </c>
      <c r="D471" s="23">
        <f>($B471-$C471)*100</f>
        <v/>
      </c>
    </row>
    <row r="472">
      <c r="A472" s="11" t="n">
        <v>39787</v>
      </c>
      <c r="B472" s="22">
        <f>'JGBCurve'!$C$472</f>
        <v/>
      </c>
      <c r="C472" s="22" t="n">
        <v>0.211</v>
      </c>
      <c r="D472" s="23">
        <f>($B472-$C472)*100</f>
        <v/>
      </c>
    </row>
    <row r="473">
      <c r="A473" s="11" t="n">
        <v>39794</v>
      </c>
      <c r="B473" s="22">
        <f>'JGBCurve'!$C$473</f>
        <v/>
      </c>
      <c r="C473" s="22" t="n">
        <v>0.211</v>
      </c>
      <c r="D473" s="23">
        <f>($B473-$C473)*100</f>
        <v/>
      </c>
    </row>
    <row r="474">
      <c r="A474" s="11" t="n">
        <v>39801</v>
      </c>
      <c r="B474" s="22">
        <f>'JGBCurve'!$C$474</f>
        <v/>
      </c>
      <c r="C474" s="22" t="n">
        <v>0.211</v>
      </c>
      <c r="D474" s="23">
        <f>($B474-$C474)*100</f>
        <v/>
      </c>
    </row>
    <row r="475">
      <c r="A475" s="11" t="n">
        <v>39808</v>
      </c>
      <c r="B475" s="22">
        <f>'JGBCurve'!$C$475</f>
        <v/>
      </c>
      <c r="C475" s="22" t="n">
        <v>0.211</v>
      </c>
      <c r="D475" s="23">
        <f>($B475-$C475)*100</f>
        <v/>
      </c>
    </row>
    <row r="476">
      <c r="A476" s="11" t="n">
        <v>39815</v>
      </c>
      <c r="B476" s="22">
        <f>'JGBCurve'!$C$476</f>
        <v/>
      </c>
      <c r="C476" s="22" t="n">
        <v>0.12</v>
      </c>
      <c r="D476" s="23">
        <f>($B476-$C476)*100</f>
        <v/>
      </c>
    </row>
    <row r="477">
      <c r="A477" s="11" t="n">
        <v>39822</v>
      </c>
      <c r="B477" s="22">
        <f>'JGBCurve'!$C$477</f>
        <v/>
      </c>
      <c r="C477" s="22" t="n">
        <v>0.12</v>
      </c>
      <c r="D477" s="23">
        <f>($B477-$C477)*100</f>
        <v/>
      </c>
    </row>
    <row r="478">
      <c r="A478" s="11" t="n">
        <v>39829</v>
      </c>
      <c r="B478" s="22">
        <f>'JGBCurve'!$C$478</f>
        <v/>
      </c>
      <c r="C478" s="22" t="n">
        <v>0.12</v>
      </c>
      <c r="D478" s="23">
        <f>($B478-$C478)*100</f>
        <v/>
      </c>
    </row>
    <row r="479">
      <c r="A479" s="11" t="n">
        <v>39836</v>
      </c>
      <c r="B479" s="22">
        <f>'JGBCurve'!$C$479</f>
        <v/>
      </c>
      <c r="C479" s="22" t="n">
        <v>0.12</v>
      </c>
      <c r="D479" s="23">
        <f>($B479-$C479)*100</f>
        <v/>
      </c>
    </row>
    <row r="480">
      <c r="A480" s="11" t="n">
        <v>39843</v>
      </c>
      <c r="B480" s="22">
        <f>'JGBCurve'!$C$480</f>
        <v/>
      </c>
      <c r="C480" s="22" t="n">
        <v>0.12</v>
      </c>
      <c r="D480" s="23">
        <f>($B480-$C480)*100</f>
        <v/>
      </c>
    </row>
    <row r="481">
      <c r="A481" s="11" t="n">
        <v>39850</v>
      </c>
      <c r="B481" s="22">
        <f>'JGBCurve'!$C$481</f>
        <v/>
      </c>
      <c r="C481" s="22" t="n">
        <v>0.111</v>
      </c>
      <c r="D481" s="23">
        <f>($B481-$C481)*100</f>
        <v/>
      </c>
    </row>
    <row r="482">
      <c r="A482" s="11" t="n">
        <v>39857</v>
      </c>
      <c r="B482" s="22">
        <f>'JGBCurve'!$C$482</f>
        <v/>
      </c>
      <c r="C482" s="22" t="n">
        <v>0.111</v>
      </c>
      <c r="D482" s="23">
        <f>($B482-$C482)*100</f>
        <v/>
      </c>
    </row>
    <row r="483">
      <c r="A483" s="11" t="n">
        <v>39864</v>
      </c>
      <c r="B483" s="22">
        <f>'JGBCurve'!$C$483</f>
        <v/>
      </c>
      <c r="C483" s="22" t="n">
        <v>0.111</v>
      </c>
      <c r="D483" s="23">
        <f>($B483-$C483)*100</f>
        <v/>
      </c>
    </row>
    <row r="484">
      <c r="A484" s="11" t="n">
        <v>39871</v>
      </c>
      <c r="B484" s="22">
        <f>'JGBCurve'!$C$484</f>
        <v/>
      </c>
      <c r="C484" s="22" t="n">
        <v>0.111</v>
      </c>
      <c r="D484" s="23">
        <f>($B484-$C484)*100</f>
        <v/>
      </c>
    </row>
    <row r="485">
      <c r="A485" s="11" t="n">
        <v>39878</v>
      </c>
      <c r="B485" s="22">
        <f>'JGBCurve'!$C$485</f>
        <v/>
      </c>
      <c r="C485" s="22" t="n">
        <v>0.1</v>
      </c>
      <c r="D485" s="23">
        <f>($B485-$C485)*100</f>
        <v/>
      </c>
    </row>
    <row r="486">
      <c r="A486" s="11" t="n">
        <v>39885</v>
      </c>
      <c r="B486" s="22">
        <f>'JGBCurve'!$C$486</f>
        <v/>
      </c>
      <c r="C486" s="22" t="n">
        <v>0.1</v>
      </c>
      <c r="D486" s="23">
        <f>($B486-$C486)*100</f>
        <v/>
      </c>
    </row>
    <row r="487">
      <c r="A487" s="11" t="n">
        <v>39892</v>
      </c>
      <c r="B487" s="22">
        <f>'JGBCurve'!$C$487</f>
        <v/>
      </c>
      <c r="C487" s="22" t="n">
        <v>0.1</v>
      </c>
      <c r="D487" s="23">
        <f>($B487-$C487)*100</f>
        <v/>
      </c>
    </row>
    <row r="488">
      <c r="A488" s="11" t="n">
        <v>39899</v>
      </c>
      <c r="B488" s="22">
        <f>'JGBCurve'!$C$488</f>
        <v/>
      </c>
      <c r="C488" s="22" t="n">
        <v>0.1</v>
      </c>
      <c r="D488" s="23">
        <f>($B488-$C488)*100</f>
        <v/>
      </c>
    </row>
    <row r="489">
      <c r="A489" s="11" t="n">
        <v>39906</v>
      </c>
      <c r="B489" s="22">
        <f>'JGBCurve'!$C$489</f>
        <v/>
      </c>
      <c r="C489" s="22" t="n">
        <v>0.104</v>
      </c>
      <c r="D489" s="23">
        <f>($B489-$C489)*100</f>
        <v/>
      </c>
    </row>
    <row r="490">
      <c r="A490" s="11" t="n">
        <v>39913</v>
      </c>
      <c r="B490" s="22">
        <f>'JGBCurve'!$C$490</f>
        <v/>
      </c>
      <c r="C490" s="22" t="n">
        <v>0.104</v>
      </c>
      <c r="D490" s="23">
        <f>($B490-$C490)*100</f>
        <v/>
      </c>
    </row>
    <row r="491">
      <c r="A491" s="11" t="n">
        <v>39920</v>
      </c>
      <c r="B491" s="22">
        <f>'JGBCurve'!$C$491</f>
        <v/>
      </c>
      <c r="C491" s="22" t="n">
        <v>0.104</v>
      </c>
      <c r="D491" s="23">
        <f>($B491-$C491)*100</f>
        <v/>
      </c>
    </row>
    <row r="492">
      <c r="A492" s="11" t="n">
        <v>39927</v>
      </c>
      <c r="B492" s="22">
        <f>'JGBCurve'!$C$492</f>
        <v/>
      </c>
      <c r="C492" s="22" t="n">
        <v>0.104</v>
      </c>
      <c r="D492" s="23">
        <f>($B492-$C492)*100</f>
        <v/>
      </c>
    </row>
    <row r="493">
      <c r="A493" s="11" t="n">
        <v>39934</v>
      </c>
      <c r="B493" s="22">
        <f>'JGBCurve'!$C$493</f>
        <v/>
      </c>
      <c r="C493" s="22" t="n">
        <v>0.102</v>
      </c>
      <c r="D493" s="23">
        <f>($B493-$C493)*100</f>
        <v/>
      </c>
    </row>
    <row r="494">
      <c r="A494" s="11" t="n">
        <v>39941</v>
      </c>
      <c r="B494" s="22">
        <f>'JGBCurve'!$C$494</f>
        <v/>
      </c>
      <c r="C494" s="22" t="n">
        <v>0.102</v>
      </c>
      <c r="D494" s="23">
        <f>($B494-$C494)*100</f>
        <v/>
      </c>
    </row>
    <row r="495">
      <c r="A495" s="11" t="n">
        <v>39948</v>
      </c>
      <c r="B495" s="22">
        <f>'JGBCurve'!$C$495</f>
        <v/>
      </c>
      <c r="C495" s="22" t="n">
        <v>0.102</v>
      </c>
      <c r="D495" s="23">
        <f>($B495-$C495)*100</f>
        <v/>
      </c>
    </row>
    <row r="496">
      <c r="A496" s="11" t="n">
        <v>39955</v>
      </c>
      <c r="B496" s="22">
        <f>'JGBCurve'!$C$496</f>
        <v/>
      </c>
      <c r="C496" s="22" t="n">
        <v>0.102</v>
      </c>
      <c r="D496" s="23">
        <f>($B496-$C496)*100</f>
        <v/>
      </c>
    </row>
    <row r="497">
      <c r="A497" s="11" t="n">
        <v>39962</v>
      </c>
      <c r="B497" s="22">
        <f>'JGBCurve'!$C$497</f>
        <v/>
      </c>
      <c r="C497" s="22" t="n">
        <v>0.102</v>
      </c>
      <c r="D497" s="23">
        <f>($B497-$C497)*100</f>
        <v/>
      </c>
    </row>
    <row r="498">
      <c r="A498" s="11" t="n">
        <v>39969</v>
      </c>
      <c r="B498" s="22">
        <f>'JGBCurve'!$C$498</f>
        <v/>
      </c>
      <c r="C498" s="22" t="n">
        <v>0.104</v>
      </c>
      <c r="D498" s="23">
        <f>($B498-$C498)*100</f>
        <v/>
      </c>
    </row>
    <row r="499">
      <c r="A499" s="11" t="n">
        <v>39976</v>
      </c>
      <c r="B499" s="22">
        <f>'JGBCurve'!$C$499</f>
        <v/>
      </c>
      <c r="C499" s="22" t="n">
        <v>0.104</v>
      </c>
      <c r="D499" s="23">
        <f>($B499-$C499)*100</f>
        <v/>
      </c>
    </row>
    <row r="500">
      <c r="A500" s="11" t="n">
        <v>39983</v>
      </c>
      <c r="B500" s="22">
        <f>'JGBCurve'!$C$500</f>
        <v/>
      </c>
      <c r="C500" s="22" t="n">
        <v>0.104</v>
      </c>
      <c r="D500" s="23">
        <f>($B500-$C500)*100</f>
        <v/>
      </c>
    </row>
    <row r="501">
      <c r="A501" s="11" t="n">
        <v>39990</v>
      </c>
      <c r="B501" s="22">
        <f>'JGBCurve'!$C$501</f>
        <v/>
      </c>
      <c r="C501" s="22" t="n">
        <v>0.104</v>
      </c>
      <c r="D501" s="23">
        <f>($B501-$C501)*100</f>
        <v/>
      </c>
    </row>
    <row r="502">
      <c r="A502" s="11" t="n">
        <v>39997</v>
      </c>
      <c r="B502" s="22">
        <f>'JGBCurve'!$C$502</f>
        <v/>
      </c>
      <c r="C502" s="22" t="n">
        <v>0.102</v>
      </c>
      <c r="D502" s="23">
        <f>($B502-$C502)*100</f>
        <v/>
      </c>
    </row>
    <row r="503">
      <c r="A503" s="11" t="n">
        <v>40004</v>
      </c>
      <c r="B503" s="22">
        <f>'JGBCurve'!$C$503</f>
        <v/>
      </c>
      <c r="C503" s="22" t="n">
        <v>0.102</v>
      </c>
      <c r="D503" s="23">
        <f>($B503-$C503)*100</f>
        <v/>
      </c>
    </row>
    <row r="504">
      <c r="A504" s="11" t="n">
        <v>40011</v>
      </c>
      <c r="B504" s="22">
        <f>'JGBCurve'!$C$504</f>
        <v/>
      </c>
      <c r="C504" s="22" t="n">
        <v>0.102</v>
      </c>
      <c r="D504" s="23">
        <f>($B504-$C504)*100</f>
        <v/>
      </c>
    </row>
    <row r="505">
      <c r="A505" s="11" t="n">
        <v>40018</v>
      </c>
      <c r="B505" s="22">
        <f>'JGBCurve'!$C$505</f>
        <v/>
      </c>
      <c r="C505" s="22" t="n">
        <v>0.102</v>
      </c>
      <c r="D505" s="23">
        <f>($B505-$C505)*100</f>
        <v/>
      </c>
    </row>
    <row r="506">
      <c r="A506" s="11" t="n">
        <v>40025</v>
      </c>
      <c r="B506" s="22">
        <f>'JGBCurve'!$C$506</f>
        <v/>
      </c>
      <c r="C506" s="22" t="n">
        <v>0.102</v>
      </c>
      <c r="D506" s="23">
        <f>($B506-$C506)*100</f>
        <v/>
      </c>
    </row>
    <row r="507">
      <c r="A507" s="11" t="n">
        <v>40032</v>
      </c>
      <c r="B507" s="22">
        <f>'JGBCurve'!$C$507</f>
        <v/>
      </c>
      <c r="C507" s="22" t="n">
        <v>0.106</v>
      </c>
      <c r="D507" s="23">
        <f>($B507-$C507)*100</f>
        <v/>
      </c>
    </row>
    <row r="508">
      <c r="A508" s="11" t="n">
        <v>40039</v>
      </c>
      <c r="B508" s="22">
        <f>'JGBCurve'!$C$508</f>
        <v/>
      </c>
      <c r="C508" s="22" t="n">
        <v>0.106</v>
      </c>
      <c r="D508" s="23">
        <f>($B508-$C508)*100</f>
        <v/>
      </c>
    </row>
    <row r="509">
      <c r="A509" s="11" t="n">
        <v>40046</v>
      </c>
      <c r="B509" s="22">
        <f>'JGBCurve'!$C$509</f>
        <v/>
      </c>
      <c r="C509" s="22" t="n">
        <v>0.106</v>
      </c>
      <c r="D509" s="23">
        <f>($B509-$C509)*100</f>
        <v/>
      </c>
    </row>
    <row r="510">
      <c r="A510" s="11" t="n">
        <v>40053</v>
      </c>
      <c r="B510" s="22">
        <f>'JGBCurve'!$C$510</f>
        <v/>
      </c>
      <c r="C510" s="22" t="n">
        <v>0.106</v>
      </c>
      <c r="D510" s="23">
        <f>($B510-$C510)*100</f>
        <v/>
      </c>
    </row>
    <row r="511">
      <c r="A511" s="11" t="n">
        <v>40060</v>
      </c>
      <c r="B511" s="22">
        <f>'JGBCurve'!$C$511</f>
        <v/>
      </c>
      <c r="C511" s="22" t="n">
        <v>0.102</v>
      </c>
      <c r="D511" s="23">
        <f>($B511-$C511)*100</f>
        <v/>
      </c>
    </row>
    <row r="512">
      <c r="A512" s="11" t="n">
        <v>40067</v>
      </c>
      <c r="B512" s="22">
        <f>'JGBCurve'!$C$512</f>
        <v/>
      </c>
      <c r="C512" s="22" t="n">
        <v>0.102</v>
      </c>
      <c r="D512" s="23">
        <f>($B512-$C512)*100</f>
        <v/>
      </c>
    </row>
    <row r="513">
      <c r="A513" s="11" t="n">
        <v>40074</v>
      </c>
      <c r="B513" s="22">
        <f>'JGBCurve'!$C$513</f>
        <v/>
      </c>
      <c r="C513" s="22" t="n">
        <v>0.102</v>
      </c>
      <c r="D513" s="23">
        <f>($B513-$C513)*100</f>
        <v/>
      </c>
    </row>
    <row r="514">
      <c r="A514" s="11" t="n">
        <v>40081</v>
      </c>
      <c r="B514" s="22">
        <f>'JGBCurve'!$C$514</f>
        <v/>
      </c>
      <c r="C514" s="22" t="n">
        <v>0.102</v>
      </c>
      <c r="D514" s="23">
        <f>($B514-$C514)*100</f>
        <v/>
      </c>
    </row>
    <row r="515">
      <c r="A515" s="11" t="n">
        <v>40088</v>
      </c>
      <c r="B515" s="22">
        <f>'JGBCurve'!$C$515</f>
        <v/>
      </c>
      <c r="C515" s="22" t="n">
        <v>0.106</v>
      </c>
      <c r="D515" s="23">
        <f>($B515-$C515)*100</f>
        <v/>
      </c>
    </row>
    <row r="516">
      <c r="A516" s="11" t="n">
        <v>40095</v>
      </c>
      <c r="B516" s="22">
        <f>'JGBCurve'!$C$516</f>
        <v/>
      </c>
      <c r="C516" s="22" t="n">
        <v>0.106</v>
      </c>
      <c r="D516" s="23">
        <f>($B516-$C516)*100</f>
        <v/>
      </c>
    </row>
    <row r="517">
      <c r="A517" s="11" t="n">
        <v>40102</v>
      </c>
      <c r="B517" s="22">
        <f>'JGBCurve'!$C$517</f>
        <v/>
      </c>
      <c r="C517" s="22" t="n">
        <v>0.106</v>
      </c>
      <c r="D517" s="23">
        <f>($B517-$C517)*100</f>
        <v/>
      </c>
    </row>
    <row r="518">
      <c r="A518" s="11" t="n">
        <v>40109</v>
      </c>
      <c r="B518" s="22">
        <f>'JGBCurve'!$C$518</f>
        <v/>
      </c>
      <c r="C518" s="22" t="n">
        <v>0.106</v>
      </c>
      <c r="D518" s="23">
        <f>($B518-$C518)*100</f>
        <v/>
      </c>
    </row>
    <row r="519">
      <c r="A519" s="11" t="n">
        <v>40116</v>
      </c>
      <c r="B519" s="22">
        <f>'JGBCurve'!$C$519</f>
        <v/>
      </c>
      <c r="C519" s="22" t="n">
        <v>0.106</v>
      </c>
      <c r="D519" s="23">
        <f>($B519-$C519)*100</f>
        <v/>
      </c>
    </row>
    <row r="520">
      <c r="A520" s="11" t="n">
        <v>40123</v>
      </c>
      <c r="B520" s="22">
        <f>'JGBCurve'!$C$520</f>
        <v/>
      </c>
      <c r="C520" s="22" t="n">
        <v>0.105</v>
      </c>
      <c r="D520" s="23">
        <f>($B520-$C520)*100</f>
        <v/>
      </c>
    </row>
    <row r="521">
      <c r="A521" s="11" t="n">
        <v>40130</v>
      </c>
      <c r="B521" s="22">
        <f>'JGBCurve'!$C$521</f>
        <v/>
      </c>
      <c r="C521" s="22" t="n">
        <v>0.105</v>
      </c>
      <c r="D521" s="23">
        <f>($B521-$C521)*100</f>
        <v/>
      </c>
    </row>
    <row r="522">
      <c r="A522" s="11" t="n">
        <v>40137</v>
      </c>
      <c r="B522" s="22">
        <f>'JGBCurve'!$C$522</f>
        <v/>
      </c>
      <c r="C522" s="22" t="n">
        <v>0.105</v>
      </c>
      <c r="D522" s="23">
        <f>($B522-$C522)*100</f>
        <v/>
      </c>
    </row>
    <row r="523">
      <c r="A523" s="11" t="n">
        <v>40144</v>
      </c>
      <c r="B523" s="22">
        <f>'JGBCurve'!$C$523</f>
        <v/>
      </c>
      <c r="C523" s="22" t="n">
        <v>0.105</v>
      </c>
      <c r="D523" s="23">
        <f>($B523-$C523)*100</f>
        <v/>
      </c>
    </row>
    <row r="524">
      <c r="A524" s="11" t="n">
        <v>40151</v>
      </c>
      <c r="B524" s="22">
        <f>'JGBCurve'!$C$524</f>
        <v/>
      </c>
      <c r="C524" s="22" t="n">
        <v>0.101</v>
      </c>
      <c r="D524" s="23">
        <f>($B524-$C524)*100</f>
        <v/>
      </c>
    </row>
    <row r="525">
      <c r="A525" s="11" t="n">
        <v>40158</v>
      </c>
      <c r="B525" s="22">
        <f>'JGBCurve'!$C$525</f>
        <v/>
      </c>
      <c r="C525" s="22" t="n">
        <v>0.101</v>
      </c>
      <c r="D525" s="23">
        <f>($B525-$C525)*100</f>
        <v/>
      </c>
    </row>
    <row r="526">
      <c r="A526" s="11" t="n">
        <v>40165</v>
      </c>
      <c r="B526" s="22">
        <f>'JGBCurve'!$C$526</f>
        <v/>
      </c>
      <c r="C526" s="22" t="n">
        <v>0.101</v>
      </c>
      <c r="D526" s="23">
        <f>($B526-$C526)*100</f>
        <v/>
      </c>
    </row>
    <row r="527">
      <c r="A527" s="11" t="n">
        <v>40172</v>
      </c>
      <c r="B527" s="22">
        <f>'JGBCurve'!$C$527</f>
        <v/>
      </c>
      <c r="C527" s="22" t="n">
        <v>0.101</v>
      </c>
      <c r="D527" s="23">
        <f>($B527-$C527)*100</f>
        <v/>
      </c>
    </row>
    <row r="528">
      <c r="A528" s="11" t="n">
        <v>40179</v>
      </c>
      <c r="B528" s="22">
        <f>'JGBCurve'!$C$528</f>
        <v/>
      </c>
      <c r="C528" s="22" t="n">
        <v>0.096</v>
      </c>
      <c r="D528" s="23">
        <f>($B528-$C528)*100</f>
        <v/>
      </c>
    </row>
    <row r="529">
      <c r="A529" s="11" t="n">
        <v>40186</v>
      </c>
      <c r="B529" s="22">
        <f>'JGBCurve'!$C$529</f>
        <v/>
      </c>
      <c r="C529" s="22" t="n">
        <v>0.096</v>
      </c>
      <c r="D529" s="23">
        <f>($B529-$C529)*100</f>
        <v/>
      </c>
    </row>
    <row r="530">
      <c r="A530" s="11" t="n">
        <v>40193</v>
      </c>
      <c r="B530" s="22">
        <f>'JGBCurve'!$C$530</f>
        <v/>
      </c>
      <c r="C530" s="22" t="n">
        <v>0.096</v>
      </c>
      <c r="D530" s="23">
        <f>($B530-$C530)*100</f>
        <v/>
      </c>
    </row>
    <row r="531">
      <c r="A531" s="11" t="n">
        <v>40200</v>
      </c>
      <c r="B531" s="22">
        <f>'JGBCurve'!$C$531</f>
        <v/>
      </c>
      <c r="C531" s="22" t="n">
        <v>0.096</v>
      </c>
      <c r="D531" s="23">
        <f>($B531-$C531)*100</f>
        <v/>
      </c>
    </row>
    <row r="532">
      <c r="A532" s="11" t="n">
        <v>40207</v>
      </c>
      <c r="B532" s="22">
        <f>'JGBCurve'!$C$532</f>
        <v/>
      </c>
      <c r="C532" s="22" t="n">
        <v>0.096</v>
      </c>
      <c r="D532" s="23">
        <f>($B532-$C532)*100</f>
        <v/>
      </c>
    </row>
    <row r="533">
      <c r="A533" s="11" t="n">
        <v>40214</v>
      </c>
      <c r="B533" s="22">
        <f>'JGBCurve'!$C$533</f>
        <v/>
      </c>
      <c r="C533" s="22" t="n">
        <v>0.101</v>
      </c>
      <c r="D533" s="23">
        <f>($B533-$C533)*100</f>
        <v/>
      </c>
    </row>
    <row r="534">
      <c r="A534" s="11" t="n">
        <v>40221</v>
      </c>
      <c r="B534" s="22">
        <f>'JGBCurve'!$C$534</f>
        <v/>
      </c>
      <c r="C534" s="22" t="n">
        <v>0.101</v>
      </c>
      <c r="D534" s="23">
        <f>($B534-$C534)*100</f>
        <v/>
      </c>
    </row>
    <row r="535">
      <c r="A535" s="11" t="n">
        <v>40228</v>
      </c>
      <c r="B535" s="22">
        <f>'JGBCurve'!$C$535</f>
        <v/>
      </c>
      <c r="C535" s="22" t="n">
        <v>0.101</v>
      </c>
      <c r="D535" s="23">
        <f>($B535-$C535)*100</f>
        <v/>
      </c>
    </row>
    <row r="536">
      <c r="A536" s="11" t="n">
        <v>40235</v>
      </c>
      <c r="B536" s="22">
        <f>'JGBCurve'!$C$536</f>
        <v/>
      </c>
      <c r="C536" s="22" t="n">
        <v>0.101</v>
      </c>
      <c r="D536" s="23">
        <f>($B536-$C536)*100</f>
        <v/>
      </c>
    </row>
    <row r="537">
      <c r="A537" s="11" t="n">
        <v>40242</v>
      </c>
      <c r="B537" s="22">
        <f>'JGBCurve'!$C$537</f>
        <v/>
      </c>
      <c r="C537" s="22" t="n">
        <v>0.097</v>
      </c>
      <c r="D537" s="23">
        <f>($B537-$C537)*100</f>
        <v/>
      </c>
    </row>
    <row r="538">
      <c r="A538" s="11" t="n">
        <v>40249</v>
      </c>
      <c r="B538" s="22">
        <f>'JGBCurve'!$C$538</f>
        <v/>
      </c>
      <c r="C538" s="22" t="n">
        <v>0.097</v>
      </c>
      <c r="D538" s="23">
        <f>($B538-$C538)*100</f>
        <v/>
      </c>
    </row>
    <row r="539">
      <c r="A539" s="11" t="n">
        <v>40256</v>
      </c>
      <c r="B539" s="22">
        <f>'JGBCurve'!$C$539</f>
        <v/>
      </c>
      <c r="C539" s="22" t="n">
        <v>0.097</v>
      </c>
      <c r="D539" s="23">
        <f>($B539-$C539)*100</f>
        <v/>
      </c>
    </row>
    <row r="540">
      <c r="A540" s="11" t="n">
        <v>40263</v>
      </c>
      <c r="B540" s="22">
        <f>'JGBCurve'!$C$540</f>
        <v/>
      </c>
      <c r="C540" s="22" t="n">
        <v>0.097</v>
      </c>
      <c r="D540" s="23">
        <f>($B540-$C540)*100</f>
        <v/>
      </c>
    </row>
    <row r="541">
      <c r="A541" s="11" t="n">
        <v>40270</v>
      </c>
      <c r="B541" s="22">
        <f>'JGBCurve'!$C$541</f>
        <v/>
      </c>
      <c r="C541" s="22" t="n">
        <v>0.093</v>
      </c>
      <c r="D541" s="23">
        <f>($B541-$C541)*100</f>
        <v/>
      </c>
    </row>
    <row r="542">
      <c r="A542" s="11" t="n">
        <v>40277</v>
      </c>
      <c r="B542" s="22">
        <f>'JGBCurve'!$C$542</f>
        <v/>
      </c>
      <c r="C542" s="22" t="n">
        <v>0.093</v>
      </c>
      <c r="D542" s="23">
        <f>($B542-$C542)*100</f>
        <v/>
      </c>
    </row>
    <row r="543">
      <c r="A543" s="11" t="n">
        <v>40284</v>
      </c>
      <c r="B543" s="22">
        <f>'JGBCurve'!$C$543</f>
        <v/>
      </c>
      <c r="C543" s="22" t="n">
        <v>0.093</v>
      </c>
      <c r="D543" s="23">
        <f>($B543-$C543)*100</f>
        <v/>
      </c>
    </row>
    <row r="544">
      <c r="A544" s="11" t="n">
        <v>40291</v>
      </c>
      <c r="B544" s="22">
        <f>'JGBCurve'!$C$544</f>
        <v/>
      </c>
      <c r="C544" s="22" t="n">
        <v>0.093</v>
      </c>
      <c r="D544" s="23">
        <f>($B544-$C544)*100</f>
        <v/>
      </c>
    </row>
    <row r="545">
      <c r="A545" s="11" t="n">
        <v>40298</v>
      </c>
      <c r="B545" s="22">
        <f>'JGBCurve'!$C$545</f>
        <v/>
      </c>
      <c r="C545" s="22" t="n">
        <v>0.093</v>
      </c>
      <c r="D545" s="23">
        <f>($B545-$C545)*100</f>
        <v/>
      </c>
    </row>
    <row r="546">
      <c r="A546" s="11" t="n">
        <v>40305</v>
      </c>
      <c r="B546" s="22">
        <f>'JGBCurve'!$C$546</f>
        <v/>
      </c>
      <c r="C546" s="22" t="n">
        <v>0.091</v>
      </c>
      <c r="D546" s="23">
        <f>($B546-$C546)*100</f>
        <v/>
      </c>
    </row>
    <row r="547">
      <c r="A547" s="11" t="n">
        <v>40312</v>
      </c>
      <c r="B547" s="22">
        <f>'JGBCurve'!$C$547</f>
        <v/>
      </c>
      <c r="C547" s="22" t="n">
        <v>0.091</v>
      </c>
      <c r="D547" s="23">
        <f>($B547-$C547)*100</f>
        <v/>
      </c>
    </row>
    <row r="548">
      <c r="A548" s="11" t="n">
        <v>40319</v>
      </c>
      <c r="B548" s="22">
        <f>'JGBCurve'!$C$548</f>
        <v/>
      </c>
      <c r="C548" s="22" t="n">
        <v>0.091</v>
      </c>
      <c r="D548" s="23">
        <f>($B548-$C548)*100</f>
        <v/>
      </c>
    </row>
    <row r="549">
      <c r="A549" s="11" t="n">
        <v>40326</v>
      </c>
      <c r="B549" s="22">
        <f>'JGBCurve'!$C$549</f>
        <v/>
      </c>
      <c r="C549" s="22" t="n">
        <v>0.091</v>
      </c>
      <c r="D549" s="23">
        <f>($B549-$C549)*100</f>
        <v/>
      </c>
    </row>
    <row r="550">
      <c r="A550" s="11" t="n">
        <v>40333</v>
      </c>
      <c r="B550" s="22">
        <f>'JGBCurve'!$C$550</f>
        <v/>
      </c>
      <c r="C550" s="22" t="n">
        <v>0.095</v>
      </c>
      <c r="D550" s="23">
        <f>($B550-$C550)*100</f>
        <v/>
      </c>
    </row>
    <row r="551">
      <c r="A551" s="11" t="n">
        <v>40340</v>
      </c>
      <c r="B551" s="22">
        <f>'JGBCurve'!$C$551</f>
        <v/>
      </c>
      <c r="C551" s="22" t="n">
        <v>0.095</v>
      </c>
      <c r="D551" s="23">
        <f>($B551-$C551)*100</f>
        <v/>
      </c>
    </row>
    <row r="552">
      <c r="A552" s="11" t="n">
        <v>40347</v>
      </c>
      <c r="B552" s="22">
        <f>'JGBCurve'!$C$552</f>
        <v/>
      </c>
      <c r="C552" s="22" t="n">
        <v>0.095</v>
      </c>
      <c r="D552" s="23">
        <f>($B552-$C552)*100</f>
        <v/>
      </c>
    </row>
    <row r="553">
      <c r="A553" s="11" t="n">
        <v>40354</v>
      </c>
      <c r="B553" s="22">
        <f>'JGBCurve'!$C$553</f>
        <v/>
      </c>
      <c r="C553" s="22" t="n">
        <v>0.095</v>
      </c>
      <c r="D553" s="23">
        <f>($B553-$C553)*100</f>
        <v/>
      </c>
    </row>
    <row r="554">
      <c r="A554" s="11" t="n">
        <v>40361</v>
      </c>
      <c r="B554" s="22">
        <f>'JGBCurve'!$C$554</f>
        <v/>
      </c>
      <c r="C554" s="22" t="n">
        <v>0.094</v>
      </c>
      <c r="D554" s="23">
        <f>($B554-$C554)*100</f>
        <v/>
      </c>
    </row>
    <row r="555">
      <c r="A555" s="11" t="n">
        <v>40368</v>
      </c>
      <c r="B555" s="22">
        <f>'JGBCurve'!$C$555</f>
        <v/>
      </c>
      <c r="C555" s="22" t="n">
        <v>0.094</v>
      </c>
      <c r="D555" s="23">
        <f>($B555-$C555)*100</f>
        <v/>
      </c>
    </row>
    <row r="556">
      <c r="A556" s="11" t="n">
        <v>40375</v>
      </c>
      <c r="B556" s="22">
        <f>'JGBCurve'!$C$556</f>
        <v/>
      </c>
      <c r="C556" s="22" t="n">
        <v>0.094</v>
      </c>
      <c r="D556" s="23">
        <f>($B556-$C556)*100</f>
        <v/>
      </c>
    </row>
    <row r="557">
      <c r="A557" s="11" t="n">
        <v>40382</v>
      </c>
      <c r="B557" s="22">
        <f>'JGBCurve'!$C$557</f>
        <v/>
      </c>
      <c r="C557" s="22" t="n">
        <v>0.094</v>
      </c>
      <c r="D557" s="23">
        <f>($B557-$C557)*100</f>
        <v/>
      </c>
    </row>
    <row r="558">
      <c r="A558" s="11" t="n">
        <v>40389</v>
      </c>
      <c r="B558" s="22">
        <f>'JGBCurve'!$C$558</f>
        <v/>
      </c>
      <c r="C558" s="22" t="n">
        <v>0.094</v>
      </c>
      <c r="D558" s="23">
        <f>($B558-$C558)*100</f>
        <v/>
      </c>
    </row>
    <row r="559">
      <c r="A559" s="11" t="n">
        <v>40396</v>
      </c>
      <c r="B559" s="22">
        <f>'JGBCurve'!$C$559</f>
        <v/>
      </c>
      <c r="C559" s="22" t="n">
        <v>0.095</v>
      </c>
      <c r="D559" s="23">
        <f>($B559-$C559)*100</f>
        <v/>
      </c>
    </row>
    <row r="560">
      <c r="A560" s="11" t="n">
        <v>40403</v>
      </c>
      <c r="B560" s="22">
        <f>'JGBCurve'!$C$560</f>
        <v/>
      </c>
      <c r="C560" s="22" t="n">
        <v>0.095</v>
      </c>
      <c r="D560" s="23">
        <f>($B560-$C560)*100</f>
        <v/>
      </c>
    </row>
    <row r="561">
      <c r="A561" s="11" t="n">
        <v>40410</v>
      </c>
      <c r="B561" s="22">
        <f>'JGBCurve'!$C$561</f>
        <v/>
      </c>
      <c r="C561" s="22" t="n">
        <v>0.095</v>
      </c>
      <c r="D561" s="23">
        <f>($B561-$C561)*100</f>
        <v/>
      </c>
    </row>
    <row r="562">
      <c r="A562" s="11" t="n">
        <v>40417</v>
      </c>
      <c r="B562" s="22">
        <f>'JGBCurve'!$C$562</f>
        <v/>
      </c>
      <c r="C562" s="22" t="n">
        <v>0.095</v>
      </c>
      <c r="D562" s="23">
        <f>($B562-$C562)*100</f>
        <v/>
      </c>
    </row>
    <row r="563">
      <c r="A563" s="11" t="n">
        <v>40424</v>
      </c>
      <c r="B563" s="22">
        <f>'JGBCurve'!$C$563</f>
        <v/>
      </c>
      <c r="C563" s="22" t="n">
        <v>0.091</v>
      </c>
      <c r="D563" s="23">
        <f>($B563-$C563)*100</f>
        <v/>
      </c>
    </row>
    <row r="564">
      <c r="A564" s="11" t="n">
        <v>40431</v>
      </c>
      <c r="B564" s="22">
        <f>'JGBCurve'!$C$564</f>
        <v/>
      </c>
      <c r="C564" s="22" t="n">
        <v>0.091</v>
      </c>
      <c r="D564" s="23">
        <f>($B564-$C564)*100</f>
        <v/>
      </c>
    </row>
    <row r="565">
      <c r="A565" s="11" t="n">
        <v>40438</v>
      </c>
      <c r="B565" s="22">
        <f>'JGBCurve'!$C$565</f>
        <v/>
      </c>
      <c r="C565" s="22" t="n">
        <v>0.091</v>
      </c>
      <c r="D565" s="23">
        <f>($B565-$C565)*100</f>
        <v/>
      </c>
    </row>
    <row r="566">
      <c r="A566" s="11" t="n">
        <v>40445</v>
      </c>
      <c r="B566" s="22">
        <f>'JGBCurve'!$C$566</f>
        <v/>
      </c>
      <c r="C566" s="22" t="n">
        <v>0.091</v>
      </c>
      <c r="D566" s="23">
        <f>($B566-$C566)*100</f>
        <v/>
      </c>
    </row>
    <row r="567">
      <c r="A567" s="11" t="n">
        <v>40452</v>
      </c>
      <c r="B567" s="22">
        <f>'JGBCurve'!$C$567</f>
        <v/>
      </c>
      <c r="C567" s="22" t="n">
        <v>0.091</v>
      </c>
      <c r="D567" s="23">
        <f>($B567-$C567)*100</f>
        <v/>
      </c>
    </row>
    <row r="568">
      <c r="A568" s="11" t="n">
        <v>40459</v>
      </c>
      <c r="B568" s="22">
        <f>'JGBCurve'!$C$568</f>
        <v/>
      </c>
      <c r="C568" s="22" t="n">
        <v>0.091</v>
      </c>
      <c r="D568" s="23">
        <f>($B568-$C568)*100</f>
        <v/>
      </c>
    </row>
    <row r="569">
      <c r="A569" s="11" t="n">
        <v>40466</v>
      </c>
      <c r="B569" s="22">
        <f>'JGBCurve'!$C$569</f>
        <v/>
      </c>
      <c r="C569" s="22" t="n">
        <v>0.091</v>
      </c>
      <c r="D569" s="23">
        <f>($B569-$C569)*100</f>
        <v/>
      </c>
    </row>
    <row r="570">
      <c r="A570" s="11" t="n">
        <v>40473</v>
      </c>
      <c r="B570" s="22">
        <f>'JGBCurve'!$C$570</f>
        <v/>
      </c>
      <c r="C570" s="22" t="n">
        <v>0.091</v>
      </c>
      <c r="D570" s="23">
        <f>($B570-$C570)*100</f>
        <v/>
      </c>
    </row>
    <row r="571">
      <c r="A571" s="11" t="n">
        <v>40480</v>
      </c>
      <c r="B571" s="22">
        <f>'JGBCurve'!$C$571</f>
        <v/>
      </c>
      <c r="C571" s="22" t="n">
        <v>0.091</v>
      </c>
      <c r="D571" s="23">
        <f>($B571-$C571)*100</f>
        <v/>
      </c>
    </row>
    <row r="572">
      <c r="A572" s="11" t="n">
        <v>40487</v>
      </c>
      <c r="B572" s="22">
        <f>'JGBCurve'!$C$572</f>
        <v/>
      </c>
      <c r="C572" s="22" t="n">
        <v>0.091</v>
      </c>
      <c r="D572" s="23">
        <f>($B572-$C572)*100</f>
        <v/>
      </c>
    </row>
    <row r="573">
      <c r="A573" s="11" t="n">
        <v>40494</v>
      </c>
      <c r="B573" s="22">
        <f>'JGBCurve'!$C$573</f>
        <v/>
      </c>
      <c r="C573" s="22" t="n">
        <v>0.091</v>
      </c>
      <c r="D573" s="23">
        <f>($B573-$C573)*100</f>
        <v/>
      </c>
    </row>
    <row r="574">
      <c r="A574" s="11" t="n">
        <v>40501</v>
      </c>
      <c r="B574" s="22">
        <f>'JGBCurve'!$C$574</f>
        <v/>
      </c>
      <c r="C574" s="22" t="n">
        <v>0.091</v>
      </c>
      <c r="D574" s="23">
        <f>($B574-$C574)*100</f>
        <v/>
      </c>
    </row>
    <row r="575">
      <c r="A575" s="11" t="n">
        <v>40508</v>
      </c>
      <c r="B575" s="22">
        <f>'JGBCurve'!$C$575</f>
        <v/>
      </c>
      <c r="C575" s="22" t="n">
        <v>0.091</v>
      </c>
      <c r="D575" s="23">
        <f>($B575-$C575)*100</f>
        <v/>
      </c>
    </row>
    <row r="576">
      <c r="A576" s="11" t="n">
        <v>40515</v>
      </c>
      <c r="B576" s="22">
        <f>'JGBCurve'!$C$576</f>
        <v/>
      </c>
      <c r="C576" s="22" t="n">
        <v>0.08699999999999999</v>
      </c>
      <c r="D576" s="23">
        <f>($B576-$C576)*100</f>
        <v/>
      </c>
    </row>
    <row r="577">
      <c r="A577" s="11" t="n">
        <v>40522</v>
      </c>
      <c r="B577" s="22">
        <f>'JGBCurve'!$C$577</f>
        <v/>
      </c>
      <c r="C577" s="22" t="n">
        <v>0.08699999999999999</v>
      </c>
      <c r="D577" s="23">
        <f>($B577-$C577)*100</f>
        <v/>
      </c>
    </row>
    <row r="578">
      <c r="A578" s="11" t="n">
        <v>40529</v>
      </c>
      <c r="B578" s="22">
        <f>'JGBCurve'!$C$578</f>
        <v/>
      </c>
      <c r="C578" s="22" t="n">
        <v>0.08699999999999999</v>
      </c>
      <c r="D578" s="23">
        <f>($B578-$C578)*100</f>
        <v/>
      </c>
    </row>
    <row r="579">
      <c r="A579" s="11" t="n">
        <v>40536</v>
      </c>
      <c r="B579" s="22">
        <f>'JGBCurve'!$C$579</f>
        <v/>
      </c>
      <c r="C579" s="22" t="n">
        <v>0.08699999999999999</v>
      </c>
      <c r="D579" s="23">
        <f>($B579-$C579)*100</f>
        <v/>
      </c>
    </row>
    <row r="580">
      <c r="A580" s="11" t="n">
        <v>40543</v>
      </c>
      <c r="B580" s="22">
        <f>'JGBCurve'!$C$580</f>
        <v/>
      </c>
      <c r="C580" s="22" t="n">
        <v>0.08699999999999999</v>
      </c>
      <c r="D580" s="23">
        <f>($B580-$C580)*100</f>
        <v/>
      </c>
    </row>
    <row r="581">
      <c r="A581" s="11" t="n">
        <v>40550</v>
      </c>
      <c r="B581" s="22">
        <f>'JGBCurve'!$C$581</f>
        <v/>
      </c>
      <c r="C581" s="22" t="n">
        <v>0.08500000000000001</v>
      </c>
      <c r="D581" s="23">
        <f>($B581-$C581)*100</f>
        <v/>
      </c>
    </row>
    <row r="582">
      <c r="A582" s="11" t="n">
        <v>40557</v>
      </c>
      <c r="B582" s="22">
        <f>'JGBCurve'!$C$582</f>
        <v/>
      </c>
      <c r="C582" s="22" t="n">
        <v>0.08500000000000001</v>
      </c>
      <c r="D582" s="23">
        <f>($B582-$C582)*100</f>
        <v/>
      </c>
    </row>
    <row r="583">
      <c r="A583" s="11" t="n">
        <v>40564</v>
      </c>
      <c r="B583" s="22">
        <f>'JGBCurve'!$C$583</f>
        <v/>
      </c>
      <c r="C583" s="22" t="n">
        <v>0.08500000000000001</v>
      </c>
      <c r="D583" s="23">
        <f>($B583-$C583)*100</f>
        <v/>
      </c>
    </row>
    <row r="584">
      <c r="A584" s="11" t="n">
        <v>40571</v>
      </c>
      <c r="B584" s="22">
        <f>'JGBCurve'!$C$584</f>
        <v/>
      </c>
      <c r="C584" s="22" t="n">
        <v>0.08500000000000001</v>
      </c>
      <c r="D584" s="23">
        <f>($B584-$C584)*100</f>
        <v/>
      </c>
    </row>
    <row r="585">
      <c r="A585" s="11" t="n">
        <v>40578</v>
      </c>
      <c r="B585" s="22">
        <f>'JGBCurve'!$C$585</f>
        <v/>
      </c>
      <c r="C585" s="22" t="n">
        <v>0.093</v>
      </c>
      <c r="D585" s="23">
        <f>($B585-$C585)*100</f>
        <v/>
      </c>
    </row>
    <row r="586">
      <c r="A586" s="11" t="n">
        <v>40585</v>
      </c>
      <c r="B586" s="22">
        <f>'JGBCurve'!$C$586</f>
        <v/>
      </c>
      <c r="C586" s="22" t="n">
        <v>0.093</v>
      </c>
      <c r="D586" s="23">
        <f>($B586-$C586)*100</f>
        <v/>
      </c>
    </row>
    <row r="587">
      <c r="A587" s="11" t="n">
        <v>40592</v>
      </c>
      <c r="B587" s="22">
        <f>'JGBCurve'!$C$587</f>
        <v/>
      </c>
      <c r="C587" s="22" t="n">
        <v>0.093</v>
      </c>
      <c r="D587" s="23">
        <f>($B587-$C587)*100</f>
        <v/>
      </c>
    </row>
    <row r="588">
      <c r="A588" s="11" t="n">
        <v>40599</v>
      </c>
      <c r="B588" s="22">
        <f>'JGBCurve'!$C$588</f>
        <v/>
      </c>
      <c r="C588" s="22" t="n">
        <v>0.093</v>
      </c>
      <c r="D588" s="23">
        <f>($B588-$C588)*100</f>
        <v/>
      </c>
    </row>
    <row r="589">
      <c r="A589" s="11" t="n">
        <v>40606</v>
      </c>
      <c r="B589" s="22">
        <f>'JGBCurve'!$C$589</f>
        <v/>
      </c>
      <c r="C589" s="22" t="n">
        <v>0.08500000000000001</v>
      </c>
      <c r="D589" s="23">
        <f>($B589-$C589)*100</f>
        <v/>
      </c>
    </row>
    <row r="590">
      <c r="A590" s="11" t="n">
        <v>40613</v>
      </c>
      <c r="B590" s="22">
        <f>'JGBCurve'!$C$590</f>
        <v/>
      </c>
      <c r="C590" s="22" t="n">
        <v>0.08500000000000001</v>
      </c>
      <c r="D590" s="23">
        <f>($B590-$C590)*100</f>
        <v/>
      </c>
    </row>
    <row r="591">
      <c r="A591" s="11" t="n">
        <v>40620</v>
      </c>
      <c r="B591" s="22">
        <f>'JGBCurve'!$C$591</f>
        <v/>
      </c>
      <c r="C591" s="22" t="n">
        <v>0.08500000000000001</v>
      </c>
      <c r="D591" s="23">
        <f>($B591-$C591)*100</f>
        <v/>
      </c>
    </row>
    <row r="592">
      <c r="A592" s="11" t="n">
        <v>40627</v>
      </c>
      <c r="B592" s="22">
        <f>'JGBCurve'!$C$592</f>
        <v/>
      </c>
      <c r="C592" s="22" t="n">
        <v>0.08500000000000001</v>
      </c>
      <c r="D592" s="23">
        <f>($B592-$C592)*100</f>
        <v/>
      </c>
    </row>
    <row r="593">
      <c r="A593" s="11" t="n">
        <v>40634</v>
      </c>
      <c r="B593" s="22">
        <f>'JGBCurve'!$C$593</f>
        <v/>
      </c>
      <c r="C593" s="22" t="n">
        <v>0.062</v>
      </c>
      <c r="D593" s="23">
        <f>($B593-$C593)*100</f>
        <v/>
      </c>
    </row>
    <row r="594">
      <c r="A594" s="11" t="n">
        <v>40641</v>
      </c>
      <c r="B594" s="22">
        <f>'JGBCurve'!$C$594</f>
        <v/>
      </c>
      <c r="C594" s="22" t="n">
        <v>0.062</v>
      </c>
      <c r="D594" s="23">
        <f>($B594-$C594)*100</f>
        <v/>
      </c>
    </row>
    <row r="595">
      <c r="A595" s="11" t="n">
        <v>40648</v>
      </c>
      <c r="B595" s="22">
        <f>'JGBCurve'!$C$595</f>
        <v/>
      </c>
      <c r="C595" s="22" t="n">
        <v>0.062</v>
      </c>
      <c r="D595" s="23">
        <f>($B595-$C595)*100</f>
        <v/>
      </c>
    </row>
    <row r="596">
      <c r="A596" s="11" t="n">
        <v>40655</v>
      </c>
      <c r="B596" s="22">
        <f>'JGBCurve'!$C$596</f>
        <v/>
      </c>
      <c r="C596" s="22" t="n">
        <v>0.062</v>
      </c>
      <c r="D596" s="23">
        <f>($B596-$C596)*100</f>
        <v/>
      </c>
    </row>
    <row r="597">
      <c r="A597" s="11" t="n">
        <v>40662</v>
      </c>
      <c r="B597" s="22">
        <f>'JGBCurve'!$C$597</f>
        <v/>
      </c>
      <c r="C597" s="22" t="n">
        <v>0.062</v>
      </c>
      <c r="D597" s="23">
        <f>($B597-$C597)*100</f>
        <v/>
      </c>
    </row>
    <row r="598">
      <c r="A598" s="11" t="n">
        <v>40669</v>
      </c>
      <c r="B598" s="22">
        <f>'JGBCurve'!$C$598</f>
        <v/>
      </c>
      <c r="C598" s="22" t="n">
        <v>0.06900000000000001</v>
      </c>
      <c r="D598" s="23">
        <f>($B598-$C598)*100</f>
        <v/>
      </c>
    </row>
    <row r="599">
      <c r="A599" s="11" t="n">
        <v>40676</v>
      </c>
      <c r="B599" s="22">
        <f>'JGBCurve'!$C$599</f>
        <v/>
      </c>
      <c r="C599" s="22" t="n">
        <v>0.06900000000000001</v>
      </c>
      <c r="D599" s="23">
        <f>($B599-$C599)*100</f>
        <v/>
      </c>
    </row>
    <row r="600">
      <c r="A600" s="11" t="n">
        <v>40683</v>
      </c>
      <c r="B600" s="22">
        <f>'JGBCurve'!$C$600</f>
        <v/>
      </c>
      <c r="C600" s="22" t="n">
        <v>0.06900000000000001</v>
      </c>
      <c r="D600" s="23">
        <f>($B600-$C600)*100</f>
        <v/>
      </c>
    </row>
    <row r="601">
      <c r="A601" s="11" t="n">
        <v>40690</v>
      </c>
      <c r="B601" s="22">
        <f>'JGBCurve'!$C$601</f>
        <v/>
      </c>
      <c r="C601" s="22" t="n">
        <v>0.06900000000000001</v>
      </c>
      <c r="D601" s="23">
        <f>($B601-$C601)*100</f>
        <v/>
      </c>
    </row>
    <row r="602">
      <c r="A602" s="11" t="n">
        <v>40697</v>
      </c>
      <c r="B602" s="22">
        <f>'JGBCurve'!$C$602</f>
        <v/>
      </c>
      <c r="C602" s="22" t="n">
        <v>0.06900000000000001</v>
      </c>
      <c r="D602" s="23">
        <f>($B602-$C602)*100</f>
        <v/>
      </c>
    </row>
    <row r="603">
      <c r="A603" s="11" t="n">
        <v>40704</v>
      </c>
      <c r="B603" s="22">
        <f>'JGBCurve'!$C$603</f>
        <v/>
      </c>
      <c r="C603" s="22" t="n">
        <v>0.06900000000000001</v>
      </c>
      <c r="D603" s="23">
        <f>($B603-$C603)*100</f>
        <v/>
      </c>
    </row>
    <row r="604">
      <c r="A604" s="11" t="n">
        <v>40711</v>
      </c>
      <c r="B604" s="22">
        <f>'JGBCurve'!$C$604</f>
        <v/>
      </c>
      <c r="C604" s="22" t="n">
        <v>0.06900000000000001</v>
      </c>
      <c r="D604" s="23">
        <f>($B604-$C604)*100</f>
        <v/>
      </c>
    </row>
    <row r="605">
      <c r="A605" s="11" t="n">
        <v>40718</v>
      </c>
      <c r="B605" s="22">
        <f>'JGBCurve'!$C$605</f>
        <v/>
      </c>
      <c r="C605" s="22" t="n">
        <v>0.06900000000000001</v>
      </c>
      <c r="D605" s="23">
        <f>($B605-$C605)*100</f>
        <v/>
      </c>
    </row>
    <row r="606">
      <c r="A606" s="11" t="n">
        <v>40725</v>
      </c>
      <c r="B606" s="22">
        <f>'JGBCurve'!$C$606</f>
        <v/>
      </c>
      <c r="C606" s="22" t="n">
        <v>0.073</v>
      </c>
      <c r="D606" s="23">
        <f>($B606-$C606)*100</f>
        <v/>
      </c>
    </row>
    <row r="607">
      <c r="A607" s="11" t="n">
        <v>40732</v>
      </c>
      <c r="B607" s="22">
        <f>'JGBCurve'!$C$607</f>
        <v/>
      </c>
      <c r="C607" s="22" t="n">
        <v>0.073</v>
      </c>
      <c r="D607" s="23">
        <f>($B607-$C607)*100</f>
        <v/>
      </c>
    </row>
    <row r="608">
      <c r="A608" s="11" t="n">
        <v>40739</v>
      </c>
      <c r="B608" s="22">
        <f>'JGBCurve'!$C$608</f>
        <v/>
      </c>
      <c r="C608" s="22" t="n">
        <v>0.073</v>
      </c>
      <c r="D608" s="23">
        <f>($B608-$C608)*100</f>
        <v/>
      </c>
    </row>
    <row r="609">
      <c r="A609" s="11" t="n">
        <v>40746</v>
      </c>
      <c r="B609" s="22">
        <f>'JGBCurve'!$C$609</f>
        <v/>
      </c>
      <c r="C609" s="22" t="n">
        <v>0.073</v>
      </c>
      <c r="D609" s="23">
        <f>($B609-$C609)*100</f>
        <v/>
      </c>
    </row>
    <row r="610">
      <c r="A610" s="11" t="n">
        <v>40753</v>
      </c>
      <c r="B610" s="22">
        <f>'JGBCurve'!$C$610</f>
        <v/>
      </c>
      <c r="C610" s="22" t="n">
        <v>0.073</v>
      </c>
      <c r="D610" s="23">
        <f>($B610-$C610)*100</f>
        <v/>
      </c>
    </row>
    <row r="611">
      <c r="A611" s="11" t="n">
        <v>40760</v>
      </c>
      <c r="B611" s="22">
        <f>'JGBCurve'!$C$611</f>
        <v/>
      </c>
      <c r="C611" s="22" t="n">
        <v>0.081</v>
      </c>
      <c r="D611" s="23">
        <f>($B611-$C611)*100</f>
        <v/>
      </c>
    </row>
    <row r="612">
      <c r="A612" s="11" t="n">
        <v>40767</v>
      </c>
      <c r="B612" s="22">
        <f>'JGBCurve'!$C$612</f>
        <v/>
      </c>
      <c r="C612" s="22" t="n">
        <v>0.081</v>
      </c>
      <c r="D612" s="23">
        <f>($B612-$C612)*100</f>
        <v/>
      </c>
    </row>
    <row r="613">
      <c r="A613" s="11" t="n">
        <v>40774</v>
      </c>
      <c r="B613" s="22">
        <f>'JGBCurve'!$C$613</f>
        <v/>
      </c>
      <c r="C613" s="22" t="n">
        <v>0.081</v>
      </c>
      <c r="D613" s="23">
        <f>($B613-$C613)*100</f>
        <v/>
      </c>
    </row>
    <row r="614">
      <c r="A614" s="11" t="n">
        <v>40781</v>
      </c>
      <c r="B614" s="22">
        <f>'JGBCurve'!$C$614</f>
        <v/>
      </c>
      <c r="C614" s="22" t="n">
        <v>0.081</v>
      </c>
      <c r="D614" s="23">
        <f>($B614-$C614)*100</f>
        <v/>
      </c>
    </row>
    <row r="615">
      <c r="A615" s="11" t="n">
        <v>40788</v>
      </c>
      <c r="B615" s="22">
        <f>'JGBCurve'!$C$615</f>
        <v/>
      </c>
      <c r="C615" s="22" t="n">
        <v>0.08</v>
      </c>
      <c r="D615" s="23">
        <f>($B615-$C615)*100</f>
        <v/>
      </c>
    </row>
    <row r="616">
      <c r="A616" s="11" t="n">
        <v>40795</v>
      </c>
      <c r="B616" s="22">
        <f>'JGBCurve'!$C$616</f>
        <v/>
      </c>
      <c r="C616" s="22" t="n">
        <v>0.08</v>
      </c>
      <c r="D616" s="23">
        <f>($B616-$C616)*100</f>
        <v/>
      </c>
    </row>
    <row r="617">
      <c r="A617" s="11" t="n">
        <v>40802</v>
      </c>
      <c r="B617" s="22">
        <f>'JGBCurve'!$C$617</f>
        <v/>
      </c>
      <c r="C617" s="22" t="n">
        <v>0.08</v>
      </c>
      <c r="D617" s="23">
        <f>($B617-$C617)*100</f>
        <v/>
      </c>
    </row>
    <row r="618">
      <c r="A618" s="11" t="n">
        <v>40809</v>
      </c>
      <c r="B618" s="22">
        <f>'JGBCurve'!$C$618</f>
        <v/>
      </c>
      <c r="C618" s="22" t="n">
        <v>0.08</v>
      </c>
      <c r="D618" s="23">
        <f>($B618-$C618)*100</f>
        <v/>
      </c>
    </row>
    <row r="619">
      <c r="A619" s="11" t="n">
        <v>40816</v>
      </c>
      <c r="B619" s="22">
        <f>'JGBCurve'!$C$619</f>
        <v/>
      </c>
      <c r="C619" s="22" t="n">
        <v>0.08</v>
      </c>
      <c r="D619" s="23">
        <f>($B619-$C619)*100</f>
        <v/>
      </c>
    </row>
    <row r="620">
      <c r="A620" s="11" t="n">
        <v>40823</v>
      </c>
      <c r="B620" s="22">
        <f>'JGBCurve'!$C$620</f>
        <v/>
      </c>
      <c r="C620" s="22" t="n">
        <v>0.081</v>
      </c>
      <c r="D620" s="23">
        <f>($B620-$C620)*100</f>
        <v/>
      </c>
    </row>
    <row r="621">
      <c r="A621" s="11" t="n">
        <v>40830</v>
      </c>
      <c r="B621" s="22">
        <f>'JGBCurve'!$C$621</f>
        <v/>
      </c>
      <c r="C621" s="22" t="n">
        <v>0.081</v>
      </c>
      <c r="D621" s="23">
        <f>($B621-$C621)*100</f>
        <v/>
      </c>
    </row>
    <row r="622">
      <c r="A622" s="11" t="n">
        <v>40837</v>
      </c>
      <c r="B622" s="22">
        <f>'JGBCurve'!$C$622</f>
        <v/>
      </c>
      <c r="C622" s="22" t="n">
        <v>0.081</v>
      </c>
      <c r="D622" s="23">
        <f>($B622-$C622)*100</f>
        <v/>
      </c>
    </row>
    <row r="623">
      <c r="A623" s="11" t="n">
        <v>40844</v>
      </c>
      <c r="B623" s="22">
        <f>'JGBCurve'!$C$623</f>
        <v/>
      </c>
      <c r="C623" s="22" t="n">
        <v>0.081</v>
      </c>
      <c r="D623" s="23">
        <f>($B623-$C623)*100</f>
        <v/>
      </c>
    </row>
    <row r="624">
      <c r="A624" s="11" t="n">
        <v>40851</v>
      </c>
      <c r="B624" s="22">
        <f>'JGBCurve'!$C$624</f>
        <v/>
      </c>
      <c r="C624" s="22" t="n">
        <v>0.077</v>
      </c>
      <c r="D624" s="23">
        <f>($B624-$C624)*100</f>
        <v/>
      </c>
    </row>
    <row r="625">
      <c r="A625" s="11" t="n">
        <v>40858</v>
      </c>
      <c r="B625" s="22">
        <f>'JGBCurve'!$C$625</f>
        <v/>
      </c>
      <c r="C625" s="22" t="n">
        <v>0.077</v>
      </c>
      <c r="D625" s="23">
        <f>($B625-$C625)*100</f>
        <v/>
      </c>
    </row>
    <row r="626">
      <c r="A626" s="11" t="n">
        <v>40865</v>
      </c>
      <c r="B626" s="22">
        <f>'JGBCurve'!$C$626</f>
        <v/>
      </c>
      <c r="C626" s="22" t="n">
        <v>0.077</v>
      </c>
      <c r="D626" s="23">
        <f>($B626-$C626)*100</f>
        <v/>
      </c>
    </row>
    <row r="627">
      <c r="A627" s="11" t="n">
        <v>40872</v>
      </c>
      <c r="B627" s="22">
        <f>'JGBCurve'!$C$627</f>
        <v/>
      </c>
      <c r="C627" s="22" t="n">
        <v>0.077</v>
      </c>
      <c r="D627" s="23">
        <f>($B627-$C627)*100</f>
        <v/>
      </c>
    </row>
    <row r="628">
      <c r="A628" s="11" t="n">
        <v>40879</v>
      </c>
      <c r="B628" s="22">
        <f>'JGBCurve'!$C$628</f>
        <v/>
      </c>
      <c r="C628" s="22" t="n">
        <v>0.078</v>
      </c>
      <c r="D628" s="23">
        <f>($B628-$C628)*100</f>
        <v/>
      </c>
    </row>
    <row r="629">
      <c r="A629" s="11" t="n">
        <v>40886</v>
      </c>
      <c r="B629" s="22">
        <f>'JGBCurve'!$C$629</f>
        <v/>
      </c>
      <c r="C629" s="22" t="n">
        <v>0.078</v>
      </c>
      <c r="D629" s="23">
        <f>($B629-$C629)*100</f>
        <v/>
      </c>
    </row>
    <row r="630">
      <c r="A630" s="11" t="n">
        <v>40893</v>
      </c>
      <c r="B630" s="22">
        <f>'JGBCurve'!$C$630</f>
        <v/>
      </c>
      <c r="C630" s="22" t="n">
        <v>0.078</v>
      </c>
      <c r="D630" s="23">
        <f>($B630-$C630)*100</f>
        <v/>
      </c>
    </row>
    <row r="631">
      <c r="A631" s="11" t="n">
        <v>40900</v>
      </c>
      <c r="B631" s="22">
        <f>'JGBCurve'!$C$631</f>
        <v/>
      </c>
      <c r="C631" s="22" t="n">
        <v>0.078</v>
      </c>
      <c r="D631" s="23">
        <f>($B631-$C631)*100</f>
        <v/>
      </c>
    </row>
    <row r="632">
      <c r="A632" s="11" t="n">
        <v>40907</v>
      </c>
      <c r="B632" s="22">
        <f>'JGBCurve'!$C$632</f>
        <v/>
      </c>
      <c r="C632" s="22" t="n">
        <v>0.078</v>
      </c>
      <c r="D632" s="23">
        <f>($B632-$C632)*100</f>
        <v/>
      </c>
    </row>
    <row r="633">
      <c r="A633" s="11" t="n">
        <v>40914</v>
      </c>
      <c r="B633" s="22">
        <f>'JGBCurve'!$C$633</f>
        <v/>
      </c>
      <c r="C633" s="22" t="n">
        <v>0.08</v>
      </c>
      <c r="D633" s="23">
        <f>($B633-$C633)*100</f>
        <v/>
      </c>
    </row>
    <row r="634">
      <c r="A634" s="11" t="n">
        <v>40921</v>
      </c>
      <c r="B634" s="22">
        <f>'JGBCurve'!$C$634</f>
        <v/>
      </c>
      <c r="C634" s="22" t="n">
        <v>0.08</v>
      </c>
      <c r="D634" s="23">
        <f>($B634-$C634)*100</f>
        <v/>
      </c>
    </row>
    <row r="635">
      <c r="A635" s="11" t="n">
        <v>40928</v>
      </c>
      <c r="B635" s="22">
        <f>'JGBCurve'!$C$635</f>
        <v/>
      </c>
      <c r="C635" s="22" t="n">
        <v>0.08</v>
      </c>
      <c r="D635" s="23">
        <f>($B635-$C635)*100</f>
        <v/>
      </c>
    </row>
    <row r="636">
      <c r="A636" s="11" t="n">
        <v>40935</v>
      </c>
      <c r="B636" s="22">
        <f>'JGBCurve'!$C$636</f>
        <v/>
      </c>
      <c r="C636" s="22" t="n">
        <v>0.08</v>
      </c>
      <c r="D636" s="23">
        <f>($B636-$C636)*100</f>
        <v/>
      </c>
    </row>
    <row r="637">
      <c r="A637" s="11" t="n">
        <v>40942</v>
      </c>
      <c r="B637" s="22">
        <f>'JGBCurve'!$C$637</f>
        <v/>
      </c>
      <c r="C637" s="22" t="n">
        <v>0.08500000000000001</v>
      </c>
      <c r="D637" s="23">
        <f>($B637-$C637)*100</f>
        <v/>
      </c>
    </row>
    <row r="638">
      <c r="A638" s="11" t="n">
        <v>40949</v>
      </c>
      <c r="B638" s="22">
        <f>'JGBCurve'!$C$638</f>
        <v/>
      </c>
      <c r="C638" s="22" t="n">
        <v>0.08500000000000001</v>
      </c>
      <c r="D638" s="23">
        <f>($B638-$C638)*100</f>
        <v/>
      </c>
    </row>
    <row r="639">
      <c r="A639" s="11" t="n">
        <v>40956</v>
      </c>
      <c r="B639" s="22">
        <f>'JGBCurve'!$C$639</f>
        <v/>
      </c>
      <c r="C639" s="22" t="n">
        <v>0.08500000000000001</v>
      </c>
      <c r="D639" s="23">
        <f>($B639-$C639)*100</f>
        <v/>
      </c>
    </row>
    <row r="640">
      <c r="A640" s="11" t="n">
        <v>40963</v>
      </c>
      <c r="B640" s="22">
        <f>'JGBCurve'!$C$640</f>
        <v/>
      </c>
      <c r="C640" s="22" t="n">
        <v>0.08500000000000001</v>
      </c>
      <c r="D640" s="23">
        <f>($B640-$C640)*100</f>
        <v/>
      </c>
    </row>
    <row r="641">
      <c r="A641" s="11" t="n">
        <v>40970</v>
      </c>
      <c r="B641" s="22">
        <f>'JGBCurve'!$C$641</f>
        <v/>
      </c>
      <c r="C641" s="22" t="n">
        <v>0.08400000000000001</v>
      </c>
      <c r="D641" s="23">
        <f>($B641-$C641)*100</f>
        <v/>
      </c>
    </row>
    <row r="642">
      <c r="A642" s="11" t="n">
        <v>40977</v>
      </c>
      <c r="B642" s="22">
        <f>'JGBCurve'!$C$642</f>
        <v/>
      </c>
      <c r="C642" s="22" t="n">
        <v>0.08400000000000001</v>
      </c>
      <c r="D642" s="23">
        <f>($B642-$C642)*100</f>
        <v/>
      </c>
    </row>
    <row r="643">
      <c r="A643" s="11" t="n">
        <v>40984</v>
      </c>
      <c r="B643" s="22">
        <f>'JGBCurve'!$C$643</f>
        <v/>
      </c>
      <c r="C643" s="22" t="n">
        <v>0.08400000000000001</v>
      </c>
      <c r="D643" s="23">
        <f>($B643-$C643)*100</f>
        <v/>
      </c>
    </row>
    <row r="644">
      <c r="A644" s="11" t="n">
        <v>40991</v>
      </c>
      <c r="B644" s="22">
        <f>'JGBCurve'!$C$644</f>
        <v/>
      </c>
      <c r="C644" s="22" t="n">
        <v>0.08400000000000001</v>
      </c>
      <c r="D644" s="23">
        <f>($B644-$C644)*100</f>
        <v/>
      </c>
    </row>
    <row r="645">
      <c r="A645" s="11" t="n">
        <v>40998</v>
      </c>
      <c r="B645" s="22">
        <f>'JGBCurve'!$C$645</f>
        <v/>
      </c>
      <c r="C645" s="22" t="n">
        <v>0.08400000000000001</v>
      </c>
      <c r="D645" s="23">
        <f>($B645-$C645)*100</f>
        <v/>
      </c>
    </row>
    <row r="646">
      <c r="A646" s="11" t="n">
        <v>41005</v>
      </c>
      <c r="B646" s="22">
        <f>'JGBCurve'!$C$646</f>
        <v/>
      </c>
      <c r="C646" s="22" t="n">
        <v>0.075</v>
      </c>
      <c r="D646" s="23">
        <f>($B646-$C646)*100</f>
        <v/>
      </c>
    </row>
    <row r="647">
      <c r="A647" s="11" t="n">
        <v>41012</v>
      </c>
      <c r="B647" s="22">
        <f>'JGBCurve'!$C$647</f>
        <v/>
      </c>
      <c r="C647" s="22" t="n">
        <v>0.075</v>
      </c>
      <c r="D647" s="23">
        <f>($B647-$C647)*100</f>
        <v/>
      </c>
    </row>
    <row r="648">
      <c r="A648" s="11" t="n">
        <v>41019</v>
      </c>
      <c r="B648" s="22">
        <f>'JGBCurve'!$C$648</f>
        <v/>
      </c>
      <c r="C648" s="22" t="n">
        <v>0.075</v>
      </c>
      <c r="D648" s="23">
        <f>($B648-$C648)*100</f>
        <v/>
      </c>
    </row>
    <row r="649">
      <c r="A649" s="11" t="n">
        <v>41026</v>
      </c>
      <c r="B649" s="22">
        <f>'JGBCurve'!$C$649</f>
        <v/>
      </c>
      <c r="C649" s="22" t="n">
        <v>0.075</v>
      </c>
      <c r="D649" s="23">
        <f>($B649-$C649)*100</f>
        <v/>
      </c>
    </row>
    <row r="650">
      <c r="A650" s="11" t="n">
        <v>41033</v>
      </c>
      <c r="B650" s="22">
        <f>'JGBCurve'!$C$650</f>
        <v/>
      </c>
      <c r="C650" s="22" t="n">
        <v>0.08400000000000001</v>
      </c>
      <c r="D650" s="23">
        <f>($B650-$C650)*100</f>
        <v/>
      </c>
    </row>
    <row r="651">
      <c r="A651" s="11" t="n">
        <v>41040</v>
      </c>
      <c r="B651" s="22">
        <f>'JGBCurve'!$C$651</f>
        <v/>
      </c>
      <c r="C651" s="22" t="n">
        <v>0.08400000000000001</v>
      </c>
      <c r="D651" s="23">
        <f>($B651-$C651)*100</f>
        <v/>
      </c>
    </row>
    <row r="652">
      <c r="A652" s="11" t="n">
        <v>41047</v>
      </c>
      <c r="B652" s="22">
        <f>'JGBCurve'!$C$652</f>
        <v/>
      </c>
      <c r="C652" s="22" t="n">
        <v>0.08400000000000001</v>
      </c>
      <c r="D652" s="23">
        <f>($B652-$C652)*100</f>
        <v/>
      </c>
    </row>
    <row r="653">
      <c r="A653" s="11" t="n">
        <v>41054</v>
      </c>
      <c r="B653" s="22">
        <f>'JGBCurve'!$C$653</f>
        <v/>
      </c>
      <c r="C653" s="22" t="n">
        <v>0.08400000000000001</v>
      </c>
      <c r="D653" s="23">
        <f>($B653-$C653)*100</f>
        <v/>
      </c>
    </row>
    <row r="654">
      <c r="A654" s="11" t="n">
        <v>41061</v>
      </c>
      <c r="B654" s="22">
        <f>'JGBCurve'!$C$654</f>
        <v/>
      </c>
      <c r="C654" s="22" t="n">
        <v>0.076</v>
      </c>
      <c r="D654" s="23">
        <f>($B654-$C654)*100</f>
        <v/>
      </c>
    </row>
    <row r="655">
      <c r="A655" s="11" t="n">
        <v>41068</v>
      </c>
      <c r="B655" s="22">
        <f>'JGBCurve'!$C$655</f>
        <v/>
      </c>
      <c r="C655" s="22" t="n">
        <v>0.076</v>
      </c>
      <c r="D655" s="23">
        <f>($B655-$C655)*100</f>
        <v/>
      </c>
    </row>
    <row r="656">
      <c r="A656" s="11" t="n">
        <v>41075</v>
      </c>
      <c r="B656" s="22">
        <f>'JGBCurve'!$C$656</f>
        <v/>
      </c>
      <c r="C656" s="22" t="n">
        <v>0.076</v>
      </c>
      <c r="D656" s="23">
        <f>($B656-$C656)*100</f>
        <v/>
      </c>
    </row>
    <row r="657">
      <c r="A657" s="11" t="n">
        <v>41082</v>
      </c>
      <c r="B657" s="22">
        <f>'JGBCurve'!$C$657</f>
        <v/>
      </c>
      <c r="C657" s="22" t="n">
        <v>0.076</v>
      </c>
      <c r="D657" s="23">
        <f>($B657-$C657)*100</f>
        <v/>
      </c>
    </row>
    <row r="658">
      <c r="A658" s="11" t="n">
        <v>41089</v>
      </c>
      <c r="B658" s="22">
        <f>'JGBCurve'!$C$658</f>
        <v/>
      </c>
      <c r="C658" s="22" t="n">
        <v>0.076</v>
      </c>
      <c r="D658" s="23">
        <f>($B658-$C658)*100</f>
        <v/>
      </c>
    </row>
    <row r="659">
      <c r="A659" s="11" t="n">
        <v>41096</v>
      </c>
      <c r="B659" s="22">
        <f>'JGBCurve'!$C$659</f>
        <v/>
      </c>
      <c r="C659" s="22" t="n">
        <v>0.08400000000000001</v>
      </c>
      <c r="D659" s="23">
        <f>($B659-$C659)*100</f>
        <v/>
      </c>
    </row>
    <row r="660">
      <c r="A660" s="11" t="n">
        <v>41103</v>
      </c>
      <c r="B660" s="22">
        <f>'JGBCurve'!$C$660</f>
        <v/>
      </c>
      <c r="C660" s="22" t="n">
        <v>0.08400000000000001</v>
      </c>
      <c r="D660" s="23">
        <f>($B660-$C660)*100</f>
        <v/>
      </c>
    </row>
    <row r="661">
      <c r="A661" s="11" t="n">
        <v>41110</v>
      </c>
      <c r="B661" s="22">
        <f>'JGBCurve'!$C$661</f>
        <v/>
      </c>
      <c r="C661" s="22" t="n">
        <v>0.08400000000000001</v>
      </c>
      <c r="D661" s="23">
        <f>($B661-$C661)*100</f>
        <v/>
      </c>
    </row>
    <row r="662">
      <c r="A662" s="11" t="n">
        <v>41117</v>
      </c>
      <c r="B662" s="22">
        <f>'JGBCurve'!$C$662</f>
        <v/>
      </c>
      <c r="C662" s="22" t="n">
        <v>0.08400000000000001</v>
      </c>
      <c r="D662" s="23">
        <f>($B662-$C662)*100</f>
        <v/>
      </c>
    </row>
    <row r="663">
      <c r="A663" s="11" t="n">
        <v>41124</v>
      </c>
      <c r="B663" s="22">
        <f>'JGBCurve'!$C$663</f>
        <v/>
      </c>
      <c r="C663" s="22" t="n">
        <v>0.08599999999999999</v>
      </c>
      <c r="D663" s="23">
        <f>($B663-$C663)*100</f>
        <v/>
      </c>
    </row>
    <row r="664">
      <c r="A664" s="11" t="n">
        <v>41131</v>
      </c>
      <c r="B664" s="22">
        <f>'JGBCurve'!$C$664</f>
        <v/>
      </c>
      <c r="C664" s="22" t="n">
        <v>0.08599999999999999</v>
      </c>
      <c r="D664" s="23">
        <f>($B664-$C664)*100</f>
        <v/>
      </c>
    </row>
    <row r="665">
      <c r="A665" s="11" t="n">
        <v>41138</v>
      </c>
      <c r="B665" s="22">
        <f>'JGBCurve'!$C$665</f>
        <v/>
      </c>
      <c r="C665" s="22" t="n">
        <v>0.08599999999999999</v>
      </c>
      <c r="D665" s="23">
        <f>($B665-$C665)*100</f>
        <v/>
      </c>
    </row>
    <row r="666">
      <c r="A666" s="11" t="n">
        <v>41145</v>
      </c>
      <c r="B666" s="22">
        <f>'JGBCurve'!$C$666</f>
        <v/>
      </c>
      <c r="C666" s="22" t="n">
        <v>0.08599999999999999</v>
      </c>
      <c r="D666" s="23">
        <f>($B666-$C666)*100</f>
        <v/>
      </c>
    </row>
    <row r="667">
      <c r="A667" s="11" t="n">
        <v>41152</v>
      </c>
      <c r="B667" s="22">
        <f>'JGBCurve'!$C$667</f>
        <v/>
      </c>
      <c r="C667" s="22" t="n">
        <v>0.08599999999999999</v>
      </c>
      <c r="D667" s="23">
        <f>($B667-$C667)*100</f>
        <v/>
      </c>
    </row>
    <row r="668">
      <c r="A668" s="11" t="n">
        <v>41159</v>
      </c>
      <c r="B668" s="22">
        <f>'JGBCurve'!$C$668</f>
        <v/>
      </c>
      <c r="C668" s="22" t="n">
        <v>0.08500000000000001</v>
      </c>
      <c r="D668" s="23">
        <f>($B668-$C668)*100</f>
        <v/>
      </c>
    </row>
    <row r="669">
      <c r="A669" s="11" t="n">
        <v>41166</v>
      </c>
      <c r="B669" s="22">
        <f>'JGBCurve'!$C$669</f>
        <v/>
      </c>
      <c r="C669" s="22" t="n">
        <v>0.08500000000000001</v>
      </c>
      <c r="D669" s="23">
        <f>($B669-$C669)*100</f>
        <v/>
      </c>
    </row>
    <row r="670">
      <c r="A670" s="11" t="n">
        <v>41173</v>
      </c>
      <c r="B670" s="22">
        <f>'JGBCurve'!$C$670</f>
        <v/>
      </c>
      <c r="C670" s="22" t="n">
        <v>0.08500000000000001</v>
      </c>
      <c r="D670" s="23">
        <f>($B670-$C670)*100</f>
        <v/>
      </c>
    </row>
    <row r="671">
      <c r="A671" s="11" t="n">
        <v>41180</v>
      </c>
      <c r="B671" s="22">
        <f>'JGBCurve'!$C$671</f>
        <v/>
      </c>
      <c r="C671" s="22" t="n">
        <v>0.08500000000000001</v>
      </c>
      <c r="D671" s="23">
        <f>($B671-$C671)*100</f>
        <v/>
      </c>
    </row>
    <row r="672">
      <c r="A672" s="11" t="n">
        <v>41187</v>
      </c>
      <c r="B672" s="22">
        <f>'JGBCurve'!$C$672</f>
        <v/>
      </c>
      <c r="C672" s="22" t="n">
        <v>0.08500000000000001</v>
      </c>
      <c r="D672" s="23">
        <f>($B672-$C672)*100</f>
        <v/>
      </c>
    </row>
    <row r="673">
      <c r="A673" s="11" t="n">
        <v>41194</v>
      </c>
      <c r="B673" s="22">
        <f>'JGBCurve'!$C$673</f>
        <v/>
      </c>
      <c r="C673" s="22" t="n">
        <v>0.08500000000000001</v>
      </c>
      <c r="D673" s="23">
        <f>($B673-$C673)*100</f>
        <v/>
      </c>
    </row>
    <row r="674">
      <c r="A674" s="11" t="n">
        <v>41201</v>
      </c>
      <c r="B674" s="22">
        <f>'JGBCurve'!$C$674</f>
        <v/>
      </c>
      <c r="C674" s="22" t="n">
        <v>0.08500000000000001</v>
      </c>
      <c r="D674" s="23">
        <f>($B674-$C674)*100</f>
        <v/>
      </c>
    </row>
    <row r="675">
      <c r="A675" s="11" t="n">
        <v>41208</v>
      </c>
      <c r="B675" s="22">
        <f>'JGBCurve'!$C$675</f>
        <v/>
      </c>
      <c r="C675" s="22" t="n">
        <v>0.08500000000000001</v>
      </c>
      <c r="D675" s="23">
        <f>($B675-$C675)*100</f>
        <v/>
      </c>
    </row>
    <row r="676">
      <c r="A676" s="11" t="n">
        <v>41215</v>
      </c>
      <c r="B676" s="22">
        <f>'JGBCurve'!$C$676</f>
        <v/>
      </c>
      <c r="C676" s="22" t="n">
        <v>0.08599999999999999</v>
      </c>
      <c r="D676" s="23">
        <f>($B676-$C676)*100</f>
        <v/>
      </c>
    </row>
    <row r="677">
      <c r="A677" s="11" t="n">
        <v>41222</v>
      </c>
      <c r="B677" s="22">
        <f>'JGBCurve'!$C$677</f>
        <v/>
      </c>
      <c r="C677" s="22" t="n">
        <v>0.08599999999999999</v>
      </c>
      <c r="D677" s="23">
        <f>($B677-$C677)*100</f>
        <v/>
      </c>
    </row>
    <row r="678">
      <c r="A678" s="11" t="n">
        <v>41229</v>
      </c>
      <c r="B678" s="22">
        <f>'JGBCurve'!$C$678</f>
        <v/>
      </c>
      <c r="C678" s="22" t="n">
        <v>0.08599999999999999</v>
      </c>
      <c r="D678" s="23">
        <f>($B678-$C678)*100</f>
        <v/>
      </c>
    </row>
    <row r="679">
      <c r="A679" s="11" t="n">
        <v>41236</v>
      </c>
      <c r="B679" s="22">
        <f>'JGBCurve'!$C$679</f>
        <v/>
      </c>
      <c r="C679" s="22" t="n">
        <v>0.08599999999999999</v>
      </c>
      <c r="D679" s="23">
        <f>($B679-$C679)*100</f>
        <v/>
      </c>
    </row>
    <row r="680">
      <c r="A680" s="11" t="n">
        <v>41243</v>
      </c>
      <c r="B680" s="22">
        <f>'JGBCurve'!$C$680</f>
        <v/>
      </c>
      <c r="C680" s="22" t="n">
        <v>0.08599999999999999</v>
      </c>
      <c r="D680" s="23">
        <f>($B680-$C680)*100</f>
        <v/>
      </c>
    </row>
    <row r="681">
      <c r="A681" s="11" t="n">
        <v>41250</v>
      </c>
      <c r="B681" s="22">
        <f>'JGBCurve'!$C$681</f>
        <v/>
      </c>
      <c r="C681" s="22" t="n">
        <v>0.082</v>
      </c>
      <c r="D681" s="23">
        <f>($B681-$C681)*100</f>
        <v/>
      </c>
    </row>
    <row r="682">
      <c r="A682" s="11" t="n">
        <v>41257</v>
      </c>
      <c r="B682" s="22">
        <f>'JGBCurve'!$C$682</f>
        <v/>
      </c>
      <c r="C682" s="22" t="n">
        <v>0.082</v>
      </c>
      <c r="D682" s="23">
        <f>($B682-$C682)*100</f>
        <v/>
      </c>
    </row>
    <row r="683">
      <c r="A683" s="11" t="n">
        <v>41264</v>
      </c>
      <c r="B683" s="22">
        <f>'JGBCurve'!$C$683</f>
        <v/>
      </c>
      <c r="C683" s="22" t="n">
        <v>0.082</v>
      </c>
      <c r="D683" s="23">
        <f>($B683-$C683)*100</f>
        <v/>
      </c>
    </row>
    <row r="684">
      <c r="A684" s="11" t="n">
        <v>41271</v>
      </c>
      <c r="B684" s="22">
        <f>'JGBCurve'!$C$684</f>
        <v/>
      </c>
      <c r="C684" s="22" t="n">
        <v>0.082</v>
      </c>
      <c r="D684" s="23">
        <f>($B684-$C684)*100</f>
        <v/>
      </c>
    </row>
    <row r="685">
      <c r="A685" s="11" t="n">
        <v>41278</v>
      </c>
      <c r="B685" s="22">
        <f>'JGBCurve'!$C$685</f>
        <v/>
      </c>
      <c r="C685" s="22" t="n">
        <v>0.083</v>
      </c>
      <c r="D685" s="23">
        <f>($B685-$C685)*100</f>
        <v/>
      </c>
    </row>
    <row r="686">
      <c r="A686" s="11" t="n">
        <v>41285</v>
      </c>
      <c r="B686" s="22">
        <f>'JGBCurve'!$C$686</f>
        <v/>
      </c>
      <c r="C686" s="22" t="n">
        <v>0.083</v>
      </c>
      <c r="D686" s="23">
        <f>($B686-$C686)*100</f>
        <v/>
      </c>
    </row>
    <row r="687">
      <c r="A687" s="11" t="n">
        <v>41292</v>
      </c>
      <c r="B687" s="22">
        <f>'JGBCurve'!$C$687</f>
        <v/>
      </c>
      <c r="C687" s="22" t="n">
        <v>0.083</v>
      </c>
      <c r="D687" s="23">
        <f>($B687-$C687)*100</f>
        <v/>
      </c>
    </row>
    <row r="688">
      <c r="A688" s="11" t="n">
        <v>41299</v>
      </c>
      <c r="B688" s="22">
        <f>'JGBCurve'!$C$688</f>
        <v/>
      </c>
      <c r="C688" s="22" t="n">
        <v>0.083</v>
      </c>
      <c r="D688" s="23">
        <f>($B688-$C688)*100</f>
        <v/>
      </c>
    </row>
    <row r="689">
      <c r="A689" s="11" t="n">
        <v>41306</v>
      </c>
      <c r="B689" s="22">
        <f>'JGBCurve'!$C$689</f>
        <v/>
      </c>
      <c r="C689" s="22" t="n">
        <v>0.08</v>
      </c>
      <c r="D689" s="23">
        <f>($B689-$C689)*100</f>
        <v/>
      </c>
    </row>
    <row r="690">
      <c r="A690" s="11" t="n">
        <v>41313</v>
      </c>
      <c r="B690" s="22">
        <f>'JGBCurve'!$C$690</f>
        <v/>
      </c>
      <c r="C690" s="22" t="n">
        <v>0.08</v>
      </c>
      <c r="D690" s="23">
        <f>($B690-$C690)*100</f>
        <v/>
      </c>
    </row>
    <row r="691">
      <c r="A691" s="11" t="n">
        <v>41320</v>
      </c>
      <c r="B691" s="22">
        <f>'JGBCurve'!$C$691</f>
        <v/>
      </c>
      <c r="C691" s="22" t="n">
        <v>0.08</v>
      </c>
      <c r="D691" s="23">
        <f>($B691-$C691)*100</f>
        <v/>
      </c>
    </row>
    <row r="692">
      <c r="A692" s="11" t="n">
        <v>41327</v>
      </c>
      <c r="B692" s="22">
        <f>'JGBCurve'!$C$692</f>
        <v/>
      </c>
      <c r="C692" s="22" t="n">
        <v>0.08</v>
      </c>
      <c r="D692" s="23">
        <f>($B692-$C692)*100</f>
        <v/>
      </c>
    </row>
    <row r="693">
      <c r="A693" s="11" t="n">
        <v>41334</v>
      </c>
      <c r="B693" s="22">
        <f>'JGBCurve'!$C$693</f>
        <v/>
      </c>
      <c r="C693" s="22" t="n">
        <v>0.08</v>
      </c>
      <c r="D693" s="23">
        <f>($B693-$C693)*100</f>
        <v/>
      </c>
    </row>
    <row r="694">
      <c r="A694" s="11" t="n">
        <v>41341</v>
      </c>
      <c r="B694" s="22">
        <f>'JGBCurve'!$C$694</f>
        <v/>
      </c>
      <c r="C694" s="22" t="n">
        <v>0.08</v>
      </c>
      <c r="D694" s="23">
        <f>($B694-$C694)*100</f>
        <v/>
      </c>
    </row>
    <row r="695">
      <c r="A695" s="11" t="n">
        <v>41348</v>
      </c>
      <c r="B695" s="22">
        <f>'JGBCurve'!$C$695</f>
        <v/>
      </c>
      <c r="C695" s="22" t="n">
        <v>0.08</v>
      </c>
      <c r="D695" s="23">
        <f>($B695-$C695)*100</f>
        <v/>
      </c>
    </row>
    <row r="696">
      <c r="A696" s="11" t="n">
        <v>41355</v>
      </c>
      <c r="B696" s="22">
        <f>'JGBCurve'!$C$696</f>
        <v/>
      </c>
      <c r="C696" s="22" t="n">
        <v>0.08</v>
      </c>
      <c r="D696" s="23">
        <f>($B696-$C696)*100</f>
        <v/>
      </c>
    </row>
    <row r="697">
      <c r="A697" s="11" t="n">
        <v>41362</v>
      </c>
      <c r="B697" s="22">
        <f>'JGBCurve'!$C$697</f>
        <v/>
      </c>
      <c r="C697" s="22" t="n">
        <v>0.08</v>
      </c>
      <c r="D697" s="23">
        <f>($B697-$C697)*100</f>
        <v/>
      </c>
    </row>
    <row r="698">
      <c r="A698" s="11" t="n">
        <v>41369</v>
      </c>
      <c r="B698" s="22">
        <f>'JGBCurve'!$C$698</f>
        <v/>
      </c>
      <c r="C698" s="22" t="n">
        <v>0.07000000000000001</v>
      </c>
      <c r="D698" s="23">
        <f>($B698-$C698)*100</f>
        <v/>
      </c>
    </row>
    <row r="699">
      <c r="A699" s="11" t="n">
        <v>41376</v>
      </c>
      <c r="B699" s="22">
        <f>'JGBCurve'!$C$699</f>
        <v/>
      </c>
      <c r="C699" s="22" t="n">
        <v>0.07000000000000001</v>
      </c>
      <c r="D699" s="23">
        <f>($B699-$C699)*100</f>
        <v/>
      </c>
    </row>
    <row r="700">
      <c r="A700" s="11" t="n">
        <v>41383</v>
      </c>
      <c r="B700" s="22">
        <f>'JGBCurve'!$C$700</f>
        <v/>
      </c>
      <c r="C700" s="22" t="n">
        <v>0.07000000000000001</v>
      </c>
      <c r="D700" s="23">
        <f>($B700-$C700)*100</f>
        <v/>
      </c>
    </row>
    <row r="701">
      <c r="A701" s="11" t="n">
        <v>41390</v>
      </c>
      <c r="B701" s="22">
        <f>'JGBCurve'!$C$701</f>
        <v/>
      </c>
      <c r="C701" s="22" t="n">
        <v>0.07000000000000001</v>
      </c>
      <c r="D701" s="23">
        <f>($B701-$C701)*100</f>
        <v/>
      </c>
    </row>
    <row r="702">
      <c r="A702" s="11" t="n">
        <v>41397</v>
      </c>
      <c r="B702" s="22">
        <f>'JGBCurve'!$C$702</f>
        <v/>
      </c>
      <c r="C702" s="22" t="n">
        <v>0.07000000000000001</v>
      </c>
      <c r="D702" s="23">
        <f>($B702-$C702)*100</f>
        <v/>
      </c>
    </row>
    <row r="703">
      <c r="A703" s="11" t="n">
        <v>41404</v>
      </c>
      <c r="B703" s="22">
        <f>'JGBCurve'!$C$703</f>
        <v/>
      </c>
      <c r="C703" s="22" t="n">
        <v>0.07000000000000001</v>
      </c>
      <c r="D703" s="23">
        <f>($B703-$C703)*100</f>
        <v/>
      </c>
    </row>
    <row r="704">
      <c r="A704" s="11" t="n">
        <v>41411</v>
      </c>
      <c r="B704" s="22">
        <f>'JGBCurve'!$C$704</f>
        <v/>
      </c>
      <c r="C704" s="22" t="n">
        <v>0.07000000000000001</v>
      </c>
      <c r="D704" s="23">
        <f>($B704-$C704)*100</f>
        <v/>
      </c>
    </row>
    <row r="705">
      <c r="A705" s="11" t="n">
        <v>41418</v>
      </c>
      <c r="B705" s="22">
        <f>'JGBCurve'!$C$705</f>
        <v/>
      </c>
      <c r="C705" s="22" t="n">
        <v>0.07000000000000001</v>
      </c>
      <c r="D705" s="23">
        <f>($B705-$C705)*100</f>
        <v/>
      </c>
    </row>
    <row r="706">
      <c r="A706" s="11" t="n">
        <v>41425</v>
      </c>
      <c r="B706" s="22">
        <f>'JGBCurve'!$C$706</f>
        <v/>
      </c>
      <c r="C706" s="22" t="n">
        <v>0.07000000000000001</v>
      </c>
      <c r="D706" s="23">
        <f>($B706-$C706)*100</f>
        <v/>
      </c>
    </row>
    <row r="707">
      <c r="A707" s="11" t="n">
        <v>41432</v>
      </c>
      <c r="B707" s="22">
        <f>'JGBCurve'!$C$707</f>
        <v/>
      </c>
      <c r="C707" s="22" t="n">
        <v>0.07000000000000001</v>
      </c>
      <c r="D707" s="23">
        <f>($B707-$C707)*100</f>
        <v/>
      </c>
    </row>
    <row r="708">
      <c r="A708" s="11" t="n">
        <v>41439</v>
      </c>
      <c r="B708" s="22">
        <f>'JGBCurve'!$C$708</f>
        <v/>
      </c>
      <c r="C708" s="22" t="n">
        <v>0.07000000000000001</v>
      </c>
      <c r="D708" s="23">
        <f>($B708-$C708)*100</f>
        <v/>
      </c>
    </row>
    <row r="709">
      <c r="A709" s="11" t="n">
        <v>41446</v>
      </c>
      <c r="B709" s="22">
        <f>'JGBCurve'!$C$709</f>
        <v/>
      </c>
      <c r="C709" s="22" t="n">
        <v>0.07000000000000001</v>
      </c>
      <c r="D709" s="23">
        <f>($B709-$C709)*100</f>
        <v/>
      </c>
    </row>
    <row r="710">
      <c r="A710" s="11" t="n">
        <v>41453</v>
      </c>
      <c r="B710" s="22">
        <f>'JGBCurve'!$C$710</f>
        <v/>
      </c>
      <c r="C710" s="22" t="n">
        <v>0.07000000000000001</v>
      </c>
      <c r="D710" s="23">
        <f>($B710-$C710)*100</f>
        <v/>
      </c>
    </row>
    <row r="711">
      <c r="A711" s="11" t="n">
        <v>41460</v>
      </c>
      <c r="B711" s="22">
        <f>'JGBCurve'!$C$711</f>
        <v/>
      </c>
      <c r="C711" s="22" t="n">
        <v>0.07000000000000001</v>
      </c>
      <c r="D711" s="23">
        <f>($B711-$C711)*100</f>
        <v/>
      </c>
    </row>
    <row r="712">
      <c r="A712" s="11" t="n">
        <v>41467</v>
      </c>
      <c r="B712" s="22">
        <f>'JGBCurve'!$C$712</f>
        <v/>
      </c>
      <c r="C712" s="22" t="n">
        <v>0.07000000000000001</v>
      </c>
      <c r="D712" s="23">
        <f>($B712-$C712)*100</f>
        <v/>
      </c>
    </row>
    <row r="713">
      <c r="A713" s="11" t="n">
        <v>41474</v>
      </c>
      <c r="B713" s="22">
        <f>'JGBCurve'!$C$713</f>
        <v/>
      </c>
      <c r="C713" s="22" t="n">
        <v>0.07000000000000001</v>
      </c>
      <c r="D713" s="23">
        <f>($B713-$C713)*100</f>
        <v/>
      </c>
    </row>
    <row r="714">
      <c r="A714" s="11" t="n">
        <v>41481</v>
      </c>
      <c r="B714" s="22">
        <f>'JGBCurve'!$C$714</f>
        <v/>
      </c>
      <c r="C714" s="22" t="n">
        <v>0.07000000000000001</v>
      </c>
      <c r="D714" s="23">
        <f>($B714-$C714)*100</f>
        <v/>
      </c>
    </row>
    <row r="715">
      <c r="A715" s="11" t="n">
        <v>41488</v>
      </c>
      <c r="B715" s="22">
        <f>'JGBCurve'!$C$715</f>
        <v/>
      </c>
      <c r="C715" s="22" t="n">
        <v>0.07000000000000001</v>
      </c>
      <c r="D715" s="23">
        <f>($B715-$C715)*100</f>
        <v/>
      </c>
    </row>
    <row r="716">
      <c r="A716" s="11" t="n">
        <v>41495</v>
      </c>
      <c r="B716" s="22">
        <f>'JGBCurve'!$C$716</f>
        <v/>
      </c>
      <c r="C716" s="22" t="n">
        <v>0.07000000000000001</v>
      </c>
      <c r="D716" s="23">
        <f>($B716-$C716)*100</f>
        <v/>
      </c>
    </row>
    <row r="717">
      <c r="A717" s="11" t="n">
        <v>41502</v>
      </c>
      <c r="B717" s="22">
        <f>'JGBCurve'!$C$717</f>
        <v/>
      </c>
      <c r="C717" s="22" t="n">
        <v>0.07000000000000001</v>
      </c>
      <c r="D717" s="23">
        <f>($B717-$C717)*100</f>
        <v/>
      </c>
    </row>
    <row r="718">
      <c r="A718" s="11" t="n">
        <v>41509</v>
      </c>
      <c r="B718" s="22">
        <f>'JGBCurve'!$C$718</f>
        <v/>
      </c>
      <c r="C718" s="22" t="n">
        <v>0.07000000000000001</v>
      </c>
      <c r="D718" s="23">
        <f>($B718-$C718)*100</f>
        <v/>
      </c>
    </row>
    <row r="719">
      <c r="A719" s="11" t="n">
        <v>41516</v>
      </c>
      <c r="B719" s="22">
        <f>'JGBCurve'!$C$719</f>
        <v/>
      </c>
      <c r="C719" s="22" t="n">
        <v>0.07000000000000001</v>
      </c>
      <c r="D719" s="23">
        <f>($B719-$C719)*100</f>
        <v/>
      </c>
    </row>
    <row r="720">
      <c r="A720" s="11" t="n">
        <v>41523</v>
      </c>
      <c r="B720" s="22">
        <f>'JGBCurve'!$C$720</f>
        <v/>
      </c>
      <c r="C720" s="22" t="n">
        <v>0.07000000000000001</v>
      </c>
      <c r="D720" s="23">
        <f>($B720-$C720)*100</f>
        <v/>
      </c>
    </row>
    <row r="721">
      <c r="A721" s="11" t="n">
        <v>41530</v>
      </c>
      <c r="B721" s="22">
        <f>'JGBCurve'!$C$721</f>
        <v/>
      </c>
      <c r="C721" s="22" t="n">
        <v>0.07000000000000001</v>
      </c>
      <c r="D721" s="23">
        <f>($B721-$C721)*100</f>
        <v/>
      </c>
    </row>
    <row r="722">
      <c r="A722" s="11" t="n">
        <v>41537</v>
      </c>
      <c r="B722" s="22">
        <f>'JGBCurve'!$C$722</f>
        <v/>
      </c>
      <c r="C722" s="22" t="n">
        <v>0.07000000000000001</v>
      </c>
      <c r="D722" s="23">
        <f>($B722-$C722)*100</f>
        <v/>
      </c>
    </row>
    <row r="723">
      <c r="A723" s="11" t="n">
        <v>41544</v>
      </c>
      <c r="B723" s="22">
        <f>'JGBCurve'!$C$723</f>
        <v/>
      </c>
      <c r="C723" s="22" t="n">
        <v>0.07000000000000001</v>
      </c>
      <c r="D723" s="23">
        <f>($B723-$C723)*100</f>
        <v/>
      </c>
    </row>
    <row r="724">
      <c r="A724" s="11" t="n">
        <v>41551</v>
      </c>
      <c r="B724" s="22">
        <f>'JGBCurve'!$C$724</f>
        <v/>
      </c>
      <c r="C724" s="22" t="n">
        <v>0.07000000000000001</v>
      </c>
      <c r="D724" s="23">
        <f>($B724-$C724)*100</f>
        <v/>
      </c>
    </row>
    <row r="725">
      <c r="A725" s="11" t="n">
        <v>41558</v>
      </c>
      <c r="B725" s="22">
        <f>'JGBCurve'!$C$725</f>
        <v/>
      </c>
      <c r="C725" s="22" t="n">
        <v>0.07000000000000001</v>
      </c>
      <c r="D725" s="23">
        <f>($B725-$C725)*100</f>
        <v/>
      </c>
    </row>
    <row r="726">
      <c r="A726" s="11" t="n">
        <v>41565</v>
      </c>
      <c r="B726" s="22">
        <f>'JGBCurve'!$C$726</f>
        <v/>
      </c>
      <c r="C726" s="22" t="n">
        <v>0.07000000000000001</v>
      </c>
      <c r="D726" s="23">
        <f>($B726-$C726)*100</f>
        <v/>
      </c>
    </row>
    <row r="727">
      <c r="A727" s="11" t="n">
        <v>41572</v>
      </c>
      <c r="B727" s="22">
        <f>'JGBCurve'!$C$727</f>
        <v/>
      </c>
      <c r="C727" s="22" t="n">
        <v>0.07000000000000001</v>
      </c>
      <c r="D727" s="23">
        <f>($B727-$C727)*100</f>
        <v/>
      </c>
    </row>
    <row r="728">
      <c r="A728" s="11" t="n">
        <v>41579</v>
      </c>
      <c r="B728" s="22">
        <f>'JGBCurve'!$C$728</f>
        <v/>
      </c>
      <c r="C728" s="22" t="n">
        <v>0.07000000000000001</v>
      </c>
      <c r="D728" s="23">
        <f>($B728-$C728)*100</f>
        <v/>
      </c>
    </row>
    <row r="729">
      <c r="A729" s="11" t="n">
        <v>41586</v>
      </c>
      <c r="B729" s="22">
        <f>'JGBCurve'!$C$729</f>
        <v/>
      </c>
      <c r="C729" s="22" t="n">
        <v>0.07000000000000001</v>
      </c>
      <c r="D729" s="23">
        <f>($B729-$C729)*100</f>
        <v/>
      </c>
    </row>
    <row r="730">
      <c r="A730" s="11" t="n">
        <v>41593</v>
      </c>
      <c r="B730" s="22">
        <f>'JGBCurve'!$C$730</f>
        <v/>
      </c>
      <c r="C730" s="22" t="n">
        <v>0.07000000000000001</v>
      </c>
      <c r="D730" s="23">
        <f>($B730-$C730)*100</f>
        <v/>
      </c>
    </row>
    <row r="731">
      <c r="A731" s="11" t="n">
        <v>41600</v>
      </c>
      <c r="B731" s="22">
        <f>'JGBCurve'!$C$731</f>
        <v/>
      </c>
      <c r="C731" s="22" t="n">
        <v>0.07000000000000001</v>
      </c>
      <c r="D731" s="23">
        <f>($B731-$C731)*100</f>
        <v/>
      </c>
    </row>
    <row r="732">
      <c r="A732" s="11" t="n">
        <v>41607</v>
      </c>
      <c r="B732" s="22">
        <f>'JGBCurve'!$C$732</f>
        <v/>
      </c>
      <c r="C732" s="22" t="n">
        <v>0.07000000000000001</v>
      </c>
      <c r="D732" s="23">
        <f>($B732-$C732)*100</f>
        <v/>
      </c>
    </row>
    <row r="733">
      <c r="A733" s="11" t="n">
        <v>41614</v>
      </c>
      <c r="B733" s="22">
        <f>'JGBCurve'!$C$733</f>
        <v/>
      </c>
      <c r="C733" s="22" t="n">
        <v>0.07000000000000001</v>
      </c>
      <c r="D733" s="23">
        <f>($B733-$C733)*100</f>
        <v/>
      </c>
    </row>
    <row r="734">
      <c r="A734" s="11" t="n">
        <v>41621</v>
      </c>
      <c r="B734" s="22">
        <f>'JGBCurve'!$C$734</f>
        <v/>
      </c>
      <c r="C734" s="22" t="n">
        <v>0.07000000000000001</v>
      </c>
      <c r="D734" s="23">
        <f>($B734-$C734)*100</f>
        <v/>
      </c>
    </row>
    <row r="735">
      <c r="A735" s="11" t="n">
        <v>41628</v>
      </c>
      <c r="B735" s="22">
        <f>'JGBCurve'!$C$735</f>
        <v/>
      </c>
      <c r="C735" s="22" t="n">
        <v>0.07000000000000001</v>
      </c>
      <c r="D735" s="23">
        <f>($B735-$C735)*100</f>
        <v/>
      </c>
    </row>
    <row r="736">
      <c r="A736" s="11" t="n">
        <v>41635</v>
      </c>
      <c r="B736" s="22">
        <f>'JGBCurve'!$C$736</f>
        <v/>
      </c>
      <c r="C736" s="22" t="n">
        <v>0.07000000000000001</v>
      </c>
      <c r="D736" s="23">
        <f>($B736-$C736)*100</f>
        <v/>
      </c>
    </row>
    <row r="737">
      <c r="A737" s="11" t="n">
        <v>41642</v>
      </c>
      <c r="B737" s="22">
        <f>'JGBCurve'!$C$737</f>
        <v/>
      </c>
      <c r="C737" s="22" t="n">
        <v>0.07000000000000001</v>
      </c>
      <c r="D737" s="23">
        <f>($B737-$C737)*100</f>
        <v/>
      </c>
    </row>
    <row r="738">
      <c r="A738" s="11" t="n">
        <v>41649</v>
      </c>
      <c r="B738" s="22">
        <f>'JGBCurve'!$C$738</f>
        <v/>
      </c>
      <c r="C738" s="22" t="n">
        <v>0.07000000000000001</v>
      </c>
      <c r="D738" s="23">
        <f>($B738-$C738)*100</f>
        <v/>
      </c>
    </row>
    <row r="739">
      <c r="A739" s="11" t="n">
        <v>41656</v>
      </c>
      <c r="B739" s="22">
        <f>'JGBCurve'!$C$739</f>
        <v/>
      </c>
      <c r="C739" s="22" t="n">
        <v>0.07000000000000001</v>
      </c>
      <c r="D739" s="23">
        <f>($B739-$C739)*100</f>
        <v/>
      </c>
    </row>
    <row r="740">
      <c r="A740" s="11" t="n">
        <v>41663</v>
      </c>
      <c r="B740" s="22">
        <f>'JGBCurve'!$C$740</f>
        <v/>
      </c>
      <c r="C740" s="22" t="n">
        <v>0.07000000000000001</v>
      </c>
      <c r="D740" s="23">
        <f>($B740-$C740)*100</f>
        <v/>
      </c>
    </row>
    <row r="741">
      <c r="A741" s="11" t="n">
        <v>41670</v>
      </c>
      <c r="B741" s="22">
        <f>'JGBCurve'!$C$741</f>
        <v/>
      </c>
      <c r="C741" s="22" t="n">
        <v>0.07000000000000001</v>
      </c>
      <c r="D741" s="23">
        <f>($B741-$C741)*100</f>
        <v/>
      </c>
    </row>
    <row r="742">
      <c r="A742" s="11" t="n">
        <v>41677</v>
      </c>
      <c r="B742" s="22">
        <f>'JGBCurve'!$C$742</f>
        <v/>
      </c>
      <c r="C742" s="22" t="n">
        <v>0.08</v>
      </c>
      <c r="D742" s="23">
        <f>($B742-$C742)*100</f>
        <v/>
      </c>
    </row>
    <row r="743">
      <c r="A743" s="11" t="n">
        <v>41684</v>
      </c>
      <c r="B743" s="22">
        <f>'JGBCurve'!$C$743</f>
        <v/>
      </c>
      <c r="C743" s="22" t="n">
        <v>0.08</v>
      </c>
      <c r="D743" s="23">
        <f>($B743-$C743)*100</f>
        <v/>
      </c>
    </row>
    <row r="744">
      <c r="A744" s="11" t="n">
        <v>41691</v>
      </c>
      <c r="B744" s="22">
        <f>'JGBCurve'!$C$744</f>
        <v/>
      </c>
      <c r="C744" s="22" t="n">
        <v>0.08</v>
      </c>
      <c r="D744" s="23">
        <f>($B744-$C744)*100</f>
        <v/>
      </c>
    </row>
    <row r="745">
      <c r="A745" s="11" t="n">
        <v>41698</v>
      </c>
      <c r="B745" s="22">
        <f>'JGBCurve'!$C$745</f>
        <v/>
      </c>
      <c r="C745" s="22" t="n">
        <v>0.08</v>
      </c>
      <c r="D745" s="23">
        <f>($B745-$C745)*100</f>
        <v/>
      </c>
    </row>
    <row r="746">
      <c r="A746" s="11" t="n">
        <v>41705</v>
      </c>
      <c r="B746" s="22">
        <f>'JGBCurve'!$C$746</f>
        <v/>
      </c>
      <c r="C746" s="22" t="n">
        <v>0.07000000000000001</v>
      </c>
      <c r="D746" s="23">
        <f>($B746-$C746)*100</f>
        <v/>
      </c>
    </row>
    <row r="747">
      <c r="A747" s="11" t="n">
        <v>41712</v>
      </c>
      <c r="B747" s="22">
        <f>'JGBCurve'!$C$747</f>
        <v/>
      </c>
      <c r="C747" s="22" t="n">
        <v>0.07000000000000001</v>
      </c>
      <c r="D747" s="23">
        <f>($B747-$C747)*100</f>
        <v/>
      </c>
    </row>
    <row r="748">
      <c r="A748" s="11" t="n">
        <v>41719</v>
      </c>
      <c r="B748" s="22">
        <f>'JGBCurve'!$C$748</f>
        <v/>
      </c>
      <c r="C748" s="22" t="n">
        <v>0.07000000000000001</v>
      </c>
      <c r="D748" s="23">
        <f>($B748-$C748)*100</f>
        <v/>
      </c>
    </row>
    <row r="749">
      <c r="A749" s="11" t="n">
        <v>41726</v>
      </c>
      <c r="B749" s="22">
        <f>'JGBCurve'!$C$749</f>
        <v/>
      </c>
      <c r="C749" s="22" t="n">
        <v>0.07000000000000001</v>
      </c>
      <c r="D749" s="23">
        <f>($B749-$C749)*100</f>
        <v/>
      </c>
    </row>
    <row r="750">
      <c r="A750" s="11" t="n">
        <v>41733</v>
      </c>
      <c r="B750" s="22">
        <f>'JGBCurve'!$C$750</f>
        <v/>
      </c>
      <c r="C750" s="22" t="n">
        <v>0.06</v>
      </c>
      <c r="D750" s="23">
        <f>($B750-$C750)*100</f>
        <v/>
      </c>
    </row>
    <row r="751">
      <c r="A751" s="11" t="n">
        <v>41740</v>
      </c>
      <c r="B751" s="22">
        <f>'JGBCurve'!$C$751</f>
        <v/>
      </c>
      <c r="C751" s="22" t="n">
        <v>0.06</v>
      </c>
      <c r="D751" s="23">
        <f>($B751-$C751)*100</f>
        <v/>
      </c>
    </row>
    <row r="752">
      <c r="A752" s="11" t="n">
        <v>41747</v>
      </c>
      <c r="B752" s="22">
        <f>'JGBCurve'!$C$752</f>
        <v/>
      </c>
      <c r="C752" s="22" t="n">
        <v>0.06</v>
      </c>
      <c r="D752" s="23">
        <f>($B752-$C752)*100</f>
        <v/>
      </c>
    </row>
    <row r="753">
      <c r="A753" s="11" t="n">
        <v>41754</v>
      </c>
      <c r="B753" s="22">
        <f>'JGBCurve'!$C$753</f>
        <v/>
      </c>
      <c r="C753" s="22" t="n">
        <v>0.06</v>
      </c>
      <c r="D753" s="23">
        <f>($B753-$C753)*100</f>
        <v/>
      </c>
    </row>
    <row r="754">
      <c r="A754" s="11" t="n">
        <v>41761</v>
      </c>
      <c r="B754" s="22">
        <f>'JGBCurve'!$C$754</f>
        <v/>
      </c>
      <c r="C754" s="22" t="n">
        <v>0.07000000000000001</v>
      </c>
      <c r="D754" s="23">
        <f>($B754-$C754)*100</f>
        <v/>
      </c>
    </row>
    <row r="755">
      <c r="A755" s="11" t="n">
        <v>41768</v>
      </c>
      <c r="B755" s="22">
        <f>'JGBCurve'!$C$755</f>
        <v/>
      </c>
      <c r="C755" s="22" t="n">
        <v>0.07000000000000001</v>
      </c>
      <c r="D755" s="23">
        <f>($B755-$C755)*100</f>
        <v/>
      </c>
    </row>
    <row r="756">
      <c r="A756" s="11" t="n">
        <v>41775</v>
      </c>
      <c r="B756" s="22">
        <f>'JGBCurve'!$C$756</f>
        <v/>
      </c>
      <c r="C756" s="22" t="n">
        <v>0.07000000000000001</v>
      </c>
      <c r="D756" s="23">
        <f>($B756-$C756)*100</f>
        <v/>
      </c>
    </row>
    <row r="757">
      <c r="A757" s="11" t="n">
        <v>41782</v>
      </c>
      <c r="B757" s="22">
        <f>'JGBCurve'!$C$757</f>
        <v/>
      </c>
      <c r="C757" s="22" t="n">
        <v>0.07000000000000001</v>
      </c>
      <c r="D757" s="23">
        <f>($B757-$C757)*100</f>
        <v/>
      </c>
    </row>
    <row r="758">
      <c r="A758" s="11" t="n">
        <v>41789</v>
      </c>
      <c r="B758" s="22">
        <f>'JGBCurve'!$C$758</f>
        <v/>
      </c>
      <c r="C758" s="22" t="n">
        <v>0.07000000000000001</v>
      </c>
      <c r="D758" s="23">
        <f>($B758-$C758)*100</f>
        <v/>
      </c>
    </row>
    <row r="759">
      <c r="A759" s="11" t="n">
        <v>41796</v>
      </c>
      <c r="B759" s="22">
        <f>'JGBCurve'!$C$759</f>
        <v/>
      </c>
      <c r="C759" s="22" t="n">
        <v>0.07000000000000001</v>
      </c>
      <c r="D759" s="23">
        <f>($B759-$C759)*100</f>
        <v/>
      </c>
    </row>
    <row r="760">
      <c r="A760" s="11" t="n">
        <v>41803</v>
      </c>
      <c r="B760" s="22">
        <f>'JGBCurve'!$C$760</f>
        <v/>
      </c>
      <c r="C760" s="22" t="n">
        <v>0.07000000000000001</v>
      </c>
      <c r="D760" s="23">
        <f>($B760-$C760)*100</f>
        <v/>
      </c>
    </row>
    <row r="761">
      <c r="A761" s="11" t="n">
        <v>41810</v>
      </c>
      <c r="B761" s="22">
        <f>'JGBCurve'!$C$761</f>
        <v/>
      </c>
      <c r="C761" s="22" t="n">
        <v>0.07000000000000001</v>
      </c>
      <c r="D761" s="23">
        <f>($B761-$C761)*100</f>
        <v/>
      </c>
    </row>
    <row r="762">
      <c r="A762" s="11" t="n">
        <v>41817</v>
      </c>
      <c r="B762" s="22">
        <f>'JGBCurve'!$C$762</f>
        <v/>
      </c>
      <c r="C762" s="22" t="n">
        <v>0.07000000000000001</v>
      </c>
      <c r="D762" s="23">
        <f>($B762-$C762)*100</f>
        <v/>
      </c>
    </row>
    <row r="763">
      <c r="A763" s="11" t="n">
        <v>41824</v>
      </c>
      <c r="B763" s="22">
        <f>'JGBCurve'!$C$763</f>
        <v/>
      </c>
      <c r="C763" s="22" t="n">
        <v>0.07000000000000001</v>
      </c>
      <c r="D763" s="23">
        <f>($B763-$C763)*100</f>
        <v/>
      </c>
    </row>
    <row r="764">
      <c r="A764" s="11" t="n">
        <v>41831</v>
      </c>
      <c r="B764" s="22">
        <f>'JGBCurve'!$C$764</f>
        <v/>
      </c>
      <c r="C764" s="22" t="n">
        <v>0.07000000000000001</v>
      </c>
      <c r="D764" s="23">
        <f>($B764-$C764)*100</f>
        <v/>
      </c>
    </row>
    <row r="765">
      <c r="A765" s="11" t="n">
        <v>41838</v>
      </c>
      <c r="B765" s="22">
        <f>'JGBCurve'!$C$765</f>
        <v/>
      </c>
      <c r="C765" s="22" t="n">
        <v>0.07000000000000001</v>
      </c>
      <c r="D765" s="23">
        <f>($B765-$C765)*100</f>
        <v/>
      </c>
    </row>
    <row r="766">
      <c r="A766" s="11" t="n">
        <v>41845</v>
      </c>
      <c r="B766" s="22">
        <f>'JGBCurve'!$C$766</f>
        <v/>
      </c>
      <c r="C766" s="22" t="n">
        <v>0.07000000000000001</v>
      </c>
      <c r="D766" s="23">
        <f>($B766-$C766)*100</f>
        <v/>
      </c>
    </row>
    <row r="767">
      <c r="A767" s="11" t="n">
        <v>41852</v>
      </c>
      <c r="B767" s="22">
        <f>'JGBCurve'!$C$767</f>
        <v/>
      </c>
      <c r="C767" s="22" t="n">
        <v>0.07000000000000001</v>
      </c>
      <c r="D767" s="23">
        <f>($B767-$C767)*100</f>
        <v/>
      </c>
    </row>
    <row r="768">
      <c r="A768" s="11" t="n">
        <v>41859</v>
      </c>
      <c r="B768" s="22">
        <f>'JGBCurve'!$C$768</f>
        <v/>
      </c>
      <c r="C768" s="22" t="n">
        <v>0.07000000000000001</v>
      </c>
      <c r="D768" s="23">
        <f>($B768-$C768)*100</f>
        <v/>
      </c>
    </row>
    <row r="769">
      <c r="A769" s="11" t="n">
        <v>41866</v>
      </c>
      <c r="B769" s="22">
        <f>'JGBCurve'!$C$769</f>
        <v/>
      </c>
      <c r="C769" s="22" t="n">
        <v>0.07000000000000001</v>
      </c>
      <c r="D769" s="23">
        <f>($B769-$C769)*100</f>
        <v/>
      </c>
    </row>
    <row r="770">
      <c r="A770" s="11" t="n">
        <v>41873</v>
      </c>
      <c r="B770" s="22">
        <f>'JGBCurve'!$C$770</f>
        <v/>
      </c>
      <c r="C770" s="22" t="n">
        <v>0.07000000000000001</v>
      </c>
      <c r="D770" s="23">
        <f>($B770-$C770)*100</f>
        <v/>
      </c>
    </row>
    <row r="771">
      <c r="A771" s="11" t="n">
        <v>41880</v>
      </c>
      <c r="B771" s="22">
        <f>'JGBCurve'!$C$771</f>
        <v/>
      </c>
      <c r="C771" s="22" t="n">
        <v>0.07000000000000001</v>
      </c>
      <c r="D771" s="23">
        <f>($B771-$C771)*100</f>
        <v/>
      </c>
    </row>
    <row r="772">
      <c r="A772" s="11" t="n">
        <v>41887</v>
      </c>
      <c r="B772" s="22">
        <f>'JGBCurve'!$C$772</f>
        <v/>
      </c>
      <c r="C772" s="22" t="n">
        <v>0.07000000000000001</v>
      </c>
      <c r="D772" s="23">
        <f>($B772-$C772)*100</f>
        <v/>
      </c>
    </row>
    <row r="773">
      <c r="A773" s="11" t="n">
        <v>41894</v>
      </c>
      <c r="B773" s="22">
        <f>'JGBCurve'!$C$773</f>
        <v/>
      </c>
      <c r="C773" s="22" t="n">
        <v>0.07000000000000001</v>
      </c>
      <c r="D773" s="23">
        <f>($B773-$C773)*100</f>
        <v/>
      </c>
    </row>
    <row r="774">
      <c r="A774" s="11" t="n">
        <v>41901</v>
      </c>
      <c r="B774" s="22">
        <f>'JGBCurve'!$C$774</f>
        <v/>
      </c>
      <c r="C774" s="22" t="n">
        <v>0.07000000000000001</v>
      </c>
      <c r="D774" s="23">
        <f>($B774-$C774)*100</f>
        <v/>
      </c>
    </row>
    <row r="775">
      <c r="A775" s="11" t="n">
        <v>41908</v>
      </c>
      <c r="B775" s="22">
        <f>'JGBCurve'!$C$775</f>
        <v/>
      </c>
      <c r="C775" s="22" t="n">
        <v>0.07000000000000001</v>
      </c>
      <c r="D775" s="23">
        <f>($B775-$C775)*100</f>
        <v/>
      </c>
    </row>
    <row r="776">
      <c r="A776" s="11" t="n">
        <v>41915</v>
      </c>
      <c r="B776" s="22">
        <f>'JGBCurve'!$C$776</f>
        <v/>
      </c>
      <c r="C776" s="22" t="n">
        <v>0.06</v>
      </c>
      <c r="D776" s="23">
        <f>($B776-$C776)*100</f>
        <v/>
      </c>
    </row>
    <row r="777">
      <c r="A777" s="11" t="n">
        <v>41922</v>
      </c>
      <c r="B777" s="22">
        <f>'JGBCurve'!$C$777</f>
        <v/>
      </c>
      <c r="C777" s="22" t="n">
        <v>0.06</v>
      </c>
      <c r="D777" s="23">
        <f>($B777-$C777)*100</f>
        <v/>
      </c>
    </row>
    <row r="778">
      <c r="A778" s="11" t="n">
        <v>41929</v>
      </c>
      <c r="B778" s="22">
        <f>'JGBCurve'!$C$778</f>
        <v/>
      </c>
      <c r="C778" s="22" t="n">
        <v>0.06</v>
      </c>
      <c r="D778" s="23">
        <f>($B778-$C778)*100</f>
        <v/>
      </c>
    </row>
    <row r="779">
      <c r="A779" s="11" t="n">
        <v>41936</v>
      </c>
      <c r="B779" s="22">
        <f>'JGBCurve'!$C$779</f>
        <v/>
      </c>
      <c r="C779" s="22" t="n">
        <v>0.06</v>
      </c>
      <c r="D779" s="23">
        <f>($B779-$C779)*100</f>
        <v/>
      </c>
    </row>
    <row r="780">
      <c r="A780" s="11" t="n">
        <v>41943</v>
      </c>
      <c r="B780" s="22">
        <f>'JGBCurve'!$C$780</f>
        <v/>
      </c>
      <c r="C780" s="22" t="n">
        <v>0.06</v>
      </c>
      <c r="D780" s="23">
        <f>($B780-$C780)*100</f>
        <v/>
      </c>
    </row>
    <row r="781">
      <c r="A781" s="11" t="n">
        <v>41950</v>
      </c>
      <c r="B781" s="22">
        <f>'JGBCurve'!$C$781</f>
        <v/>
      </c>
      <c r="C781" s="22" t="n">
        <v>0.06</v>
      </c>
      <c r="D781" s="23">
        <f>($B781-$C781)*100</f>
        <v/>
      </c>
    </row>
    <row r="782">
      <c r="A782" s="11" t="n">
        <v>41957</v>
      </c>
      <c r="B782" s="22">
        <f>'JGBCurve'!$C$782</f>
        <v/>
      </c>
      <c r="C782" s="22" t="n">
        <v>0.06</v>
      </c>
      <c r="D782" s="23">
        <f>($B782-$C782)*100</f>
        <v/>
      </c>
    </row>
    <row r="783">
      <c r="A783" s="11" t="n">
        <v>41964</v>
      </c>
      <c r="B783" s="22">
        <f>'JGBCurve'!$C$783</f>
        <v/>
      </c>
      <c r="C783" s="22" t="n">
        <v>0.06</v>
      </c>
      <c r="D783" s="23">
        <f>($B783-$C783)*100</f>
        <v/>
      </c>
    </row>
    <row r="784">
      <c r="A784" s="11" t="n">
        <v>41971</v>
      </c>
      <c r="B784" s="22">
        <f>'JGBCurve'!$C$784</f>
        <v/>
      </c>
      <c r="C784" s="22" t="n">
        <v>0.06</v>
      </c>
      <c r="D784" s="23">
        <f>($B784-$C784)*100</f>
        <v/>
      </c>
    </row>
    <row r="785">
      <c r="A785" s="11" t="n">
        <v>41978</v>
      </c>
      <c r="B785" s="22">
        <f>'JGBCurve'!$C$785</f>
        <v/>
      </c>
      <c r="C785" s="22" t="n">
        <v>0.07000000000000001</v>
      </c>
      <c r="D785" s="23">
        <f>($B785-$C785)*100</f>
        <v/>
      </c>
    </row>
    <row r="786">
      <c r="A786" s="11" t="n">
        <v>41985</v>
      </c>
      <c r="B786" s="22">
        <f>'JGBCurve'!$C$786</f>
        <v/>
      </c>
      <c r="C786" s="22" t="n">
        <v>0.07000000000000001</v>
      </c>
      <c r="D786" s="23">
        <f>($B786-$C786)*100</f>
        <v/>
      </c>
    </row>
    <row r="787">
      <c r="A787" s="11" t="n">
        <v>41992</v>
      </c>
      <c r="B787" s="22">
        <f>'JGBCurve'!$C$787</f>
        <v/>
      </c>
      <c r="C787" s="22" t="n">
        <v>0.07000000000000001</v>
      </c>
      <c r="D787" s="23">
        <f>($B787-$C787)*100</f>
        <v/>
      </c>
    </row>
    <row r="788">
      <c r="A788" s="11" t="n">
        <v>41999</v>
      </c>
      <c r="B788" s="22">
        <f>'JGBCurve'!$C$788</f>
        <v/>
      </c>
      <c r="C788" s="22" t="n">
        <v>0.07000000000000001</v>
      </c>
      <c r="D788" s="23">
        <f>($B788-$C788)*100</f>
        <v/>
      </c>
    </row>
    <row r="789">
      <c r="A789" s="11" t="n">
        <v>42006</v>
      </c>
      <c r="B789" s="22">
        <f>'JGBCurve'!$C$789</f>
        <v/>
      </c>
      <c r="C789" s="22" t="n">
        <v>0.07000000000000001</v>
      </c>
      <c r="D789" s="23">
        <f>($B789-$C789)*100</f>
        <v/>
      </c>
    </row>
    <row r="790">
      <c r="A790" s="11" t="n">
        <v>42013</v>
      </c>
      <c r="B790" s="22">
        <f>'JGBCurve'!$C$790</f>
        <v/>
      </c>
      <c r="C790" s="22" t="n">
        <v>0.07000000000000001</v>
      </c>
      <c r="D790" s="23">
        <f>($B790-$C790)*100</f>
        <v/>
      </c>
    </row>
    <row r="791">
      <c r="A791" s="11" t="n">
        <v>42020</v>
      </c>
      <c r="B791" s="22">
        <f>'JGBCurve'!$C$791</f>
        <v/>
      </c>
      <c r="C791" s="22" t="n">
        <v>0.07000000000000001</v>
      </c>
      <c r="D791" s="23">
        <f>($B791-$C791)*100</f>
        <v/>
      </c>
    </row>
    <row r="792">
      <c r="A792" s="11" t="n">
        <v>42027</v>
      </c>
      <c r="B792" s="22">
        <f>'JGBCurve'!$C$792</f>
        <v/>
      </c>
      <c r="C792" s="22" t="n">
        <v>0.07000000000000001</v>
      </c>
      <c r="D792" s="23">
        <f>($B792-$C792)*100</f>
        <v/>
      </c>
    </row>
    <row r="793">
      <c r="A793" s="11" t="n">
        <v>42034</v>
      </c>
      <c r="B793" s="22">
        <f>'JGBCurve'!$C$793</f>
        <v/>
      </c>
      <c r="C793" s="22" t="n">
        <v>0.07000000000000001</v>
      </c>
      <c r="D793" s="23">
        <f>($B793-$C793)*100</f>
        <v/>
      </c>
    </row>
    <row r="794">
      <c r="A794" s="11" t="n">
        <v>42041</v>
      </c>
      <c r="B794" s="22">
        <f>'JGBCurve'!$C$794</f>
        <v/>
      </c>
      <c r="C794" s="22" t="n">
        <v>0.08</v>
      </c>
      <c r="D794" s="23">
        <f>($B794-$C794)*100</f>
        <v/>
      </c>
    </row>
    <row r="795">
      <c r="A795" s="11" t="n">
        <v>42048</v>
      </c>
      <c r="B795" s="22">
        <f>'JGBCurve'!$C$795</f>
        <v/>
      </c>
      <c r="C795" s="22" t="n">
        <v>0.08</v>
      </c>
      <c r="D795" s="23">
        <f>($B795-$C795)*100</f>
        <v/>
      </c>
    </row>
    <row r="796">
      <c r="A796" s="11" t="n">
        <v>42055</v>
      </c>
      <c r="B796" s="22">
        <f>'JGBCurve'!$C$796</f>
        <v/>
      </c>
      <c r="C796" s="22" t="n">
        <v>0.08</v>
      </c>
      <c r="D796" s="23">
        <f>($B796-$C796)*100</f>
        <v/>
      </c>
    </row>
    <row r="797">
      <c r="A797" s="11" t="n">
        <v>42062</v>
      </c>
      <c r="B797" s="22">
        <f>'JGBCurve'!$C$797</f>
        <v/>
      </c>
      <c r="C797" s="22" t="n">
        <v>0.08</v>
      </c>
      <c r="D797" s="23">
        <f>($B797-$C797)*100</f>
        <v/>
      </c>
    </row>
    <row r="798">
      <c r="A798" s="11" t="n">
        <v>42069</v>
      </c>
      <c r="B798" s="22">
        <f>'JGBCurve'!$C$798</f>
        <v/>
      </c>
      <c r="C798" s="22" t="n">
        <v>0.07000000000000001</v>
      </c>
      <c r="D798" s="23">
        <f>($B798-$C798)*100</f>
        <v/>
      </c>
    </row>
    <row r="799">
      <c r="A799" s="11" t="n">
        <v>42076</v>
      </c>
      <c r="B799" s="22">
        <f>'JGBCurve'!$C$799</f>
        <v/>
      </c>
      <c r="C799" s="22" t="n">
        <v>0.07000000000000001</v>
      </c>
      <c r="D799" s="23">
        <f>($B799-$C799)*100</f>
        <v/>
      </c>
    </row>
    <row r="800">
      <c r="A800" s="11" t="n">
        <v>42083</v>
      </c>
      <c r="B800" s="22">
        <f>'JGBCurve'!$C$800</f>
        <v/>
      </c>
      <c r="C800" s="22" t="n">
        <v>0.07000000000000001</v>
      </c>
      <c r="D800" s="23">
        <f>($B800-$C800)*100</f>
        <v/>
      </c>
    </row>
    <row r="801">
      <c r="A801" s="11" t="n">
        <v>42090</v>
      </c>
      <c r="B801" s="22">
        <f>'JGBCurve'!$C$801</f>
        <v/>
      </c>
      <c r="C801" s="22" t="n">
        <v>0.07000000000000001</v>
      </c>
      <c r="D801" s="23">
        <f>($B801-$C801)*100</f>
        <v/>
      </c>
    </row>
    <row r="802">
      <c r="A802" s="11" t="n">
        <v>42097</v>
      </c>
      <c r="B802" s="22">
        <f>'JGBCurve'!$C$802</f>
        <v/>
      </c>
      <c r="C802" s="22" t="n">
        <v>0.06</v>
      </c>
      <c r="D802" s="23">
        <f>($B802-$C802)*100</f>
        <v/>
      </c>
    </row>
    <row r="803">
      <c r="A803" s="11" t="n">
        <v>42104</v>
      </c>
      <c r="B803" s="22">
        <f>'JGBCurve'!$C$803</f>
        <v/>
      </c>
      <c r="C803" s="22" t="n">
        <v>0.06</v>
      </c>
      <c r="D803" s="23">
        <f>($B803-$C803)*100</f>
        <v/>
      </c>
    </row>
    <row r="804">
      <c r="A804" s="11" t="n">
        <v>42111</v>
      </c>
      <c r="B804" s="22">
        <f>'JGBCurve'!$C$804</f>
        <v/>
      </c>
      <c r="C804" s="22" t="n">
        <v>0.06</v>
      </c>
      <c r="D804" s="23">
        <f>($B804-$C804)*100</f>
        <v/>
      </c>
    </row>
    <row r="805">
      <c r="A805" s="11" t="n">
        <v>42118</v>
      </c>
      <c r="B805" s="22">
        <f>'JGBCurve'!$C$805</f>
        <v/>
      </c>
      <c r="C805" s="22" t="n">
        <v>0.06</v>
      </c>
      <c r="D805" s="23">
        <f>($B805-$C805)*100</f>
        <v/>
      </c>
    </row>
    <row r="806">
      <c r="A806" s="11" t="n">
        <v>42125</v>
      </c>
      <c r="B806" s="22">
        <f>'JGBCurve'!$C$806</f>
        <v/>
      </c>
      <c r="C806" s="22" t="n">
        <v>0.07000000000000001</v>
      </c>
      <c r="D806" s="23">
        <f>($B806-$C806)*100</f>
        <v/>
      </c>
    </row>
    <row r="807">
      <c r="A807" s="11" t="n">
        <v>42132</v>
      </c>
      <c r="B807" s="22">
        <f>'JGBCurve'!$C$807</f>
        <v/>
      </c>
      <c r="C807" s="22" t="n">
        <v>0.07000000000000001</v>
      </c>
      <c r="D807" s="23">
        <f>($B807-$C807)*100</f>
        <v/>
      </c>
    </row>
    <row r="808">
      <c r="A808" s="11" t="n">
        <v>42139</v>
      </c>
      <c r="B808" s="22">
        <f>'JGBCurve'!$C$808</f>
        <v/>
      </c>
      <c r="C808" s="22" t="n">
        <v>0.07000000000000001</v>
      </c>
      <c r="D808" s="23">
        <f>($B808-$C808)*100</f>
        <v/>
      </c>
    </row>
    <row r="809">
      <c r="A809" s="11" t="n">
        <v>42146</v>
      </c>
      <c r="B809" s="22">
        <f>'JGBCurve'!$C$809</f>
        <v/>
      </c>
      <c r="C809" s="22" t="n">
        <v>0.07000000000000001</v>
      </c>
      <c r="D809" s="23">
        <f>($B809-$C809)*100</f>
        <v/>
      </c>
    </row>
    <row r="810">
      <c r="A810" s="11" t="n">
        <v>42153</v>
      </c>
      <c r="B810" s="22">
        <f>'JGBCurve'!$C$810</f>
        <v/>
      </c>
      <c r="C810" s="22" t="n">
        <v>0.07000000000000001</v>
      </c>
      <c r="D810" s="23">
        <f>($B810-$C810)*100</f>
        <v/>
      </c>
    </row>
    <row r="811">
      <c r="A811" s="11" t="n">
        <v>42160</v>
      </c>
      <c r="B811" s="22">
        <f>'JGBCurve'!$C$811</f>
        <v/>
      </c>
      <c r="C811" s="22" t="n">
        <v>0.07000000000000001</v>
      </c>
      <c r="D811" s="23">
        <f>($B811-$C811)*100</f>
        <v/>
      </c>
    </row>
    <row r="812">
      <c r="A812" s="11" t="n">
        <v>42167</v>
      </c>
      <c r="B812" s="22">
        <f>'JGBCurve'!$C$812</f>
        <v/>
      </c>
      <c r="C812" s="22" t="n">
        <v>0.07000000000000001</v>
      </c>
      <c r="D812" s="23">
        <f>($B812-$C812)*100</f>
        <v/>
      </c>
    </row>
    <row r="813">
      <c r="A813" s="11" t="n">
        <v>42174</v>
      </c>
      <c r="B813" s="22">
        <f>'JGBCurve'!$C$813</f>
        <v/>
      </c>
      <c r="C813" s="22" t="n">
        <v>0.07000000000000001</v>
      </c>
      <c r="D813" s="23">
        <f>($B813-$C813)*100</f>
        <v/>
      </c>
    </row>
    <row r="814">
      <c r="A814" s="11" t="n">
        <v>42181</v>
      </c>
      <c r="B814" s="22">
        <f>'JGBCurve'!$C$814</f>
        <v/>
      </c>
      <c r="C814" s="22" t="n">
        <v>0.07000000000000001</v>
      </c>
      <c r="D814" s="23">
        <f>($B814-$C814)*100</f>
        <v/>
      </c>
    </row>
    <row r="815">
      <c r="A815" s="11" t="n">
        <v>42188</v>
      </c>
      <c r="B815" s="22">
        <f>'JGBCurve'!$C$815</f>
        <v/>
      </c>
      <c r="C815" s="22" t="n">
        <v>0.07000000000000001</v>
      </c>
      <c r="D815" s="23">
        <f>($B815-$C815)*100</f>
        <v/>
      </c>
    </row>
    <row r="816">
      <c r="A816" s="11" t="n">
        <v>42195</v>
      </c>
      <c r="B816" s="22">
        <f>'JGBCurve'!$C$816</f>
        <v/>
      </c>
      <c r="C816" s="22" t="n">
        <v>0.07000000000000001</v>
      </c>
      <c r="D816" s="23">
        <f>($B816-$C816)*100</f>
        <v/>
      </c>
    </row>
    <row r="817">
      <c r="A817" s="11" t="n">
        <v>42202</v>
      </c>
      <c r="B817" s="22">
        <f>'JGBCurve'!$C$817</f>
        <v/>
      </c>
      <c r="C817" s="22" t="n">
        <v>0.07000000000000001</v>
      </c>
      <c r="D817" s="23">
        <f>($B817-$C817)*100</f>
        <v/>
      </c>
    </row>
    <row r="818">
      <c r="A818" s="11" t="n">
        <v>42209</v>
      </c>
      <c r="B818" s="22">
        <f>'JGBCurve'!$C$818</f>
        <v/>
      </c>
      <c r="C818" s="22" t="n">
        <v>0.07000000000000001</v>
      </c>
      <c r="D818" s="23">
        <f>($B818-$C818)*100</f>
        <v/>
      </c>
    </row>
    <row r="819">
      <c r="A819" s="11" t="n">
        <v>42216</v>
      </c>
      <c r="B819" s="22">
        <f>'JGBCurve'!$C$819</f>
        <v/>
      </c>
      <c r="C819" s="22" t="n">
        <v>0.07000000000000001</v>
      </c>
      <c r="D819" s="23">
        <f>($B819-$C819)*100</f>
        <v/>
      </c>
    </row>
    <row r="820">
      <c r="A820" s="11" t="n">
        <v>42223</v>
      </c>
      <c r="B820" s="22">
        <f>'JGBCurve'!$C$820</f>
        <v/>
      </c>
      <c r="C820" s="22" t="n">
        <v>0.08</v>
      </c>
      <c r="D820" s="23">
        <f>($B820-$C820)*100</f>
        <v/>
      </c>
    </row>
    <row r="821">
      <c r="A821" s="11" t="n">
        <v>42230</v>
      </c>
      <c r="B821" s="22">
        <f>'JGBCurve'!$C$821</f>
        <v/>
      </c>
      <c r="C821" s="22" t="n">
        <v>0.08</v>
      </c>
      <c r="D821" s="23">
        <f>($B821-$C821)*100</f>
        <v/>
      </c>
    </row>
    <row r="822">
      <c r="A822" s="11" t="n">
        <v>42237</v>
      </c>
      <c r="B822" s="22">
        <f>'JGBCurve'!$C$822</f>
        <v/>
      </c>
      <c r="C822" s="22" t="n">
        <v>0.08</v>
      </c>
      <c r="D822" s="23">
        <f>($B822-$C822)*100</f>
        <v/>
      </c>
    </row>
    <row r="823">
      <c r="A823" s="11" t="n">
        <v>42244</v>
      </c>
      <c r="B823" s="22">
        <f>'JGBCurve'!$C$823</f>
        <v/>
      </c>
      <c r="C823" s="22" t="n">
        <v>0.08</v>
      </c>
      <c r="D823" s="23">
        <f>($B823-$C823)*100</f>
        <v/>
      </c>
    </row>
    <row r="824">
      <c r="A824" s="11" t="n">
        <v>42251</v>
      </c>
      <c r="B824" s="22">
        <f>'JGBCurve'!$C$824</f>
        <v/>
      </c>
      <c r="C824" s="22" t="n">
        <v>0.07000000000000001</v>
      </c>
      <c r="D824" s="23">
        <f>($B824-$C824)*100</f>
        <v/>
      </c>
    </row>
    <row r="825">
      <c r="A825" s="11" t="n">
        <v>42258</v>
      </c>
      <c r="B825" s="22">
        <f>'JGBCurve'!$C$825</f>
        <v/>
      </c>
      <c r="C825" s="22" t="n">
        <v>0.07000000000000001</v>
      </c>
      <c r="D825" s="23">
        <f>($B825-$C825)*100</f>
        <v/>
      </c>
    </row>
    <row r="826">
      <c r="A826" s="11" t="n">
        <v>42265</v>
      </c>
      <c r="B826" s="22">
        <f>'JGBCurve'!$C$826</f>
        <v/>
      </c>
      <c r="C826" s="22" t="n">
        <v>0.07000000000000001</v>
      </c>
      <c r="D826" s="23">
        <f>($B826-$C826)*100</f>
        <v/>
      </c>
    </row>
    <row r="827">
      <c r="A827" s="11" t="n">
        <v>42272</v>
      </c>
      <c r="B827" s="22">
        <f>'JGBCurve'!$C$827</f>
        <v/>
      </c>
      <c r="C827" s="22" t="n">
        <v>0.07000000000000001</v>
      </c>
      <c r="D827" s="23">
        <f>($B827-$C827)*100</f>
        <v/>
      </c>
    </row>
    <row r="828">
      <c r="A828" s="11" t="n">
        <v>42279</v>
      </c>
      <c r="B828" s="22">
        <f>'JGBCurve'!$C$828</f>
        <v/>
      </c>
      <c r="C828" s="22" t="n">
        <v>0.08</v>
      </c>
      <c r="D828" s="23">
        <f>($B828-$C828)*100</f>
        <v/>
      </c>
    </row>
    <row r="829">
      <c r="A829" s="11" t="n">
        <v>42286</v>
      </c>
      <c r="B829" s="22">
        <f>'JGBCurve'!$C$829</f>
        <v/>
      </c>
      <c r="C829" s="22" t="n">
        <v>0.08</v>
      </c>
      <c r="D829" s="23">
        <f>($B829-$C829)*100</f>
        <v/>
      </c>
    </row>
    <row r="830">
      <c r="A830" s="11" t="n">
        <v>42293</v>
      </c>
      <c r="B830" s="22">
        <f>'JGBCurve'!$C$830</f>
        <v/>
      </c>
      <c r="C830" s="22" t="n">
        <v>0.08</v>
      </c>
      <c r="D830" s="23">
        <f>($B830-$C830)*100</f>
        <v/>
      </c>
    </row>
    <row r="831">
      <c r="A831" s="11" t="n">
        <v>42300</v>
      </c>
      <c r="B831" s="22">
        <f>'JGBCurve'!$C$831</f>
        <v/>
      </c>
      <c r="C831" s="22" t="n">
        <v>0.08</v>
      </c>
      <c r="D831" s="23">
        <f>($B831-$C831)*100</f>
        <v/>
      </c>
    </row>
    <row r="832">
      <c r="A832" s="11" t="n">
        <v>42307</v>
      </c>
      <c r="B832" s="22">
        <f>'JGBCurve'!$C$832</f>
        <v/>
      </c>
      <c r="C832" s="22" t="n">
        <v>0.08</v>
      </c>
      <c r="D832" s="23">
        <f>($B832-$C832)*100</f>
        <v/>
      </c>
    </row>
    <row r="833">
      <c r="A833" s="11" t="n">
        <v>42314</v>
      </c>
      <c r="B833" s="22">
        <f>'JGBCurve'!$C$833</f>
        <v/>
      </c>
      <c r="C833" s="22" t="n">
        <v>0.08</v>
      </c>
      <c r="D833" s="23">
        <f>($B833-$C833)*100</f>
        <v/>
      </c>
    </row>
    <row r="834">
      <c r="A834" s="11" t="n">
        <v>42321</v>
      </c>
      <c r="B834" s="22">
        <f>'JGBCurve'!$C$834</f>
        <v/>
      </c>
      <c r="C834" s="22" t="n">
        <v>0.08</v>
      </c>
      <c r="D834" s="23">
        <f>($B834-$C834)*100</f>
        <v/>
      </c>
    </row>
    <row r="835">
      <c r="A835" s="11" t="n">
        <v>42328</v>
      </c>
      <c r="B835" s="22">
        <f>'JGBCurve'!$C$835</f>
        <v/>
      </c>
      <c r="C835" s="22" t="n">
        <v>0.08</v>
      </c>
      <c r="D835" s="23">
        <f>($B835-$C835)*100</f>
        <v/>
      </c>
    </row>
    <row r="836">
      <c r="A836" s="11" t="n">
        <v>42335</v>
      </c>
      <c r="B836" s="22">
        <f>'JGBCurve'!$C$836</f>
        <v/>
      </c>
      <c r="C836" s="22" t="n">
        <v>0.08</v>
      </c>
      <c r="D836" s="23">
        <f>($B836-$C836)*100</f>
        <v/>
      </c>
    </row>
    <row r="837">
      <c r="A837" s="11" t="n">
        <v>42342</v>
      </c>
      <c r="B837" s="22">
        <f>'JGBCurve'!$C$837</f>
        <v/>
      </c>
      <c r="C837" s="22" t="n">
        <v>0.07000000000000001</v>
      </c>
      <c r="D837" s="23">
        <f>($B837-$C837)*100</f>
        <v/>
      </c>
    </row>
    <row r="838">
      <c r="A838" s="11" t="n">
        <v>42349</v>
      </c>
      <c r="B838" s="22">
        <f>'JGBCurve'!$C$838</f>
        <v/>
      </c>
      <c r="C838" s="22" t="n">
        <v>0.07000000000000001</v>
      </c>
      <c r="D838" s="23">
        <f>($B838-$C838)*100</f>
        <v/>
      </c>
    </row>
    <row r="839">
      <c r="A839" s="11" t="n">
        <v>42356</v>
      </c>
      <c r="B839" s="22">
        <f>'JGBCurve'!$C$839</f>
        <v/>
      </c>
      <c r="C839" s="22" t="n">
        <v>0.07000000000000001</v>
      </c>
      <c r="D839" s="23">
        <f>($B839-$C839)*100</f>
        <v/>
      </c>
    </row>
    <row r="840">
      <c r="A840" s="11" t="n">
        <v>42363</v>
      </c>
      <c r="B840" s="22">
        <f>'JGBCurve'!$C$840</f>
        <v/>
      </c>
      <c r="C840" s="22" t="n">
        <v>0.07000000000000001</v>
      </c>
      <c r="D840" s="23">
        <f>($B840-$C840)*100</f>
        <v/>
      </c>
    </row>
    <row r="841">
      <c r="A841" s="11" t="n">
        <v>42370</v>
      </c>
      <c r="B841" s="22">
        <f>'JGBCurve'!$C$841</f>
        <v/>
      </c>
      <c r="C841" s="22" t="n">
        <v>0.07000000000000001</v>
      </c>
      <c r="D841" s="23">
        <f>($B841-$C841)*100</f>
        <v/>
      </c>
    </row>
    <row r="842">
      <c r="A842" s="11" t="n">
        <v>42377</v>
      </c>
      <c r="B842" s="22">
        <f>'JGBCurve'!$C$842</f>
        <v/>
      </c>
      <c r="C842" s="22" t="n">
        <v>0.07000000000000001</v>
      </c>
      <c r="D842" s="23">
        <f>($B842-$C842)*100</f>
        <v/>
      </c>
    </row>
    <row r="843">
      <c r="A843" s="11" t="n">
        <v>42384</v>
      </c>
      <c r="B843" s="22">
        <f>'JGBCurve'!$C$843</f>
        <v/>
      </c>
      <c r="C843" s="22" t="n">
        <v>0.07000000000000001</v>
      </c>
      <c r="D843" s="23">
        <f>($B843-$C843)*100</f>
        <v/>
      </c>
    </row>
    <row r="844">
      <c r="A844" s="11" t="n">
        <v>42391</v>
      </c>
      <c r="B844" s="22">
        <f>'JGBCurve'!$C$844</f>
        <v/>
      </c>
      <c r="C844" s="22" t="n">
        <v>0.07000000000000001</v>
      </c>
      <c r="D844" s="23">
        <f>($B844-$C844)*100</f>
        <v/>
      </c>
    </row>
    <row r="845">
      <c r="A845" s="11" t="n">
        <v>42398</v>
      </c>
      <c r="B845" s="22">
        <f>'JGBCurve'!$C$845</f>
        <v/>
      </c>
      <c r="C845" s="22" t="n">
        <v>0.07000000000000001</v>
      </c>
      <c r="D845" s="23">
        <f>($B845-$C845)*100</f>
        <v/>
      </c>
    </row>
    <row r="846">
      <c r="A846" s="11" t="n">
        <v>42405</v>
      </c>
      <c r="B846" s="22">
        <f>'JGBCurve'!$C$846</f>
        <v/>
      </c>
      <c r="C846" s="22" t="n">
        <v>0.03</v>
      </c>
      <c r="D846" s="23">
        <f>($B846-$C846)*100</f>
        <v/>
      </c>
    </row>
    <row r="847">
      <c r="A847" s="11" t="n">
        <v>42412</v>
      </c>
      <c r="B847" s="22">
        <f>'JGBCurve'!$C$847</f>
        <v/>
      </c>
      <c r="C847" s="22" t="n">
        <v>0.03</v>
      </c>
      <c r="D847" s="23">
        <f>($B847-$C847)*100</f>
        <v/>
      </c>
    </row>
    <row r="848">
      <c r="A848" s="11" t="n">
        <v>42419</v>
      </c>
      <c r="B848" s="22">
        <f>'JGBCurve'!$C$848</f>
        <v/>
      </c>
      <c r="C848" s="22" t="n">
        <v>0.03</v>
      </c>
      <c r="D848" s="23">
        <f>($B848-$C848)*100</f>
        <v/>
      </c>
    </row>
    <row r="849">
      <c r="A849" s="11" t="n">
        <v>42426</v>
      </c>
      <c r="B849" s="22">
        <f>'JGBCurve'!$C$849</f>
        <v/>
      </c>
      <c r="C849" s="22" t="n">
        <v>0.03</v>
      </c>
      <c r="D849" s="23">
        <f>($B849-$C849)*100</f>
        <v/>
      </c>
    </row>
    <row r="850">
      <c r="A850" s="11" t="n">
        <v>42433</v>
      </c>
      <c r="B850" s="22">
        <f>'JGBCurve'!$C$850</f>
        <v/>
      </c>
      <c r="C850" s="22" t="n">
        <v>-0.003</v>
      </c>
      <c r="D850" s="23">
        <f>($B850-$C850)*100</f>
        <v/>
      </c>
    </row>
    <row r="851">
      <c r="A851" s="11" t="n">
        <v>42440</v>
      </c>
      <c r="B851" s="22">
        <f>'JGBCurve'!$C$851</f>
        <v/>
      </c>
      <c r="C851" s="22" t="n">
        <v>-0.003</v>
      </c>
      <c r="D851" s="23">
        <f>($B851-$C851)*100</f>
        <v/>
      </c>
    </row>
    <row r="852">
      <c r="A852" s="11" t="n">
        <v>42447</v>
      </c>
      <c r="B852" s="22">
        <f>'JGBCurve'!$C$852</f>
        <v/>
      </c>
      <c r="C852" s="22" t="n">
        <v>-0.003</v>
      </c>
      <c r="D852" s="23">
        <f>($B852-$C852)*100</f>
        <v/>
      </c>
    </row>
    <row r="853">
      <c r="A853" s="11" t="n">
        <v>42454</v>
      </c>
      <c r="B853" s="22">
        <f>'JGBCurve'!$C$853</f>
        <v/>
      </c>
      <c r="C853" s="22" t="n">
        <v>-0.003</v>
      </c>
      <c r="D853" s="23">
        <f>($B853-$C853)*100</f>
        <v/>
      </c>
    </row>
    <row r="854">
      <c r="A854" s="11" t="n">
        <v>42461</v>
      </c>
      <c r="B854" s="22">
        <f>'JGBCurve'!$C$854</f>
        <v/>
      </c>
      <c r="C854" s="22" t="n">
        <v>-0.036</v>
      </c>
      <c r="D854" s="23">
        <f>($B854-$C854)*100</f>
        <v/>
      </c>
    </row>
    <row r="855">
      <c r="A855" s="11" t="n">
        <v>42468</v>
      </c>
      <c r="B855" s="22">
        <f>'JGBCurve'!$C$855</f>
        <v/>
      </c>
      <c r="C855" s="22" t="n">
        <v>-0.036</v>
      </c>
      <c r="D855" s="23">
        <f>($B855-$C855)*100</f>
        <v/>
      </c>
    </row>
    <row r="856">
      <c r="A856" s="11" t="n">
        <v>42475</v>
      </c>
      <c r="B856" s="22">
        <f>'JGBCurve'!$C$856</f>
        <v/>
      </c>
      <c r="C856" s="22" t="n">
        <v>-0.036</v>
      </c>
      <c r="D856" s="23">
        <f>($B856-$C856)*100</f>
        <v/>
      </c>
    </row>
    <row r="857">
      <c r="A857" s="11" t="n">
        <v>42482</v>
      </c>
      <c r="B857" s="22">
        <f>'JGBCurve'!$C$857</f>
        <v/>
      </c>
      <c r="C857" s="22" t="n">
        <v>-0.036</v>
      </c>
      <c r="D857" s="23">
        <f>($B857-$C857)*100</f>
        <v/>
      </c>
    </row>
    <row r="858">
      <c r="A858" s="11" t="n">
        <v>42489</v>
      </c>
      <c r="B858" s="22">
        <f>'JGBCurve'!$C$858</f>
        <v/>
      </c>
      <c r="C858" s="22" t="n">
        <v>-0.036</v>
      </c>
      <c r="D858" s="23">
        <f>($B858-$C858)*100</f>
        <v/>
      </c>
    </row>
    <row r="859">
      <c r="A859" s="11" t="n">
        <v>42496</v>
      </c>
      <c r="B859" s="22">
        <f>'JGBCurve'!$C$859</f>
        <v/>
      </c>
      <c r="C859" s="22" t="n">
        <v>-0.059</v>
      </c>
      <c r="D859" s="23">
        <f>($B859-$C859)*100</f>
        <v/>
      </c>
    </row>
    <row r="860">
      <c r="A860" s="11" t="n">
        <v>42503</v>
      </c>
      <c r="B860" s="22">
        <f>'JGBCurve'!$C$860</f>
        <v/>
      </c>
      <c r="C860" s="22" t="n">
        <v>-0.059</v>
      </c>
      <c r="D860" s="23">
        <f>($B860-$C860)*100</f>
        <v/>
      </c>
    </row>
    <row r="861">
      <c r="A861" s="11" t="n">
        <v>42510</v>
      </c>
      <c r="B861" s="22">
        <f>'JGBCurve'!$C$861</f>
        <v/>
      </c>
      <c r="C861" s="22" t="n">
        <v>-0.059</v>
      </c>
      <c r="D861" s="23">
        <f>($B861-$C861)*100</f>
        <v/>
      </c>
    </row>
    <row r="862">
      <c r="A862" s="11" t="n">
        <v>42517</v>
      </c>
      <c r="B862" s="22">
        <f>'JGBCurve'!$C$862</f>
        <v/>
      </c>
      <c r="C862" s="22" t="n">
        <v>-0.059</v>
      </c>
      <c r="D862" s="23">
        <f>($B862-$C862)*100</f>
        <v/>
      </c>
    </row>
    <row r="863">
      <c r="A863" s="11" t="n">
        <v>42524</v>
      </c>
      <c r="B863" s="22">
        <f>'JGBCurve'!$C$863</f>
        <v/>
      </c>
      <c r="C863" s="22" t="n">
        <v>-0.055</v>
      </c>
      <c r="D863" s="23">
        <f>($B863-$C863)*100</f>
        <v/>
      </c>
    </row>
    <row r="864">
      <c r="A864" s="11" t="n">
        <v>42531</v>
      </c>
      <c r="B864" s="22">
        <f>'JGBCurve'!$C$864</f>
        <v/>
      </c>
      <c r="C864" s="22" t="n">
        <v>-0.055</v>
      </c>
      <c r="D864" s="23">
        <f>($B864-$C864)*100</f>
        <v/>
      </c>
    </row>
    <row r="865">
      <c r="A865" s="11" t="n">
        <v>42538</v>
      </c>
      <c r="B865" s="22">
        <f>'JGBCurve'!$C$865</f>
        <v/>
      </c>
      <c r="C865" s="22" t="n">
        <v>-0.055</v>
      </c>
      <c r="D865" s="23">
        <f>($B865-$C865)*100</f>
        <v/>
      </c>
    </row>
    <row r="866">
      <c r="A866" s="11" t="n">
        <v>42545</v>
      </c>
      <c r="B866" s="22">
        <f>'JGBCurve'!$C$866</f>
        <v/>
      </c>
      <c r="C866" s="22" t="n">
        <v>-0.055</v>
      </c>
      <c r="D866" s="23">
        <f>($B866-$C866)*100</f>
        <v/>
      </c>
    </row>
    <row r="867">
      <c r="A867" s="11" t="n">
        <v>42552</v>
      </c>
      <c r="B867" s="22">
        <f>'JGBCurve'!$C$867</f>
        <v/>
      </c>
      <c r="C867" s="22" t="n">
        <v>-0.043</v>
      </c>
      <c r="D867" s="23">
        <f>($B867-$C867)*100</f>
        <v/>
      </c>
    </row>
    <row r="868">
      <c r="A868" s="11" t="n">
        <v>42559</v>
      </c>
      <c r="B868" s="22">
        <f>'JGBCurve'!$C$868</f>
        <v/>
      </c>
      <c r="C868" s="22" t="n">
        <v>-0.043</v>
      </c>
      <c r="D868" s="23">
        <f>($B868-$C868)*100</f>
        <v/>
      </c>
    </row>
    <row r="869">
      <c r="A869" s="11" t="n">
        <v>42566</v>
      </c>
      <c r="B869" s="22">
        <f>'JGBCurve'!$C$869</f>
        <v/>
      </c>
      <c r="C869" s="22" t="n">
        <v>-0.043</v>
      </c>
      <c r="D869" s="23">
        <f>($B869-$C869)*100</f>
        <v/>
      </c>
    </row>
    <row r="870">
      <c r="A870" s="11" t="n">
        <v>42573</v>
      </c>
      <c r="B870" s="22">
        <f>'JGBCurve'!$C$870</f>
        <v/>
      </c>
      <c r="C870" s="22" t="n">
        <v>-0.043</v>
      </c>
      <c r="D870" s="23">
        <f>($B870-$C870)*100</f>
        <v/>
      </c>
    </row>
    <row r="871">
      <c r="A871" s="11" t="n">
        <v>42580</v>
      </c>
      <c r="B871" s="22">
        <f>'JGBCurve'!$C$871</f>
        <v/>
      </c>
      <c r="C871" s="22" t="n">
        <v>-0.043</v>
      </c>
      <c r="D871" s="23">
        <f>($B871-$C871)*100</f>
        <v/>
      </c>
    </row>
    <row r="872">
      <c r="A872" s="11" t="n">
        <v>42587</v>
      </c>
      <c r="B872" s="22">
        <f>'JGBCurve'!$C$872</f>
        <v/>
      </c>
      <c r="C872" s="22" t="n">
        <v>-0.043</v>
      </c>
      <c r="D872" s="23">
        <f>($B872-$C872)*100</f>
        <v/>
      </c>
    </row>
    <row r="873">
      <c r="A873" s="11" t="n">
        <v>42594</v>
      </c>
      <c r="B873" s="22">
        <f>'JGBCurve'!$C$873</f>
        <v/>
      </c>
      <c r="C873" s="22" t="n">
        <v>-0.043</v>
      </c>
      <c r="D873" s="23">
        <f>($B873-$C873)*100</f>
        <v/>
      </c>
    </row>
    <row r="874">
      <c r="A874" s="11" t="n">
        <v>42601</v>
      </c>
      <c r="B874" s="22">
        <f>'JGBCurve'!$C$874</f>
        <v/>
      </c>
      <c r="C874" s="22" t="n">
        <v>-0.043</v>
      </c>
      <c r="D874" s="23">
        <f>($B874-$C874)*100</f>
        <v/>
      </c>
    </row>
    <row r="875">
      <c r="A875" s="11" t="n">
        <v>42608</v>
      </c>
      <c r="B875" s="22">
        <f>'JGBCurve'!$C$875</f>
        <v/>
      </c>
      <c r="C875" s="22" t="n">
        <v>-0.043</v>
      </c>
      <c r="D875" s="23">
        <f>($B875-$C875)*100</f>
        <v/>
      </c>
    </row>
    <row r="876">
      <c r="A876" s="11" t="n">
        <v>42615</v>
      </c>
      <c r="B876" s="22">
        <f>'JGBCurve'!$C$876</f>
        <v/>
      </c>
      <c r="C876" s="22" t="n">
        <v>-0.052</v>
      </c>
      <c r="D876" s="23">
        <f>($B876-$C876)*100</f>
        <v/>
      </c>
    </row>
    <row r="877">
      <c r="A877" s="11" t="n">
        <v>42622</v>
      </c>
      <c r="B877" s="22">
        <f>'JGBCurve'!$C$877</f>
        <v/>
      </c>
      <c r="C877" s="22" t="n">
        <v>-0.052</v>
      </c>
      <c r="D877" s="23">
        <f>($B877-$C877)*100</f>
        <v/>
      </c>
    </row>
    <row r="878">
      <c r="A878" s="11" t="n">
        <v>42629</v>
      </c>
      <c r="B878" s="22">
        <f>'JGBCurve'!$C$878</f>
        <v/>
      </c>
      <c r="C878" s="22" t="n">
        <v>-0.052</v>
      </c>
      <c r="D878" s="23">
        <f>($B878-$C878)*100</f>
        <v/>
      </c>
    </row>
    <row r="879">
      <c r="A879" s="11" t="n">
        <v>42636</v>
      </c>
      <c r="B879" s="22">
        <f>'JGBCurve'!$C$879</f>
        <v/>
      </c>
      <c r="C879" s="22" t="n">
        <v>-0.052</v>
      </c>
      <c r="D879" s="23">
        <f>($B879-$C879)*100</f>
        <v/>
      </c>
    </row>
    <row r="880">
      <c r="A880" s="11" t="n">
        <v>42643</v>
      </c>
      <c r="B880" s="22">
        <f>'JGBCurve'!$C$880</f>
        <v/>
      </c>
      <c r="C880" s="22" t="n">
        <v>-0.052</v>
      </c>
      <c r="D880" s="23">
        <f>($B880-$C880)*100</f>
        <v/>
      </c>
    </row>
    <row r="881">
      <c r="A881" s="11" t="n">
        <v>42650</v>
      </c>
      <c r="B881" s="22">
        <f>'JGBCurve'!$C$881</f>
        <v/>
      </c>
      <c r="C881" s="22" t="n">
        <v>-0.037</v>
      </c>
      <c r="D881" s="23">
        <f>($B881-$C881)*100</f>
        <v/>
      </c>
    </row>
    <row r="882">
      <c r="A882" s="11" t="n">
        <v>42657</v>
      </c>
      <c r="B882" s="22">
        <f>'JGBCurve'!$C$882</f>
        <v/>
      </c>
      <c r="C882" s="22" t="n">
        <v>-0.037</v>
      </c>
      <c r="D882" s="23">
        <f>($B882-$C882)*100</f>
        <v/>
      </c>
    </row>
    <row r="883">
      <c r="A883" s="11" t="n">
        <v>42664</v>
      </c>
      <c r="B883" s="22">
        <f>'JGBCurve'!$C$883</f>
        <v/>
      </c>
      <c r="C883" s="22" t="n">
        <v>-0.037</v>
      </c>
      <c r="D883" s="23">
        <f>($B883-$C883)*100</f>
        <v/>
      </c>
    </row>
    <row r="884">
      <c r="A884" s="11" t="n">
        <v>42671</v>
      </c>
      <c r="B884" s="22">
        <f>'JGBCurve'!$C$884</f>
        <v/>
      </c>
      <c r="C884" s="22" t="n">
        <v>-0.037</v>
      </c>
      <c r="D884" s="23">
        <f>($B884-$C884)*100</f>
        <v/>
      </c>
    </row>
    <row r="885">
      <c r="A885" s="11" t="n">
        <v>42678</v>
      </c>
      <c r="B885" s="22">
        <f>'JGBCurve'!$C$885</f>
        <v/>
      </c>
      <c r="C885" s="22" t="n">
        <v>-0.049</v>
      </c>
      <c r="D885" s="23">
        <f>($B885-$C885)*100</f>
        <v/>
      </c>
    </row>
    <row r="886">
      <c r="A886" s="11" t="n">
        <v>42685</v>
      </c>
      <c r="B886" s="22">
        <f>'JGBCurve'!$C$886</f>
        <v/>
      </c>
      <c r="C886" s="22" t="n">
        <v>-0.049</v>
      </c>
      <c r="D886" s="23">
        <f>($B886-$C886)*100</f>
        <v/>
      </c>
    </row>
    <row r="887">
      <c r="A887" s="11" t="n">
        <v>42692</v>
      </c>
      <c r="B887" s="22">
        <f>'JGBCurve'!$C$887</f>
        <v/>
      </c>
      <c r="C887" s="22" t="n">
        <v>-0.049</v>
      </c>
      <c r="D887" s="23">
        <f>($B887-$C887)*100</f>
        <v/>
      </c>
    </row>
    <row r="888">
      <c r="A888" s="11" t="n">
        <v>42699</v>
      </c>
      <c r="B888" s="22">
        <f>'JGBCurve'!$C$888</f>
        <v/>
      </c>
      <c r="C888" s="22" t="n">
        <v>-0.049</v>
      </c>
      <c r="D888" s="23">
        <f>($B888-$C888)*100</f>
        <v/>
      </c>
    </row>
    <row r="889">
      <c r="A889" s="11" t="n">
        <v>42706</v>
      </c>
      <c r="B889" s="22">
        <f>'JGBCurve'!$C$889</f>
        <v/>
      </c>
      <c r="C889" s="22" t="n">
        <v>-0.044</v>
      </c>
      <c r="D889" s="23">
        <f>($B889-$C889)*100</f>
        <v/>
      </c>
    </row>
    <row r="890">
      <c r="A890" s="11" t="n">
        <v>42713</v>
      </c>
      <c r="B890" s="22">
        <f>'JGBCurve'!$C$890</f>
        <v/>
      </c>
      <c r="C890" s="22" t="n">
        <v>-0.044</v>
      </c>
      <c r="D890" s="23">
        <f>($B890-$C890)*100</f>
        <v/>
      </c>
    </row>
    <row r="891">
      <c r="A891" s="11" t="n">
        <v>42720</v>
      </c>
      <c r="B891" s="22">
        <f>'JGBCurve'!$C$891</f>
        <v/>
      </c>
      <c r="C891" s="22" t="n">
        <v>-0.044</v>
      </c>
      <c r="D891" s="23">
        <f>($B891-$C891)*100</f>
        <v/>
      </c>
    </row>
    <row r="892">
      <c r="A892" s="11" t="n">
        <v>42727</v>
      </c>
      <c r="B892" s="22">
        <f>'JGBCurve'!$C$892</f>
        <v/>
      </c>
      <c r="C892" s="22" t="n">
        <v>-0.044</v>
      </c>
      <c r="D892" s="23">
        <f>($B892-$C892)*100</f>
        <v/>
      </c>
    </row>
    <row r="893">
      <c r="A893" s="11" t="n">
        <v>42734</v>
      </c>
      <c r="B893" s="22">
        <f>'JGBCurve'!$C$893</f>
        <v/>
      </c>
      <c r="C893" s="22" t="n">
        <v>-0.044</v>
      </c>
      <c r="D893" s="23">
        <f>($B893-$C893)*100</f>
        <v/>
      </c>
    </row>
    <row r="894">
      <c r="A894" s="11" t="n">
        <v>42741</v>
      </c>
      <c r="B894" s="22">
        <f>'JGBCurve'!$C$894</f>
        <v/>
      </c>
      <c r="C894" s="22" t="n">
        <v>-0.045</v>
      </c>
      <c r="D894" s="23">
        <f>($B894-$C894)*100</f>
        <v/>
      </c>
    </row>
    <row r="895">
      <c r="A895" s="11" t="n">
        <v>42748</v>
      </c>
      <c r="B895" s="22">
        <f>'JGBCurve'!$C$895</f>
        <v/>
      </c>
      <c r="C895" s="22" t="n">
        <v>-0.045</v>
      </c>
      <c r="D895" s="23">
        <f>($B895-$C895)*100</f>
        <v/>
      </c>
    </row>
    <row r="896">
      <c r="A896" s="11" t="n">
        <v>42755</v>
      </c>
      <c r="B896" s="22">
        <f>'JGBCurve'!$C$896</f>
        <v/>
      </c>
      <c r="C896" s="22" t="n">
        <v>-0.045</v>
      </c>
      <c r="D896" s="23">
        <f>($B896-$C896)*100</f>
        <v/>
      </c>
    </row>
    <row r="897">
      <c r="A897" s="11" t="n">
        <v>42762</v>
      </c>
      <c r="B897" s="22">
        <f>'JGBCurve'!$C$897</f>
        <v/>
      </c>
      <c r="C897" s="22" t="n">
        <v>-0.045</v>
      </c>
      <c r="D897" s="23">
        <f>($B897-$C897)*100</f>
        <v/>
      </c>
    </row>
    <row r="898">
      <c r="A898" s="11" t="n">
        <v>42769</v>
      </c>
      <c r="B898" s="22">
        <f>'JGBCurve'!$C$898</f>
        <v/>
      </c>
      <c r="C898" s="22" t="n">
        <v>-0.038</v>
      </c>
      <c r="D898" s="23">
        <f>($B898-$C898)*100</f>
        <v/>
      </c>
    </row>
    <row r="899">
      <c r="A899" s="11" t="n">
        <v>42776</v>
      </c>
      <c r="B899" s="22">
        <f>'JGBCurve'!$C$899</f>
        <v/>
      </c>
      <c r="C899" s="22" t="n">
        <v>-0.038</v>
      </c>
      <c r="D899" s="23">
        <f>($B899-$C899)*100</f>
        <v/>
      </c>
    </row>
    <row r="900">
      <c r="A900" s="11" t="n">
        <v>42783</v>
      </c>
      <c r="B900" s="22">
        <f>'JGBCurve'!$C$900</f>
        <v/>
      </c>
      <c r="C900" s="22" t="n">
        <v>-0.038</v>
      </c>
      <c r="D900" s="23">
        <f>($B900-$C900)*100</f>
        <v/>
      </c>
    </row>
    <row r="901">
      <c r="A901" s="11" t="n">
        <v>42790</v>
      </c>
      <c r="B901" s="22">
        <f>'JGBCurve'!$C$901</f>
        <v/>
      </c>
      <c r="C901" s="22" t="n">
        <v>-0.038</v>
      </c>
      <c r="D901" s="23">
        <f>($B901-$C901)*100</f>
        <v/>
      </c>
    </row>
    <row r="902">
      <c r="A902" s="11" t="n">
        <v>42797</v>
      </c>
      <c r="B902" s="22">
        <f>'JGBCurve'!$C$902</f>
        <v/>
      </c>
      <c r="C902" s="22" t="n">
        <v>-0.042</v>
      </c>
      <c r="D902" s="23">
        <f>($B902-$C902)*100</f>
        <v/>
      </c>
    </row>
    <row r="903">
      <c r="A903" s="11" t="n">
        <v>42804</v>
      </c>
      <c r="B903" s="22">
        <f>'JGBCurve'!$C$903</f>
        <v/>
      </c>
      <c r="C903" s="22" t="n">
        <v>-0.042</v>
      </c>
      <c r="D903" s="23">
        <f>($B903-$C903)*100</f>
        <v/>
      </c>
    </row>
    <row r="904">
      <c r="A904" s="11" t="n">
        <v>42811</v>
      </c>
      <c r="B904" s="22">
        <f>'JGBCurve'!$C$904</f>
        <v/>
      </c>
      <c r="C904" s="22" t="n">
        <v>-0.042</v>
      </c>
      <c r="D904" s="23">
        <f>($B904-$C904)*100</f>
        <v/>
      </c>
    </row>
    <row r="905">
      <c r="A905" s="11" t="n">
        <v>42818</v>
      </c>
      <c r="B905" s="22">
        <f>'JGBCurve'!$C$905</f>
        <v/>
      </c>
      <c r="C905" s="22" t="n">
        <v>-0.042</v>
      </c>
      <c r="D905" s="23">
        <f>($B905-$C905)*100</f>
        <v/>
      </c>
    </row>
    <row r="906">
      <c r="A906" s="11" t="n">
        <v>42825</v>
      </c>
      <c r="B906" s="22">
        <f>'JGBCurve'!$C$906</f>
        <v/>
      </c>
      <c r="C906" s="22" t="n">
        <v>-0.042</v>
      </c>
      <c r="D906" s="23">
        <f>($B906-$C906)*100</f>
        <v/>
      </c>
    </row>
    <row r="907">
      <c r="A907" s="11" t="n">
        <v>42832</v>
      </c>
      <c r="B907" s="22">
        <f>'JGBCurve'!$C$907</f>
        <v/>
      </c>
      <c r="C907" s="22" t="n">
        <v>-0.054</v>
      </c>
      <c r="D907" s="23">
        <f>($B907-$C907)*100</f>
        <v/>
      </c>
    </row>
    <row r="908">
      <c r="A908" s="11" t="n">
        <v>42839</v>
      </c>
      <c r="B908" s="22">
        <f>'JGBCurve'!$C$908</f>
        <v/>
      </c>
      <c r="C908" s="22" t="n">
        <v>-0.054</v>
      </c>
      <c r="D908" s="23">
        <f>($B908-$C908)*100</f>
        <v/>
      </c>
    </row>
    <row r="909">
      <c r="A909" s="11" t="n">
        <v>42846</v>
      </c>
      <c r="B909" s="22">
        <f>'JGBCurve'!$C$909</f>
        <v/>
      </c>
      <c r="C909" s="22" t="n">
        <v>-0.054</v>
      </c>
      <c r="D909" s="23">
        <f>($B909-$C909)*100</f>
        <v/>
      </c>
    </row>
    <row r="910">
      <c r="A910" s="11" t="n">
        <v>42853</v>
      </c>
      <c r="B910" s="22">
        <f>'JGBCurve'!$C$910</f>
        <v/>
      </c>
      <c r="C910" s="22" t="n">
        <v>-0.054</v>
      </c>
      <c r="D910" s="23">
        <f>($B910-$C910)*100</f>
        <v/>
      </c>
    </row>
    <row r="911">
      <c r="A911" s="11" t="n">
        <v>42860</v>
      </c>
      <c r="B911" s="22">
        <f>'JGBCurve'!$C$911</f>
        <v/>
      </c>
      <c r="C911" s="22" t="n">
        <v>-0.053</v>
      </c>
      <c r="D911" s="23">
        <f>($B911-$C911)*100</f>
        <v/>
      </c>
    </row>
    <row r="912">
      <c r="A912" s="11" t="n">
        <v>42867</v>
      </c>
      <c r="B912" s="22">
        <f>'JGBCurve'!$C$912</f>
        <v/>
      </c>
      <c r="C912" s="22" t="n">
        <v>-0.053</v>
      </c>
      <c r="D912" s="23">
        <f>($B912-$C912)*100</f>
        <v/>
      </c>
    </row>
    <row r="913">
      <c r="A913" s="11" t="n">
        <v>42874</v>
      </c>
      <c r="B913" s="22">
        <f>'JGBCurve'!$C$913</f>
        <v/>
      </c>
      <c r="C913" s="22" t="n">
        <v>-0.053</v>
      </c>
      <c r="D913" s="23">
        <f>($B913-$C913)*100</f>
        <v/>
      </c>
    </row>
    <row r="914">
      <c r="A914" s="11" t="n">
        <v>42881</v>
      </c>
      <c r="B914" s="22">
        <f>'JGBCurve'!$C$914</f>
        <v/>
      </c>
      <c r="C914" s="22" t="n">
        <v>-0.053</v>
      </c>
      <c r="D914" s="23">
        <f>($B914-$C914)*100</f>
        <v/>
      </c>
    </row>
    <row r="915">
      <c r="A915" s="11" t="n">
        <v>42888</v>
      </c>
      <c r="B915" s="22">
        <f>'JGBCurve'!$C$915</f>
        <v/>
      </c>
      <c r="C915" s="22" t="n">
        <v>-0.056</v>
      </c>
      <c r="D915" s="23">
        <f>($B915-$C915)*100</f>
        <v/>
      </c>
    </row>
    <row r="916">
      <c r="A916" s="11" t="n">
        <v>42895</v>
      </c>
      <c r="B916" s="22">
        <f>'JGBCurve'!$C$916</f>
        <v/>
      </c>
      <c r="C916" s="22" t="n">
        <v>-0.056</v>
      </c>
      <c r="D916" s="23">
        <f>($B916-$C916)*100</f>
        <v/>
      </c>
    </row>
    <row r="917">
      <c r="A917" s="11" t="n">
        <v>42902</v>
      </c>
      <c r="B917" s="22">
        <f>'JGBCurve'!$C$917</f>
        <v/>
      </c>
      <c r="C917" s="22" t="n">
        <v>-0.056</v>
      </c>
      <c r="D917" s="23">
        <f>($B917-$C917)*100</f>
        <v/>
      </c>
    </row>
    <row r="918">
      <c r="A918" s="11" t="n">
        <v>42909</v>
      </c>
      <c r="B918" s="22">
        <f>'JGBCurve'!$C$918</f>
        <v/>
      </c>
      <c r="C918" s="22" t="n">
        <v>-0.056</v>
      </c>
      <c r="D918" s="23">
        <f>($B918-$C918)*100</f>
        <v/>
      </c>
    </row>
    <row r="919">
      <c r="A919" s="11" t="n">
        <v>42916</v>
      </c>
      <c r="B919" s="22">
        <f>'JGBCurve'!$C$919</f>
        <v/>
      </c>
      <c r="C919" s="22" t="n">
        <v>-0.056</v>
      </c>
      <c r="D919" s="23">
        <f>($B919-$C919)*100</f>
        <v/>
      </c>
    </row>
    <row r="920">
      <c r="A920" s="11" t="n">
        <v>42923</v>
      </c>
      <c r="B920" s="22">
        <f>'JGBCurve'!$C$920</f>
        <v/>
      </c>
      <c r="C920" s="22" t="n">
        <v>-0.054</v>
      </c>
      <c r="D920" s="23">
        <f>($B920-$C920)*100</f>
        <v/>
      </c>
    </row>
    <row r="921">
      <c r="A921" s="11" t="n">
        <v>42930</v>
      </c>
      <c r="B921" s="22">
        <f>'JGBCurve'!$C$921</f>
        <v/>
      </c>
      <c r="C921" s="22" t="n">
        <v>-0.054</v>
      </c>
      <c r="D921" s="23">
        <f>($B921-$C921)*100</f>
        <v/>
      </c>
    </row>
    <row r="922">
      <c r="A922" s="11" t="n">
        <v>42937</v>
      </c>
      <c r="B922" s="22">
        <f>'JGBCurve'!$C$922</f>
        <v/>
      </c>
      <c r="C922" s="22" t="n">
        <v>-0.054</v>
      </c>
      <c r="D922" s="23">
        <f>($B922-$C922)*100</f>
        <v/>
      </c>
    </row>
    <row r="923">
      <c r="A923" s="11" t="n">
        <v>42944</v>
      </c>
      <c r="B923" s="22">
        <f>'JGBCurve'!$C$923</f>
        <v/>
      </c>
      <c r="C923" s="22" t="n">
        <v>-0.054</v>
      </c>
      <c r="D923" s="23">
        <f>($B923-$C923)*100</f>
        <v/>
      </c>
    </row>
    <row r="924">
      <c r="A924" s="11" t="n">
        <v>42951</v>
      </c>
      <c r="B924" s="22">
        <f>'JGBCurve'!$C$924</f>
        <v/>
      </c>
      <c r="C924" s="22" t="n">
        <v>-0.049</v>
      </c>
      <c r="D924" s="23">
        <f>($B924-$C924)*100</f>
        <v/>
      </c>
    </row>
    <row r="925">
      <c r="A925" s="11" t="n">
        <v>42958</v>
      </c>
      <c r="B925" s="22">
        <f>'JGBCurve'!$C$925</f>
        <v/>
      </c>
      <c r="C925" s="22" t="n">
        <v>-0.049</v>
      </c>
      <c r="D925" s="23">
        <f>($B925-$C925)*100</f>
        <v/>
      </c>
    </row>
    <row r="926">
      <c r="A926" s="11" t="n">
        <v>42965</v>
      </c>
      <c r="B926" s="22">
        <f>'JGBCurve'!$C$926</f>
        <v/>
      </c>
      <c r="C926" s="22" t="n">
        <v>-0.049</v>
      </c>
      <c r="D926" s="23">
        <f>($B926-$C926)*100</f>
        <v/>
      </c>
    </row>
    <row r="927">
      <c r="A927" s="11" t="n">
        <v>42972</v>
      </c>
      <c r="B927" s="22">
        <f>'JGBCurve'!$C$927</f>
        <v/>
      </c>
      <c r="C927" s="22" t="n">
        <v>-0.049</v>
      </c>
      <c r="D927" s="23">
        <f>($B927-$C927)*100</f>
        <v/>
      </c>
    </row>
    <row r="928">
      <c r="A928" s="11" t="n">
        <v>42979</v>
      </c>
      <c r="B928" s="22">
        <f>'JGBCurve'!$C$928</f>
        <v/>
      </c>
      <c r="C928" s="22" t="n">
        <v>-0.058</v>
      </c>
      <c r="D928" s="23">
        <f>($B928-$C928)*100</f>
        <v/>
      </c>
    </row>
    <row r="929">
      <c r="A929" s="11" t="n">
        <v>42986</v>
      </c>
      <c r="B929" s="22">
        <f>'JGBCurve'!$C$929</f>
        <v/>
      </c>
      <c r="C929" s="22" t="n">
        <v>-0.058</v>
      </c>
      <c r="D929" s="23">
        <f>($B929-$C929)*100</f>
        <v/>
      </c>
    </row>
    <row r="930">
      <c r="A930" s="11" t="n">
        <v>42993</v>
      </c>
      <c r="B930" s="22">
        <f>'JGBCurve'!$C$930</f>
        <v/>
      </c>
      <c r="C930" s="22" t="n">
        <v>-0.058</v>
      </c>
      <c r="D930" s="23">
        <f>($B930-$C930)*100</f>
        <v/>
      </c>
    </row>
    <row r="931">
      <c r="A931" s="11" t="n">
        <v>43000</v>
      </c>
      <c r="B931" s="22">
        <f>'JGBCurve'!$C$931</f>
        <v/>
      </c>
      <c r="C931" s="22" t="n">
        <v>-0.058</v>
      </c>
      <c r="D931" s="23">
        <f>($B931-$C931)*100</f>
        <v/>
      </c>
    </row>
    <row r="932">
      <c r="A932" s="11" t="n">
        <v>43007</v>
      </c>
      <c r="B932" s="22">
        <f>'JGBCurve'!$C$932</f>
        <v/>
      </c>
      <c r="C932" s="22" t="n">
        <v>-0.058</v>
      </c>
      <c r="D932" s="23">
        <f>($B932-$C932)*100</f>
        <v/>
      </c>
    </row>
    <row r="933">
      <c r="A933" s="11" t="n">
        <v>43014</v>
      </c>
      <c r="B933" s="22">
        <f>'JGBCurve'!$C$933</f>
        <v/>
      </c>
      <c r="C933" s="22" t="n">
        <v>-0.037</v>
      </c>
      <c r="D933" s="23">
        <f>($B933-$C933)*100</f>
        <v/>
      </c>
    </row>
    <row r="934">
      <c r="A934" s="11" t="n">
        <v>43021</v>
      </c>
      <c r="B934" s="22">
        <f>'JGBCurve'!$C$934</f>
        <v/>
      </c>
      <c r="C934" s="22" t="n">
        <v>-0.037</v>
      </c>
      <c r="D934" s="23">
        <f>($B934-$C934)*100</f>
        <v/>
      </c>
    </row>
    <row r="935">
      <c r="A935" s="11" t="n">
        <v>43028</v>
      </c>
      <c r="B935" s="22">
        <f>'JGBCurve'!$C$935</f>
        <v/>
      </c>
      <c r="C935" s="22" t="n">
        <v>-0.037</v>
      </c>
      <c r="D935" s="23">
        <f>($B935-$C935)*100</f>
        <v/>
      </c>
    </row>
    <row r="936">
      <c r="A936" s="11" t="n">
        <v>43035</v>
      </c>
      <c r="B936" s="22">
        <f>'JGBCurve'!$C$936</f>
        <v/>
      </c>
      <c r="C936" s="22" t="n">
        <v>-0.037</v>
      </c>
      <c r="D936" s="23">
        <f>($B936-$C936)*100</f>
        <v/>
      </c>
    </row>
    <row r="937">
      <c r="A937" s="11" t="n">
        <v>43042</v>
      </c>
      <c r="B937" s="22">
        <f>'JGBCurve'!$C$937</f>
        <v/>
      </c>
      <c r="C937" s="22" t="n">
        <v>-0.048</v>
      </c>
      <c r="D937" s="23">
        <f>($B937-$C937)*100</f>
        <v/>
      </c>
    </row>
    <row r="938">
      <c r="A938" s="11" t="n">
        <v>43049</v>
      </c>
      <c r="B938" s="22">
        <f>'JGBCurve'!$C$938</f>
        <v/>
      </c>
      <c r="C938" s="22" t="n">
        <v>-0.048</v>
      </c>
      <c r="D938" s="23">
        <f>($B938-$C938)*100</f>
        <v/>
      </c>
    </row>
    <row r="939">
      <c r="A939" s="11" t="n">
        <v>43056</v>
      </c>
      <c r="B939" s="22">
        <f>'JGBCurve'!$C$939</f>
        <v/>
      </c>
      <c r="C939" s="22" t="n">
        <v>-0.048</v>
      </c>
      <c r="D939" s="23">
        <f>($B939-$C939)*100</f>
        <v/>
      </c>
    </row>
    <row r="940">
      <c r="A940" s="11" t="n">
        <v>43063</v>
      </c>
      <c r="B940" s="22">
        <f>'JGBCurve'!$C$940</f>
        <v/>
      </c>
      <c r="C940" s="22" t="n">
        <v>-0.048</v>
      </c>
      <c r="D940" s="23">
        <f>($B940-$C940)*100</f>
        <v/>
      </c>
    </row>
    <row r="941">
      <c r="A941" s="11" t="n">
        <v>43070</v>
      </c>
      <c r="B941" s="22">
        <f>'JGBCurve'!$C$941</f>
        <v/>
      </c>
      <c r="C941" s="22" t="n">
        <v>-0.042</v>
      </c>
      <c r="D941" s="23">
        <f>($B941-$C941)*100</f>
        <v/>
      </c>
    </row>
    <row r="942">
      <c r="A942" s="11" t="n">
        <v>43077</v>
      </c>
      <c r="B942" s="22">
        <f>'JGBCurve'!$C$942</f>
        <v/>
      </c>
      <c r="C942" s="22" t="n">
        <v>-0.042</v>
      </c>
      <c r="D942" s="23">
        <f>($B942-$C942)*100</f>
        <v/>
      </c>
    </row>
    <row r="943">
      <c r="A943" s="11" t="n">
        <v>43084</v>
      </c>
      <c r="B943" s="22">
        <f>'JGBCurve'!$C$943</f>
        <v/>
      </c>
      <c r="C943" s="22" t="n">
        <v>-0.042</v>
      </c>
      <c r="D943" s="23">
        <f>($B943-$C943)*100</f>
        <v/>
      </c>
    </row>
    <row r="944">
      <c r="A944" s="11" t="n">
        <v>43091</v>
      </c>
      <c r="B944" s="22">
        <f>'JGBCurve'!$C$944</f>
        <v/>
      </c>
      <c r="C944" s="22" t="n">
        <v>-0.042</v>
      </c>
      <c r="D944" s="23">
        <f>($B944-$C944)*100</f>
        <v/>
      </c>
    </row>
    <row r="945">
      <c r="A945" s="11" t="n">
        <v>43098</v>
      </c>
      <c r="B945" s="22">
        <f>'JGBCurve'!$C$945</f>
        <v/>
      </c>
      <c r="C945" s="22" t="n">
        <v>-0.042</v>
      </c>
      <c r="D945" s="23">
        <f>($B945-$C945)*100</f>
        <v/>
      </c>
    </row>
    <row r="946">
      <c r="A946" s="11" t="n">
        <v>43105</v>
      </c>
      <c r="B946" s="22">
        <f>'JGBCurve'!$C$946</f>
        <v/>
      </c>
      <c r="C946" s="22" t="n">
        <v>-0.04</v>
      </c>
      <c r="D946" s="23">
        <f>($B946-$C946)*100</f>
        <v/>
      </c>
    </row>
    <row r="947">
      <c r="A947" s="11" t="n">
        <v>43112</v>
      </c>
      <c r="B947" s="22">
        <f>'JGBCurve'!$C$947</f>
        <v/>
      </c>
      <c r="C947" s="22" t="n">
        <v>-0.04</v>
      </c>
      <c r="D947" s="23">
        <f>($B947-$C947)*100</f>
        <v/>
      </c>
    </row>
    <row r="948">
      <c r="A948" s="11" t="n">
        <v>43119</v>
      </c>
      <c r="B948" s="22">
        <f>'JGBCurve'!$C$948</f>
        <v/>
      </c>
      <c r="C948" s="22" t="n">
        <v>-0.04</v>
      </c>
      <c r="D948" s="23">
        <f>($B948-$C948)*100</f>
        <v/>
      </c>
    </row>
    <row r="949">
      <c r="A949" s="11" t="n">
        <v>43126</v>
      </c>
      <c r="B949" s="22">
        <f>'JGBCurve'!$C$949</f>
        <v/>
      </c>
      <c r="C949" s="22" t="n">
        <v>-0.04</v>
      </c>
      <c r="D949" s="23">
        <f>($B949-$C949)*100</f>
        <v/>
      </c>
    </row>
    <row r="950">
      <c r="A950" s="11" t="n">
        <v>43133</v>
      </c>
      <c r="B950" s="22">
        <f>'JGBCurve'!$C$950</f>
        <v/>
      </c>
      <c r="C950" s="22" t="n">
        <v>-0.042</v>
      </c>
      <c r="D950" s="23">
        <f>($B950-$C950)*100</f>
        <v/>
      </c>
    </row>
    <row r="951">
      <c r="A951" s="11" t="n">
        <v>43140</v>
      </c>
      <c r="B951" s="22">
        <f>'JGBCurve'!$C$951</f>
        <v/>
      </c>
      <c r="C951" s="22" t="n">
        <v>-0.042</v>
      </c>
      <c r="D951" s="23">
        <f>($B951-$C951)*100</f>
        <v/>
      </c>
    </row>
    <row r="952">
      <c r="A952" s="11" t="n">
        <v>43147</v>
      </c>
      <c r="B952" s="22">
        <f>'JGBCurve'!$C$952</f>
        <v/>
      </c>
      <c r="C952" s="22" t="n">
        <v>-0.042</v>
      </c>
      <c r="D952" s="23">
        <f>($B952-$C952)*100</f>
        <v/>
      </c>
    </row>
    <row r="953">
      <c r="A953" s="11" t="n">
        <v>43154</v>
      </c>
      <c r="B953" s="22">
        <f>'JGBCurve'!$C$953</f>
        <v/>
      </c>
      <c r="C953" s="22" t="n">
        <v>-0.042</v>
      </c>
      <c r="D953" s="23">
        <f>($B953-$C953)*100</f>
        <v/>
      </c>
    </row>
    <row r="954">
      <c r="A954" s="11" t="n">
        <v>43161</v>
      </c>
      <c r="B954" s="22">
        <f>'JGBCurve'!$C$954</f>
        <v/>
      </c>
      <c r="C954" s="22" t="n">
        <v>-0.062</v>
      </c>
      <c r="D954" s="23">
        <f>($B954-$C954)*100</f>
        <v/>
      </c>
    </row>
    <row r="955">
      <c r="A955" s="11" t="n">
        <v>43168</v>
      </c>
      <c r="B955" s="22">
        <f>'JGBCurve'!$C$955</f>
        <v/>
      </c>
      <c r="C955" s="22" t="n">
        <v>-0.062</v>
      </c>
      <c r="D955" s="23">
        <f>($B955-$C955)*100</f>
        <v/>
      </c>
    </row>
    <row r="956">
      <c r="A956" s="11" t="n">
        <v>43175</v>
      </c>
      <c r="B956" s="22">
        <f>'JGBCurve'!$C$956</f>
        <v/>
      </c>
      <c r="C956" s="22" t="n">
        <v>-0.062</v>
      </c>
      <c r="D956" s="23">
        <f>($B956-$C956)*100</f>
        <v/>
      </c>
    </row>
    <row r="957">
      <c r="A957" s="11" t="n">
        <v>43182</v>
      </c>
      <c r="B957" s="22">
        <f>'JGBCurve'!$C$957</f>
        <v/>
      </c>
      <c r="C957" s="22" t="n">
        <v>-0.062</v>
      </c>
      <c r="D957" s="23">
        <f>($B957-$C957)*100</f>
        <v/>
      </c>
    </row>
    <row r="958">
      <c r="A958" s="11" t="n">
        <v>43189</v>
      </c>
      <c r="B958" s="22">
        <f>'JGBCurve'!$C$958</f>
        <v/>
      </c>
      <c r="C958" s="22" t="n">
        <v>-0.062</v>
      </c>
      <c r="D958" s="23">
        <f>($B958-$C958)*100</f>
        <v/>
      </c>
    </row>
    <row r="959">
      <c r="A959" s="11" t="n">
        <v>43196</v>
      </c>
      <c r="B959" s="22">
        <f>'JGBCurve'!$C$959</f>
        <v/>
      </c>
      <c r="C959" s="22" t="n">
        <v>-0.063</v>
      </c>
      <c r="D959" s="23">
        <f>($B959-$C959)*100</f>
        <v/>
      </c>
    </row>
    <row r="960">
      <c r="A960" s="11" t="n">
        <v>43203</v>
      </c>
      <c r="B960" s="22">
        <f>'JGBCurve'!$C$960</f>
        <v/>
      </c>
      <c r="C960" s="22" t="n">
        <v>-0.063</v>
      </c>
      <c r="D960" s="23">
        <f>($B960-$C960)*100</f>
        <v/>
      </c>
    </row>
    <row r="961">
      <c r="A961" s="11" t="n">
        <v>43210</v>
      </c>
      <c r="B961" s="22">
        <f>'JGBCurve'!$C$961</f>
        <v/>
      </c>
      <c r="C961" s="22" t="n">
        <v>-0.063</v>
      </c>
      <c r="D961" s="23">
        <f>($B961-$C961)*100</f>
        <v/>
      </c>
    </row>
    <row r="962">
      <c r="A962" s="11" t="n">
        <v>43217</v>
      </c>
      <c r="B962" s="22">
        <f>'JGBCurve'!$C$962</f>
        <v/>
      </c>
      <c r="C962" s="22" t="n">
        <v>-0.063</v>
      </c>
      <c r="D962" s="23">
        <f>($B962-$C962)*100</f>
        <v/>
      </c>
    </row>
    <row r="963">
      <c r="A963" s="11" t="n">
        <v>43224</v>
      </c>
      <c r="B963" s="22">
        <f>'JGBCurve'!$C$963</f>
        <v/>
      </c>
      <c r="C963" s="22" t="n">
        <v>-0.061</v>
      </c>
      <c r="D963" s="23">
        <f>($B963-$C963)*100</f>
        <v/>
      </c>
    </row>
    <row r="964">
      <c r="A964" s="11" t="n">
        <v>43231</v>
      </c>
      <c r="B964" s="22">
        <f>'JGBCurve'!$C$964</f>
        <v/>
      </c>
      <c r="C964" s="22" t="n">
        <v>-0.061</v>
      </c>
      <c r="D964" s="23">
        <f>($B964-$C964)*100</f>
        <v/>
      </c>
    </row>
    <row r="965">
      <c r="A965" s="11" t="n">
        <v>43238</v>
      </c>
      <c r="B965" s="22">
        <f>'JGBCurve'!$C$965</f>
        <v/>
      </c>
      <c r="C965" s="22" t="n">
        <v>-0.061</v>
      </c>
      <c r="D965" s="23">
        <f>($B965-$C965)*100</f>
        <v/>
      </c>
    </row>
    <row r="966">
      <c r="A966" s="11" t="n">
        <v>43245</v>
      </c>
      <c r="B966" s="22">
        <f>'JGBCurve'!$C$966</f>
        <v/>
      </c>
      <c r="C966" s="22" t="n">
        <v>-0.061</v>
      </c>
      <c r="D966" s="23">
        <f>($B966-$C966)*100</f>
        <v/>
      </c>
    </row>
    <row r="967">
      <c r="A967" s="11" t="n">
        <v>43252</v>
      </c>
      <c r="B967" s="22">
        <f>'JGBCurve'!$C$967</f>
        <v/>
      </c>
      <c r="C967" s="22" t="n">
        <v>-0.07099999999999999</v>
      </c>
      <c r="D967" s="23">
        <f>($B967-$C967)*100</f>
        <v/>
      </c>
    </row>
    <row r="968">
      <c r="A968" s="11" t="n">
        <v>43259</v>
      </c>
      <c r="B968" s="22">
        <f>'JGBCurve'!$C$968</f>
        <v/>
      </c>
      <c r="C968" s="22" t="n">
        <v>-0.07099999999999999</v>
      </c>
      <c r="D968" s="23">
        <f>($B968-$C968)*100</f>
        <v/>
      </c>
    </row>
    <row r="969">
      <c r="A969" s="11" t="n">
        <v>43266</v>
      </c>
      <c r="B969" s="22">
        <f>'JGBCurve'!$C$969</f>
        <v/>
      </c>
      <c r="C969" s="22" t="n">
        <v>-0.07099999999999999</v>
      </c>
      <c r="D969" s="23">
        <f>($B969-$C969)*100</f>
        <v/>
      </c>
    </row>
    <row r="970">
      <c r="A970" s="11" t="n">
        <v>43273</v>
      </c>
      <c r="B970" s="22">
        <f>'JGBCurve'!$C$970</f>
        <v/>
      </c>
      <c r="C970" s="22" t="n">
        <v>-0.07099999999999999</v>
      </c>
      <c r="D970" s="23">
        <f>($B970-$C970)*100</f>
        <v/>
      </c>
    </row>
    <row r="971">
      <c r="A971" s="11" t="n">
        <v>43280</v>
      </c>
      <c r="B971" s="22">
        <f>'JGBCurve'!$C$971</f>
        <v/>
      </c>
      <c r="C971" s="22" t="n">
        <v>-0.07099999999999999</v>
      </c>
      <c r="D971" s="23">
        <f>($B971-$C971)*100</f>
        <v/>
      </c>
    </row>
    <row r="972">
      <c r="A972" s="11" t="n">
        <v>43287</v>
      </c>
      <c r="B972" s="22">
        <f>'JGBCurve'!$C$972</f>
        <v/>
      </c>
      <c r="C972" s="22" t="n">
        <v>-0.07000000000000001</v>
      </c>
      <c r="D972" s="23">
        <f>($B972-$C972)*100</f>
        <v/>
      </c>
    </row>
    <row r="973">
      <c r="A973" s="11" t="n">
        <v>43294</v>
      </c>
      <c r="B973" s="22">
        <f>'JGBCurve'!$C$973</f>
        <v/>
      </c>
      <c r="C973" s="22" t="n">
        <v>-0.07000000000000001</v>
      </c>
      <c r="D973" s="23">
        <f>($B973-$C973)*100</f>
        <v/>
      </c>
    </row>
    <row r="974">
      <c r="A974" s="11" t="n">
        <v>43301</v>
      </c>
      <c r="B974" s="22">
        <f>'JGBCurve'!$C$974</f>
        <v/>
      </c>
      <c r="C974" s="22" t="n">
        <v>-0.07000000000000001</v>
      </c>
      <c r="D974" s="23">
        <f>($B974-$C974)*100</f>
        <v/>
      </c>
    </row>
    <row r="975">
      <c r="A975" s="11" t="n">
        <v>43308</v>
      </c>
      <c r="B975" s="22">
        <f>'JGBCurve'!$C$975</f>
        <v/>
      </c>
      <c r="C975" s="22" t="n">
        <v>-0.07000000000000001</v>
      </c>
      <c r="D975" s="23">
        <f>($B975-$C975)*100</f>
        <v/>
      </c>
    </row>
    <row r="976">
      <c r="A976" s="11" t="n">
        <v>43315</v>
      </c>
      <c r="B976" s="22">
        <f>'JGBCurve'!$C$976</f>
        <v/>
      </c>
      <c r="C976" s="22" t="n">
        <v>-0.059</v>
      </c>
      <c r="D976" s="23">
        <f>($B976-$C976)*100</f>
        <v/>
      </c>
    </row>
    <row r="977">
      <c r="A977" s="11" t="n">
        <v>43322</v>
      </c>
      <c r="B977" s="22">
        <f>'JGBCurve'!$C$977</f>
        <v/>
      </c>
      <c r="C977" s="22" t="n">
        <v>-0.059</v>
      </c>
      <c r="D977" s="23">
        <f>($B977-$C977)*100</f>
        <v/>
      </c>
    </row>
    <row r="978">
      <c r="A978" s="11" t="n">
        <v>43329</v>
      </c>
      <c r="B978" s="22">
        <f>'JGBCurve'!$C$978</f>
        <v/>
      </c>
      <c r="C978" s="22" t="n">
        <v>-0.059</v>
      </c>
      <c r="D978" s="23">
        <f>($B978-$C978)*100</f>
        <v/>
      </c>
    </row>
    <row r="979">
      <c r="A979" s="11" t="n">
        <v>43336</v>
      </c>
      <c r="B979" s="22">
        <f>'JGBCurve'!$C$979</f>
        <v/>
      </c>
      <c r="C979" s="22" t="n">
        <v>-0.059</v>
      </c>
      <c r="D979" s="23">
        <f>($B979-$C979)*100</f>
        <v/>
      </c>
    </row>
    <row r="980">
      <c r="A980" s="11" t="n">
        <v>43343</v>
      </c>
      <c r="B980" s="22">
        <f>'JGBCurve'!$C$980</f>
        <v/>
      </c>
      <c r="C980" s="22" t="n">
        <v>-0.059</v>
      </c>
      <c r="D980" s="23">
        <f>($B980-$C980)*100</f>
        <v/>
      </c>
    </row>
    <row r="981">
      <c r="A981" s="11" t="n">
        <v>43350</v>
      </c>
      <c r="B981" s="22">
        <f>'JGBCurve'!$C$981</f>
        <v/>
      </c>
      <c r="C981" s="22" t="n">
        <v>-0.058</v>
      </c>
      <c r="D981" s="23">
        <f>($B981-$C981)*100</f>
        <v/>
      </c>
    </row>
    <row r="982">
      <c r="A982" s="11" t="n">
        <v>43357</v>
      </c>
      <c r="B982" s="22">
        <f>'JGBCurve'!$C$982</f>
        <v/>
      </c>
      <c r="C982" s="22" t="n">
        <v>-0.058</v>
      </c>
      <c r="D982" s="23">
        <f>($B982-$C982)*100</f>
        <v/>
      </c>
    </row>
    <row r="983">
      <c r="A983" s="11" t="n">
        <v>43364</v>
      </c>
      <c r="B983" s="22">
        <f>'JGBCurve'!$C$983</f>
        <v/>
      </c>
      <c r="C983" s="22" t="n">
        <v>-0.058</v>
      </c>
      <c r="D983" s="23">
        <f>($B983-$C983)*100</f>
        <v/>
      </c>
    </row>
    <row r="984">
      <c r="A984" s="11" t="n">
        <v>43371</v>
      </c>
      <c r="B984" s="22">
        <f>'JGBCurve'!$C$984</f>
        <v/>
      </c>
      <c r="C984" s="22" t="n">
        <v>-0.058</v>
      </c>
      <c r="D984" s="23">
        <f>($B984-$C984)*100</f>
        <v/>
      </c>
    </row>
    <row r="985">
      <c r="A985" s="11" t="n">
        <v>43378</v>
      </c>
      <c r="B985" s="22">
        <f>'JGBCurve'!$C$985</f>
        <v/>
      </c>
      <c r="C985" s="22" t="n">
        <v>-0.06</v>
      </c>
      <c r="D985" s="23">
        <f>($B985-$C985)*100</f>
        <v/>
      </c>
    </row>
    <row r="986">
      <c r="A986" s="11" t="n">
        <v>43385</v>
      </c>
      <c r="B986" s="22">
        <f>'JGBCurve'!$C$986</f>
        <v/>
      </c>
      <c r="C986" s="22" t="n">
        <v>-0.06</v>
      </c>
      <c r="D986" s="23">
        <f>($B986-$C986)*100</f>
        <v/>
      </c>
    </row>
    <row r="987">
      <c r="A987" s="11" t="n">
        <v>43392</v>
      </c>
      <c r="B987" s="22">
        <f>'JGBCurve'!$C$987</f>
        <v/>
      </c>
      <c r="C987" s="22" t="n">
        <v>-0.06</v>
      </c>
      <c r="D987" s="23">
        <f>($B987-$C987)*100</f>
        <v/>
      </c>
    </row>
    <row r="988">
      <c r="A988" s="11" t="n">
        <v>43399</v>
      </c>
      <c r="B988" s="22">
        <f>'JGBCurve'!$C$988</f>
        <v/>
      </c>
      <c r="C988" s="22" t="n">
        <v>-0.06</v>
      </c>
      <c r="D988" s="23">
        <f>($B988-$C988)*100</f>
        <v/>
      </c>
    </row>
    <row r="989">
      <c r="A989" s="11" t="n">
        <v>43406</v>
      </c>
      <c r="B989" s="22">
        <f>'JGBCurve'!$C$989</f>
        <v/>
      </c>
      <c r="C989" s="22" t="n">
        <v>-0.07099999999999999</v>
      </c>
      <c r="D989" s="23">
        <f>($B989-$C989)*100</f>
        <v/>
      </c>
    </row>
    <row r="990">
      <c r="A990" s="11" t="n">
        <v>43413</v>
      </c>
      <c r="B990" s="22">
        <f>'JGBCurve'!$C$990</f>
        <v/>
      </c>
      <c r="C990" s="22" t="n">
        <v>-0.07099999999999999</v>
      </c>
      <c r="D990" s="23">
        <f>($B990-$C990)*100</f>
        <v/>
      </c>
    </row>
    <row r="991">
      <c r="A991" s="11" t="n">
        <v>43420</v>
      </c>
      <c r="B991" s="22">
        <f>'JGBCurve'!$C$991</f>
        <v/>
      </c>
      <c r="C991" s="22" t="n">
        <v>-0.07099999999999999</v>
      </c>
      <c r="D991" s="23">
        <f>($B991-$C991)*100</f>
        <v/>
      </c>
    </row>
    <row r="992">
      <c r="A992" s="11" t="n">
        <v>43427</v>
      </c>
      <c r="B992" s="22">
        <f>'JGBCurve'!$C$992</f>
        <v/>
      </c>
      <c r="C992" s="22" t="n">
        <v>-0.07099999999999999</v>
      </c>
      <c r="D992" s="23">
        <f>($B992-$C992)*100</f>
        <v/>
      </c>
    </row>
    <row r="993">
      <c r="A993" s="11" t="n">
        <v>43434</v>
      </c>
      <c r="B993" s="22">
        <f>'JGBCurve'!$C$993</f>
        <v/>
      </c>
      <c r="C993" s="22" t="n">
        <v>-0.07099999999999999</v>
      </c>
      <c r="D993" s="23">
        <f>($B993-$C993)*100</f>
        <v/>
      </c>
    </row>
    <row r="994">
      <c r="A994" s="11" t="n">
        <v>43441</v>
      </c>
      <c r="B994" s="22">
        <f>'JGBCurve'!$C$994</f>
        <v/>
      </c>
      <c r="C994" s="22" t="n">
        <v>-0.068</v>
      </c>
      <c r="D994" s="23">
        <f>($B994-$C994)*100</f>
        <v/>
      </c>
    </row>
    <row r="995">
      <c r="A995" s="11" t="n">
        <v>43448</v>
      </c>
      <c r="B995" s="22">
        <f>'JGBCurve'!$C$995</f>
        <v/>
      </c>
      <c r="C995" s="22" t="n">
        <v>-0.068</v>
      </c>
      <c r="D995" s="23">
        <f>($B995-$C995)*100</f>
        <v/>
      </c>
    </row>
    <row r="996">
      <c r="A996" s="11" t="n">
        <v>43455</v>
      </c>
      <c r="B996" s="22">
        <f>'JGBCurve'!$C$996</f>
        <v/>
      </c>
      <c r="C996" s="22" t="n">
        <v>-0.068</v>
      </c>
      <c r="D996" s="23">
        <f>($B996-$C996)*100</f>
        <v/>
      </c>
    </row>
    <row r="997">
      <c r="A997" s="11" t="n">
        <v>43462</v>
      </c>
      <c r="B997" s="22">
        <f>'JGBCurve'!$C$997</f>
        <v/>
      </c>
      <c r="C997" s="22" t="n">
        <v>-0.068</v>
      </c>
      <c r="D997" s="23">
        <f>($B997-$C997)*100</f>
        <v/>
      </c>
    </row>
    <row r="998">
      <c r="A998" s="11" t="n">
        <v>43469</v>
      </c>
      <c r="B998" s="22">
        <f>'JGBCurve'!$C$998</f>
        <v/>
      </c>
      <c r="C998" s="22" t="n">
        <v>-0.064</v>
      </c>
      <c r="D998" s="23">
        <f>($B998-$C998)*100</f>
        <v/>
      </c>
    </row>
    <row r="999">
      <c r="A999" s="11" t="n">
        <v>43476</v>
      </c>
      <c r="B999" s="22">
        <f>'JGBCurve'!$C$999</f>
        <v/>
      </c>
      <c r="C999" s="22" t="n">
        <v>-0.064</v>
      </c>
      <c r="D999" s="23">
        <f>($B999-$C999)*100</f>
        <v/>
      </c>
    </row>
    <row r="1000">
      <c r="A1000" s="11" t="n">
        <v>43483</v>
      </c>
      <c r="B1000" s="22">
        <f>'JGBCurve'!$C$1000</f>
        <v/>
      </c>
      <c r="C1000" s="22" t="n">
        <v>-0.064</v>
      </c>
      <c r="D1000" s="23">
        <f>($B1000-$C1000)*100</f>
        <v/>
      </c>
    </row>
    <row r="1001">
      <c r="A1001" s="11" t="n">
        <v>43490</v>
      </c>
      <c r="B1001" s="22">
        <f>'JGBCurve'!$C$1001</f>
        <v/>
      </c>
      <c r="C1001" s="22" t="n">
        <v>-0.064</v>
      </c>
      <c r="D1001" s="23">
        <f>($B1001-$C1001)*100</f>
        <v/>
      </c>
    </row>
    <row r="1002">
      <c r="A1002" s="11" t="n">
        <v>43497</v>
      </c>
      <c r="B1002" s="22">
        <f>'JGBCurve'!$C$1002</f>
        <v/>
      </c>
      <c r="C1002" s="22" t="n">
        <v>-0.055</v>
      </c>
      <c r="D1002" s="23">
        <f>($B1002-$C1002)*100</f>
        <v/>
      </c>
    </row>
    <row r="1003">
      <c r="A1003" s="11" t="n">
        <v>43504</v>
      </c>
      <c r="B1003" s="22">
        <f>'JGBCurve'!$C$1003</f>
        <v/>
      </c>
      <c r="C1003" s="22" t="n">
        <v>-0.055</v>
      </c>
      <c r="D1003" s="23">
        <f>($B1003-$C1003)*100</f>
        <v/>
      </c>
    </row>
    <row r="1004">
      <c r="A1004" s="11" t="n">
        <v>43511</v>
      </c>
      <c r="B1004" s="22">
        <f>'JGBCurve'!$C$1004</f>
        <v/>
      </c>
      <c r="C1004" s="22" t="n">
        <v>-0.055</v>
      </c>
      <c r="D1004" s="23">
        <f>($B1004-$C1004)*100</f>
        <v/>
      </c>
    </row>
    <row r="1005">
      <c r="A1005" s="11" t="n">
        <v>43518</v>
      </c>
      <c r="B1005" s="22">
        <f>'JGBCurve'!$C$1005</f>
        <v/>
      </c>
      <c r="C1005" s="22" t="n">
        <v>-0.055</v>
      </c>
      <c r="D1005" s="23">
        <f>($B1005-$C1005)*100</f>
        <v/>
      </c>
    </row>
    <row r="1006">
      <c r="A1006" s="11" t="n">
        <v>43525</v>
      </c>
      <c r="B1006" s="22">
        <f>'JGBCurve'!$C$1006</f>
        <v/>
      </c>
      <c r="C1006" s="22" t="n">
        <v>-0.041</v>
      </c>
      <c r="D1006" s="23">
        <f>($B1006-$C1006)*100</f>
        <v/>
      </c>
    </row>
    <row r="1007">
      <c r="A1007" s="11" t="n">
        <v>43532</v>
      </c>
      <c r="B1007" s="22">
        <f>'JGBCurve'!$C$1007</f>
        <v/>
      </c>
      <c r="C1007" s="22" t="n">
        <v>-0.041</v>
      </c>
      <c r="D1007" s="23">
        <f>($B1007-$C1007)*100</f>
        <v/>
      </c>
    </row>
    <row r="1008">
      <c r="A1008" s="11" t="n">
        <v>43539</v>
      </c>
      <c r="B1008" s="22">
        <f>'JGBCurve'!$C$1008</f>
        <v/>
      </c>
      <c r="C1008" s="22" t="n">
        <v>-0.041</v>
      </c>
      <c r="D1008" s="23">
        <f>($B1008-$C1008)*100</f>
        <v/>
      </c>
    </row>
    <row r="1009">
      <c r="A1009" s="11" t="n">
        <v>43546</v>
      </c>
      <c r="B1009" s="22">
        <f>'JGBCurve'!$C$1009</f>
        <v/>
      </c>
      <c r="C1009" s="22" t="n">
        <v>-0.041</v>
      </c>
      <c r="D1009" s="23">
        <f>($B1009-$C1009)*100</f>
        <v/>
      </c>
    </row>
    <row r="1010">
      <c r="A1010" s="11" t="n">
        <v>43553</v>
      </c>
      <c r="B1010" s="22">
        <f>'JGBCurve'!$C$1010</f>
        <v/>
      </c>
      <c r="C1010" s="22" t="n">
        <v>-0.041</v>
      </c>
      <c r="D1010" s="23">
        <f>($B1010-$C1010)*100</f>
        <v/>
      </c>
    </row>
    <row r="1011">
      <c r="A1011" s="11" t="n">
        <v>43560</v>
      </c>
      <c r="B1011" s="22">
        <f>'JGBCurve'!$C$1011</f>
        <v/>
      </c>
      <c r="C1011" s="22" t="n">
        <v>-0.067</v>
      </c>
      <c r="D1011" s="23">
        <f>($B1011-$C1011)*100</f>
        <v/>
      </c>
    </row>
    <row r="1012">
      <c r="A1012" s="11" t="n">
        <v>43567</v>
      </c>
      <c r="B1012" s="22">
        <f>'JGBCurve'!$C$1012</f>
        <v/>
      </c>
      <c r="C1012" s="22" t="n">
        <v>-0.067</v>
      </c>
      <c r="D1012" s="23">
        <f>($B1012-$C1012)*100</f>
        <v/>
      </c>
    </row>
    <row r="1013">
      <c r="A1013" s="11" t="n">
        <v>43574</v>
      </c>
      <c r="B1013" s="22">
        <f>'JGBCurve'!$C$1013</f>
        <v/>
      </c>
      <c r="C1013" s="22" t="n">
        <v>-0.067</v>
      </c>
      <c r="D1013" s="23">
        <f>($B1013-$C1013)*100</f>
        <v/>
      </c>
    </row>
    <row r="1014">
      <c r="A1014" s="11" t="n">
        <v>43581</v>
      </c>
      <c r="B1014" s="22">
        <f>'JGBCurve'!$C$1014</f>
        <v/>
      </c>
      <c r="C1014" s="22" t="n">
        <v>-0.067</v>
      </c>
      <c r="D1014" s="23">
        <f>($B1014-$C1014)*100</f>
        <v/>
      </c>
    </row>
    <row r="1015">
      <c r="A1015" s="11" t="n">
        <v>43588</v>
      </c>
      <c r="B1015" s="22">
        <f>'JGBCurve'!$C$1015</f>
        <v/>
      </c>
      <c r="C1015" s="22" t="n">
        <v>-0.049</v>
      </c>
      <c r="D1015" s="23">
        <f>($B1015-$C1015)*100</f>
        <v/>
      </c>
    </row>
    <row r="1016">
      <c r="A1016" s="11" t="n">
        <v>43595</v>
      </c>
      <c r="B1016" s="22">
        <f>'JGBCurve'!$C$1016</f>
        <v/>
      </c>
      <c r="C1016" s="22" t="n">
        <v>-0.049</v>
      </c>
      <c r="D1016" s="23">
        <f>($B1016-$C1016)*100</f>
        <v/>
      </c>
    </row>
    <row r="1017">
      <c r="A1017" s="11" t="n">
        <v>43602</v>
      </c>
      <c r="B1017" s="22">
        <f>'JGBCurve'!$C$1017</f>
        <v/>
      </c>
      <c r="C1017" s="22" t="n">
        <v>-0.049</v>
      </c>
      <c r="D1017" s="23">
        <f>($B1017-$C1017)*100</f>
        <v/>
      </c>
    </row>
    <row r="1018">
      <c r="A1018" s="11" t="n">
        <v>43609</v>
      </c>
      <c r="B1018" s="22">
        <f>'JGBCurve'!$C$1018</f>
        <v/>
      </c>
      <c r="C1018" s="22" t="n">
        <v>-0.049</v>
      </c>
      <c r="D1018" s="23">
        <f>($B1018-$C1018)*100</f>
        <v/>
      </c>
    </row>
    <row r="1019">
      <c r="A1019" s="11" t="n">
        <v>43616</v>
      </c>
      <c r="B1019" s="22">
        <f>'JGBCurve'!$C$1019</f>
        <v/>
      </c>
      <c r="C1019" s="22" t="n">
        <v>-0.049</v>
      </c>
      <c r="D1019" s="23">
        <f>($B1019-$C1019)*100</f>
        <v/>
      </c>
    </row>
    <row r="1020">
      <c r="A1020" s="11" t="n">
        <v>43623</v>
      </c>
      <c r="B1020" s="22">
        <f>'JGBCurve'!$C$1020</f>
        <v/>
      </c>
      <c r="C1020" s="22" t="n">
        <v>-0.062</v>
      </c>
      <c r="D1020" s="23">
        <f>($B1020-$C1020)*100</f>
        <v/>
      </c>
    </row>
    <row r="1021">
      <c r="A1021" s="11" t="n">
        <v>43630</v>
      </c>
      <c r="B1021" s="22">
        <f>'JGBCurve'!$C$1021</f>
        <v/>
      </c>
      <c r="C1021" s="22" t="n">
        <v>-0.062</v>
      </c>
      <c r="D1021" s="23">
        <f>($B1021-$C1021)*100</f>
        <v/>
      </c>
    </row>
    <row r="1022">
      <c r="A1022" s="11" t="n">
        <v>43637</v>
      </c>
      <c r="B1022" s="22">
        <f>'JGBCurve'!$C$1022</f>
        <v/>
      </c>
      <c r="C1022" s="22" t="n">
        <v>-0.062</v>
      </c>
      <c r="D1022" s="23">
        <f>($B1022-$C1022)*100</f>
        <v/>
      </c>
    </row>
    <row r="1023">
      <c r="A1023" s="11" t="n">
        <v>43644</v>
      </c>
      <c r="B1023" s="22">
        <f>'JGBCurve'!$C$1023</f>
        <v/>
      </c>
      <c r="C1023" s="22" t="n">
        <v>-0.062</v>
      </c>
      <c r="D1023" s="23">
        <f>($B1023-$C1023)*100</f>
        <v/>
      </c>
    </row>
    <row r="1024">
      <c r="A1024" s="11" t="n">
        <v>43651</v>
      </c>
      <c r="B1024" s="22">
        <f>'JGBCurve'!$C$1024</f>
        <v/>
      </c>
      <c r="C1024" s="22" t="n">
        <v>-0.07099999999999999</v>
      </c>
      <c r="D1024" s="23">
        <f>($B1024-$C1024)*100</f>
        <v/>
      </c>
    </row>
    <row r="1025">
      <c r="A1025" s="11" t="n">
        <v>43658</v>
      </c>
      <c r="B1025" s="22">
        <f>'JGBCurve'!$C$1025</f>
        <v/>
      </c>
      <c r="C1025" s="22" t="n">
        <v>-0.07099999999999999</v>
      </c>
      <c r="D1025" s="23">
        <f>($B1025-$C1025)*100</f>
        <v/>
      </c>
    </row>
    <row r="1026">
      <c r="A1026" s="11" t="n">
        <v>43665</v>
      </c>
      <c r="B1026" s="22">
        <f>'JGBCurve'!$C$1026</f>
        <v/>
      </c>
      <c r="C1026" s="22" t="n">
        <v>-0.07099999999999999</v>
      </c>
      <c r="D1026" s="23">
        <f>($B1026-$C1026)*100</f>
        <v/>
      </c>
    </row>
    <row r="1027">
      <c r="A1027" s="11" t="n">
        <v>43672</v>
      </c>
      <c r="B1027" s="22">
        <f>'JGBCurve'!$C$1027</f>
        <v/>
      </c>
      <c r="C1027" s="22" t="n">
        <v>-0.07099999999999999</v>
      </c>
      <c r="D1027" s="23">
        <f>($B1027-$C1027)*100</f>
        <v/>
      </c>
    </row>
    <row r="1028">
      <c r="A1028" s="11" t="n">
        <v>43679</v>
      </c>
      <c r="B1028" s="22">
        <f>'JGBCurve'!$C$1028</f>
        <v/>
      </c>
      <c r="C1028" s="22" t="n">
        <v>-0.045</v>
      </c>
      <c r="D1028" s="23">
        <f>($B1028-$C1028)*100</f>
        <v/>
      </c>
    </row>
    <row r="1029">
      <c r="A1029" s="11" t="n">
        <v>43686</v>
      </c>
      <c r="B1029" s="22">
        <f>'JGBCurve'!$C$1029</f>
        <v/>
      </c>
      <c r="C1029" s="22" t="n">
        <v>-0.045</v>
      </c>
      <c r="D1029" s="23">
        <f>($B1029-$C1029)*100</f>
        <v/>
      </c>
    </row>
    <row r="1030">
      <c r="A1030" s="11" t="n">
        <v>43693</v>
      </c>
      <c r="B1030" s="22">
        <f>'JGBCurve'!$C$1030</f>
        <v/>
      </c>
      <c r="C1030" s="22" t="n">
        <v>-0.045</v>
      </c>
      <c r="D1030" s="23">
        <f>($B1030-$C1030)*100</f>
        <v/>
      </c>
    </row>
    <row r="1031">
      <c r="A1031" s="11" t="n">
        <v>43700</v>
      </c>
      <c r="B1031" s="22">
        <f>'JGBCurve'!$C$1031</f>
        <v/>
      </c>
      <c r="C1031" s="22" t="n">
        <v>-0.045</v>
      </c>
      <c r="D1031" s="23">
        <f>($B1031-$C1031)*100</f>
        <v/>
      </c>
    </row>
    <row r="1032">
      <c r="A1032" s="11" t="n">
        <v>43707</v>
      </c>
      <c r="B1032" s="22">
        <f>'JGBCurve'!$C$1032</f>
        <v/>
      </c>
      <c r="C1032" s="22" t="n">
        <v>-0.045</v>
      </c>
      <c r="D1032" s="23">
        <f>($B1032-$C1032)*100</f>
        <v/>
      </c>
    </row>
    <row r="1033">
      <c r="A1033" s="11" t="n">
        <v>43714</v>
      </c>
      <c r="B1033" s="22">
        <f>'JGBCurve'!$C$1033</f>
        <v/>
      </c>
      <c r="C1033" s="22" t="n">
        <v>-0.059</v>
      </c>
      <c r="D1033" s="23">
        <f>($B1033-$C1033)*100</f>
        <v/>
      </c>
    </row>
    <row r="1034">
      <c r="A1034" s="11" t="n">
        <v>43721</v>
      </c>
      <c r="B1034" s="22">
        <f>'JGBCurve'!$C$1034</f>
        <v/>
      </c>
      <c r="C1034" s="22" t="n">
        <v>-0.059</v>
      </c>
      <c r="D1034" s="23">
        <f>($B1034-$C1034)*100</f>
        <v/>
      </c>
    </row>
    <row r="1035">
      <c r="A1035" s="11" t="n">
        <v>43728</v>
      </c>
      <c r="B1035" s="22">
        <f>'JGBCurve'!$C$1035</f>
        <v/>
      </c>
      <c r="C1035" s="22" t="n">
        <v>-0.059</v>
      </c>
      <c r="D1035" s="23">
        <f>($B1035-$C1035)*100</f>
        <v/>
      </c>
    </row>
    <row r="1036">
      <c r="A1036" s="11" t="n">
        <v>43735</v>
      </c>
      <c r="B1036" s="22">
        <f>'JGBCurve'!$C$1036</f>
        <v/>
      </c>
      <c r="C1036" s="22" t="n">
        <v>-0.059</v>
      </c>
      <c r="D1036" s="23">
        <f>($B1036-$C1036)*100</f>
        <v/>
      </c>
    </row>
    <row r="1037">
      <c r="A1037" s="11" t="n">
        <v>43742</v>
      </c>
      <c r="B1037" s="22">
        <f>'JGBCurve'!$C$1037</f>
        <v/>
      </c>
      <c r="C1037" s="22" t="n">
        <v>-0.021</v>
      </c>
      <c r="D1037" s="23">
        <f>($B1037-$C1037)*100</f>
        <v/>
      </c>
    </row>
    <row r="1038">
      <c r="A1038" s="11" t="n">
        <v>43749</v>
      </c>
      <c r="B1038" s="22">
        <f>'JGBCurve'!$C$1038</f>
        <v/>
      </c>
      <c r="C1038" s="22" t="n">
        <v>-0.021</v>
      </c>
      <c r="D1038" s="23">
        <f>($B1038-$C1038)*100</f>
        <v/>
      </c>
    </row>
    <row r="1039">
      <c r="A1039" s="11" t="n">
        <v>43756</v>
      </c>
      <c r="B1039" s="22">
        <f>'JGBCurve'!$C$1039</f>
        <v/>
      </c>
      <c r="C1039" s="22" t="n">
        <v>-0.021</v>
      </c>
      <c r="D1039" s="23">
        <f>($B1039-$C1039)*100</f>
        <v/>
      </c>
    </row>
    <row r="1040">
      <c r="A1040" s="11" t="n">
        <v>43763</v>
      </c>
      <c r="B1040" s="22">
        <f>'JGBCurve'!$C$1040</f>
        <v/>
      </c>
      <c r="C1040" s="22" t="n">
        <v>-0.021</v>
      </c>
      <c r="D1040" s="23">
        <f>($B1040-$C1040)*100</f>
        <v/>
      </c>
    </row>
    <row r="1041">
      <c r="A1041" s="11" t="n">
        <v>43770</v>
      </c>
      <c r="B1041" s="22">
        <f>'JGBCurve'!$C$1041</f>
        <v/>
      </c>
      <c r="C1041" s="22" t="n">
        <v>-0.043</v>
      </c>
      <c r="D1041" s="23">
        <f>($B1041-$C1041)*100</f>
        <v/>
      </c>
    </row>
    <row r="1042">
      <c r="A1042" s="11" t="n">
        <v>43777</v>
      </c>
      <c r="B1042" s="22">
        <f>'JGBCurve'!$C$1042</f>
        <v/>
      </c>
      <c r="C1042" s="22" t="n">
        <v>-0.043</v>
      </c>
      <c r="D1042" s="23">
        <f>($B1042-$C1042)*100</f>
        <v/>
      </c>
    </row>
    <row r="1043">
      <c r="A1043" s="11" t="n">
        <v>43784</v>
      </c>
      <c r="B1043" s="22">
        <f>'JGBCurve'!$C$1043</f>
        <v/>
      </c>
      <c r="C1043" s="22" t="n">
        <v>-0.043</v>
      </c>
      <c r="D1043" s="23">
        <f>($B1043-$C1043)*100</f>
        <v/>
      </c>
    </row>
    <row r="1044">
      <c r="A1044" s="11" t="n">
        <v>43791</v>
      </c>
      <c r="B1044" s="22">
        <f>'JGBCurve'!$C$1044</f>
        <v/>
      </c>
      <c r="C1044" s="22" t="n">
        <v>-0.043</v>
      </c>
      <c r="D1044" s="23">
        <f>($B1044-$C1044)*100</f>
        <v/>
      </c>
    </row>
    <row r="1045">
      <c r="A1045" s="11" t="n">
        <v>43798</v>
      </c>
      <c r="B1045" s="22">
        <f>'JGBCurve'!$C$1045</f>
        <v/>
      </c>
      <c r="C1045" s="22" t="n">
        <v>-0.043</v>
      </c>
      <c r="D1045" s="23">
        <f>($B1045-$C1045)*100</f>
        <v/>
      </c>
    </row>
    <row r="1046">
      <c r="A1046" s="11" t="n">
        <v>43805</v>
      </c>
      <c r="B1046" s="22">
        <f>'JGBCurve'!$C$1046</f>
        <v/>
      </c>
      <c r="C1046" s="22" t="n">
        <v>-0.038</v>
      </c>
      <c r="D1046" s="23">
        <f>($B1046-$C1046)*100</f>
        <v/>
      </c>
    </row>
    <row r="1047">
      <c r="A1047" s="11" t="n">
        <v>43812</v>
      </c>
      <c r="B1047" s="22">
        <f>'JGBCurve'!$C$1047</f>
        <v/>
      </c>
      <c r="C1047" s="22" t="n">
        <v>-0.038</v>
      </c>
      <c r="D1047" s="23">
        <f>($B1047-$C1047)*100</f>
        <v/>
      </c>
    </row>
    <row r="1048">
      <c r="A1048" s="11" t="n">
        <v>43819</v>
      </c>
      <c r="B1048" s="22">
        <f>'JGBCurve'!$C$1048</f>
        <v/>
      </c>
      <c r="C1048" s="22" t="n">
        <v>-0.038</v>
      </c>
      <c r="D1048" s="23">
        <f>($B1048-$C1048)*100</f>
        <v/>
      </c>
    </row>
    <row r="1049">
      <c r="A1049" s="11" t="n">
        <v>43826</v>
      </c>
      <c r="B1049" s="22">
        <f>'JGBCurve'!$C$1049</f>
        <v/>
      </c>
      <c r="C1049" s="22" t="n">
        <v>-0.038</v>
      </c>
      <c r="D1049" s="23">
        <f>($B1049-$C1049)*100</f>
        <v/>
      </c>
    </row>
    <row r="1050">
      <c r="A1050" s="11" t="n">
        <v>43833</v>
      </c>
      <c r="B1050" s="22">
        <f>'JGBCurve'!$C$1050</f>
        <v/>
      </c>
      <c r="C1050" s="22" t="n">
        <v>-0.032</v>
      </c>
      <c r="D1050" s="23">
        <f>($B1050-$C1050)*100</f>
        <v/>
      </c>
    </row>
    <row r="1051">
      <c r="A1051" s="11" t="n">
        <v>43840</v>
      </c>
      <c r="B1051" s="22">
        <f>'JGBCurve'!$C$1051</f>
        <v/>
      </c>
      <c r="C1051" s="22" t="n">
        <v>-0.032</v>
      </c>
      <c r="D1051" s="23">
        <f>($B1051-$C1051)*100</f>
        <v/>
      </c>
    </row>
    <row r="1052">
      <c r="A1052" s="11" t="n">
        <v>43847</v>
      </c>
      <c r="B1052" s="22">
        <f>'JGBCurve'!$C$1052</f>
        <v/>
      </c>
      <c r="C1052" s="22" t="n">
        <v>-0.032</v>
      </c>
      <c r="D1052" s="23">
        <f>($B1052-$C1052)*100</f>
        <v/>
      </c>
    </row>
    <row r="1053">
      <c r="A1053" s="11" t="n">
        <v>43854</v>
      </c>
      <c r="B1053" s="22">
        <f>'JGBCurve'!$C$1053</f>
        <v/>
      </c>
      <c r="C1053" s="22" t="n">
        <v>-0.032</v>
      </c>
      <c r="D1053" s="23">
        <f>($B1053-$C1053)*100</f>
        <v/>
      </c>
    </row>
    <row r="1054">
      <c r="A1054" s="11" t="n">
        <v>43861</v>
      </c>
      <c r="B1054" s="22">
        <f>'JGBCurve'!$C$1054</f>
        <v/>
      </c>
      <c r="C1054" s="22" t="n">
        <v>-0.032</v>
      </c>
      <c r="D1054" s="23">
        <f>($B1054-$C1054)*100</f>
        <v/>
      </c>
    </row>
    <row r="1055">
      <c r="A1055" s="11" t="n">
        <v>43868</v>
      </c>
      <c r="B1055" s="22">
        <f>'JGBCurve'!$C$1055</f>
        <v/>
      </c>
      <c r="C1055" s="22" t="n">
        <v>-0.016</v>
      </c>
      <c r="D1055" s="23">
        <f>($B1055-$C1055)*100</f>
        <v/>
      </c>
    </row>
    <row r="1056">
      <c r="A1056" s="11" t="n">
        <v>43875</v>
      </c>
      <c r="B1056" s="22">
        <f>'JGBCurve'!$C$1056</f>
        <v/>
      </c>
      <c r="C1056" s="22" t="n">
        <v>-0.016</v>
      </c>
      <c r="D1056" s="23">
        <f>($B1056-$C1056)*100</f>
        <v/>
      </c>
    </row>
    <row r="1057">
      <c r="A1057" s="11" t="n">
        <v>43882</v>
      </c>
      <c r="B1057" s="22">
        <f>'JGBCurve'!$C$1057</f>
        <v/>
      </c>
      <c r="C1057" s="22" t="n">
        <v>-0.016</v>
      </c>
      <c r="D1057" s="23">
        <f>($B1057-$C1057)*100</f>
        <v/>
      </c>
    </row>
    <row r="1058">
      <c r="A1058" s="11" t="n">
        <v>43889</v>
      </c>
      <c r="B1058" s="22">
        <f>'JGBCurve'!$C$1058</f>
        <v/>
      </c>
      <c r="C1058" s="22" t="n">
        <v>-0.016</v>
      </c>
      <c r="D1058" s="23">
        <f>($B1058-$C1058)*100</f>
        <v/>
      </c>
    </row>
    <row r="1059">
      <c r="A1059" s="11" t="n">
        <v>43896</v>
      </c>
      <c r="B1059" s="22">
        <f>'JGBCurve'!$C$1059</f>
        <v/>
      </c>
      <c r="C1059" s="22" t="n">
        <v>-0.047</v>
      </c>
      <c r="D1059" s="23">
        <f>($B1059-$C1059)*100</f>
        <v/>
      </c>
    </row>
    <row r="1060">
      <c r="A1060" s="11" t="n">
        <v>43903</v>
      </c>
      <c r="B1060" s="22">
        <f>'JGBCurve'!$C$1060</f>
        <v/>
      </c>
      <c r="C1060" s="22" t="n">
        <v>-0.047</v>
      </c>
      <c r="D1060" s="23">
        <f>($B1060-$C1060)*100</f>
        <v/>
      </c>
    </row>
    <row r="1061">
      <c r="A1061" s="11" t="n">
        <v>43910</v>
      </c>
      <c r="B1061" s="22">
        <f>'JGBCurve'!$C$1061</f>
        <v/>
      </c>
      <c r="C1061" s="22" t="n">
        <v>-0.047</v>
      </c>
      <c r="D1061" s="23">
        <f>($B1061-$C1061)*100</f>
        <v/>
      </c>
    </row>
    <row r="1062">
      <c r="A1062" s="11" t="n">
        <v>43917</v>
      </c>
      <c r="B1062" s="22">
        <f>'JGBCurve'!$C$1062</f>
        <v/>
      </c>
      <c r="C1062" s="22" t="n">
        <v>-0.047</v>
      </c>
      <c r="D1062" s="23">
        <f>($B1062-$C1062)*100</f>
        <v/>
      </c>
    </row>
    <row r="1063">
      <c r="A1063" s="11" t="n">
        <v>43924</v>
      </c>
      <c r="B1063" s="22">
        <f>'JGBCurve'!$C$1063</f>
        <v/>
      </c>
      <c r="C1063" s="22" t="n">
        <v>-0.036</v>
      </c>
      <c r="D1063" s="23">
        <f>($B1063-$C1063)*100</f>
        <v/>
      </c>
    </row>
    <row r="1064">
      <c r="A1064" s="11" t="n">
        <v>43931</v>
      </c>
      <c r="B1064" s="22">
        <f>'JGBCurve'!$C$1064</f>
        <v/>
      </c>
      <c r="C1064" s="22" t="n">
        <v>-0.036</v>
      </c>
      <c r="D1064" s="23">
        <f>($B1064-$C1064)*100</f>
        <v/>
      </c>
    </row>
    <row r="1065">
      <c r="A1065" s="11" t="n">
        <v>43938</v>
      </c>
      <c r="B1065" s="22">
        <f>'JGBCurve'!$C$1065</f>
        <v/>
      </c>
      <c r="C1065" s="22" t="n">
        <v>-0.036</v>
      </c>
      <c r="D1065" s="23">
        <f>($B1065-$C1065)*100</f>
        <v/>
      </c>
    </row>
    <row r="1066">
      <c r="A1066" s="11" t="n">
        <v>43945</v>
      </c>
      <c r="B1066" s="22">
        <f>'JGBCurve'!$C$1066</f>
        <v/>
      </c>
      <c r="C1066" s="22" t="n">
        <v>-0.036</v>
      </c>
      <c r="D1066" s="23">
        <f>($B1066-$C1066)*100</f>
        <v/>
      </c>
    </row>
    <row r="1067">
      <c r="A1067" s="11" t="n">
        <v>43952</v>
      </c>
      <c r="B1067" s="22">
        <f>'JGBCurve'!$C$1067</f>
        <v/>
      </c>
      <c r="C1067" s="22" t="n">
        <v>-0.047</v>
      </c>
      <c r="D1067" s="23">
        <f>($B1067-$C1067)*100</f>
        <v/>
      </c>
    </row>
    <row r="1068">
      <c r="A1068" s="11" t="n">
        <v>43959</v>
      </c>
      <c r="B1068" s="22">
        <f>'JGBCurve'!$C$1068</f>
        <v/>
      </c>
      <c r="C1068" s="22" t="n">
        <v>-0.047</v>
      </c>
      <c r="D1068" s="23">
        <f>($B1068-$C1068)*100</f>
        <v/>
      </c>
    </row>
    <row r="1069">
      <c r="A1069" s="11" t="n">
        <v>43966</v>
      </c>
      <c r="B1069" s="22">
        <f>'JGBCurve'!$C$1069</f>
        <v/>
      </c>
      <c r="C1069" s="22" t="n">
        <v>-0.047</v>
      </c>
      <c r="D1069" s="23">
        <f>($B1069-$C1069)*100</f>
        <v/>
      </c>
    </row>
    <row r="1070">
      <c r="A1070" s="11" t="n">
        <v>43973</v>
      </c>
      <c r="B1070" s="22">
        <f>'JGBCurve'!$C$1070</f>
        <v/>
      </c>
      <c r="C1070" s="22" t="n">
        <v>-0.047</v>
      </c>
      <c r="D1070" s="23">
        <f>($B1070-$C1070)*100</f>
        <v/>
      </c>
    </row>
    <row r="1071">
      <c r="A1071" s="11" t="n">
        <v>43980</v>
      </c>
      <c r="B1071" s="22">
        <f>'JGBCurve'!$C$1071</f>
        <v/>
      </c>
      <c r="C1071" s="22" t="n">
        <v>-0.047</v>
      </c>
      <c r="D1071" s="23">
        <f>($B1071-$C1071)*100</f>
        <v/>
      </c>
    </row>
    <row r="1072">
      <c r="A1072" s="11" t="n">
        <v>43987</v>
      </c>
      <c r="B1072" s="22">
        <f>'JGBCurve'!$C$1072</f>
        <v/>
      </c>
      <c r="C1072" s="22" t="n">
        <v>-0.048</v>
      </c>
      <c r="D1072" s="23">
        <f>($B1072-$C1072)*100</f>
        <v/>
      </c>
    </row>
    <row r="1073">
      <c r="A1073" s="11" t="n">
        <v>43994</v>
      </c>
      <c r="B1073" s="22">
        <f>'JGBCurve'!$C$1073</f>
        <v/>
      </c>
      <c r="C1073" s="22" t="n">
        <v>-0.048</v>
      </c>
      <c r="D1073" s="23">
        <f>($B1073-$C1073)*100</f>
        <v/>
      </c>
    </row>
    <row r="1074">
      <c r="A1074" s="11" t="n">
        <v>44001</v>
      </c>
      <c r="B1074" s="22">
        <f>'JGBCurve'!$C$1074</f>
        <v/>
      </c>
      <c r="C1074" s="22" t="n">
        <v>-0.048</v>
      </c>
      <c r="D1074" s="23">
        <f>($B1074-$C1074)*100</f>
        <v/>
      </c>
    </row>
    <row r="1075">
      <c r="A1075" s="11" t="n">
        <v>44008</v>
      </c>
      <c r="B1075" s="22">
        <f>'JGBCurve'!$C$1075</f>
        <v/>
      </c>
      <c r="C1075" s="22" t="n">
        <v>-0.048</v>
      </c>
      <c r="D1075" s="23">
        <f>($B1075-$C1075)*100</f>
        <v/>
      </c>
    </row>
    <row r="1076">
      <c r="A1076" s="11" t="n">
        <v>44015</v>
      </c>
      <c r="B1076" s="22">
        <f>'JGBCurve'!$C$1076</f>
        <v/>
      </c>
      <c r="C1076" s="22" t="n">
        <v>-0.028</v>
      </c>
      <c r="D1076" s="23">
        <f>($B1076-$C1076)*100</f>
        <v/>
      </c>
    </row>
    <row r="1077">
      <c r="A1077" s="11" t="n">
        <v>44022</v>
      </c>
      <c r="B1077" s="22">
        <f>'JGBCurve'!$C$1077</f>
        <v/>
      </c>
      <c r="C1077" s="22" t="n">
        <v>-0.028</v>
      </c>
      <c r="D1077" s="23">
        <f>($B1077-$C1077)*100</f>
        <v/>
      </c>
    </row>
    <row r="1078">
      <c r="A1078" s="11" t="n">
        <v>44029</v>
      </c>
      <c r="B1078" s="22">
        <f>'JGBCurve'!$C$1078</f>
        <v/>
      </c>
      <c r="C1078" s="22" t="n">
        <v>-0.028</v>
      </c>
      <c r="D1078" s="23">
        <f>($B1078-$C1078)*100</f>
        <v/>
      </c>
    </row>
    <row r="1079">
      <c r="A1079" s="11" t="n">
        <v>44036</v>
      </c>
      <c r="B1079" s="22">
        <f>'JGBCurve'!$C$1079</f>
        <v/>
      </c>
      <c r="C1079" s="22" t="n">
        <v>-0.028</v>
      </c>
      <c r="D1079" s="23">
        <f>($B1079-$C1079)*100</f>
        <v/>
      </c>
    </row>
    <row r="1080">
      <c r="A1080" s="11" t="n">
        <v>44043</v>
      </c>
      <c r="B1080" s="22">
        <f>'JGBCurve'!$C$1080</f>
        <v/>
      </c>
      <c r="C1080" s="22" t="n">
        <v>-0.028</v>
      </c>
      <c r="D1080" s="23">
        <f>($B1080-$C1080)*100</f>
        <v/>
      </c>
    </row>
    <row r="1081">
      <c r="A1081" s="11" t="n">
        <v>44050</v>
      </c>
      <c r="B1081" s="22">
        <f>'JGBCurve'!$C$1081</f>
        <v/>
      </c>
      <c r="C1081" s="22" t="n">
        <v>-0.035</v>
      </c>
      <c r="D1081" s="23">
        <f>($B1081-$C1081)*100</f>
        <v/>
      </c>
    </row>
    <row r="1082">
      <c r="A1082" s="11" t="n">
        <v>44057</v>
      </c>
      <c r="B1082" s="22">
        <f>'JGBCurve'!$C$1082</f>
        <v/>
      </c>
      <c r="C1082" s="22" t="n">
        <v>-0.035</v>
      </c>
      <c r="D1082" s="23">
        <f>($B1082-$C1082)*100</f>
        <v/>
      </c>
    </row>
    <row r="1083">
      <c r="A1083" s="11" t="n">
        <v>44064</v>
      </c>
      <c r="B1083" s="22">
        <f>'JGBCurve'!$C$1083</f>
        <v/>
      </c>
      <c r="C1083" s="22" t="n">
        <v>-0.035</v>
      </c>
      <c r="D1083" s="23">
        <f>($B1083-$C1083)*100</f>
        <v/>
      </c>
    </row>
    <row r="1084">
      <c r="A1084" s="11" t="n">
        <v>44071</v>
      </c>
      <c r="B1084" s="22">
        <f>'JGBCurve'!$C$1084</f>
        <v/>
      </c>
      <c r="C1084" s="22" t="n">
        <v>-0.035</v>
      </c>
      <c r="D1084" s="23">
        <f>($B1084-$C1084)*100</f>
        <v/>
      </c>
    </row>
    <row r="1085">
      <c r="A1085" s="11" t="n">
        <v>44078</v>
      </c>
      <c r="B1085" s="22">
        <f>'JGBCurve'!$C$1085</f>
        <v/>
      </c>
      <c r="C1085" s="22" t="n">
        <v>-0.054</v>
      </c>
      <c r="D1085" s="23">
        <f>($B1085-$C1085)*100</f>
        <v/>
      </c>
    </row>
    <row r="1086">
      <c r="A1086" s="11" t="n">
        <v>44085</v>
      </c>
      <c r="B1086" s="22">
        <f>'JGBCurve'!$C$1086</f>
        <v/>
      </c>
      <c r="C1086" s="22" t="n">
        <v>-0.054</v>
      </c>
      <c r="D1086" s="23">
        <f>($B1086-$C1086)*100</f>
        <v/>
      </c>
    </row>
    <row r="1087">
      <c r="A1087" s="11" t="n">
        <v>44092</v>
      </c>
      <c r="B1087" s="22">
        <f>'JGBCurve'!$C$1087</f>
        <v/>
      </c>
      <c r="C1087" s="22" t="n">
        <v>-0.054</v>
      </c>
      <c r="D1087" s="23">
        <f>($B1087-$C1087)*100</f>
        <v/>
      </c>
    </row>
    <row r="1088">
      <c r="A1088" s="11" t="n">
        <v>44099</v>
      </c>
      <c r="B1088" s="22">
        <f>'JGBCurve'!$C$1088</f>
        <v/>
      </c>
      <c r="C1088" s="22" t="n">
        <v>-0.054</v>
      </c>
      <c r="D1088" s="23">
        <f>($B1088-$C1088)*100</f>
        <v/>
      </c>
    </row>
    <row r="1089">
      <c r="A1089" s="11" t="n">
        <v>44106</v>
      </c>
      <c r="B1089" s="22">
        <f>'JGBCurve'!$C$1089</f>
        <v/>
      </c>
      <c r="C1089" s="22" t="n">
        <v>-0.02</v>
      </c>
      <c r="D1089" s="23">
        <f>($B1089-$C1089)*100</f>
        <v/>
      </c>
    </row>
    <row r="1090">
      <c r="A1090" s="11" t="n">
        <v>44113</v>
      </c>
      <c r="B1090" s="22">
        <f>'JGBCurve'!$C$1090</f>
        <v/>
      </c>
      <c r="C1090" s="22" t="n">
        <v>-0.02</v>
      </c>
      <c r="D1090" s="23">
        <f>($B1090-$C1090)*100</f>
        <v/>
      </c>
    </row>
    <row r="1091">
      <c r="A1091" s="11" t="n">
        <v>44120</v>
      </c>
      <c r="B1091" s="22">
        <f>'JGBCurve'!$C$1091</f>
        <v/>
      </c>
      <c r="C1091" s="22" t="n">
        <v>-0.02</v>
      </c>
      <c r="D1091" s="23">
        <f>($B1091-$C1091)*100</f>
        <v/>
      </c>
    </row>
    <row r="1092">
      <c r="A1092" s="11" t="n">
        <v>44127</v>
      </c>
      <c r="B1092" s="22">
        <f>'JGBCurve'!$C$1092</f>
        <v/>
      </c>
      <c r="C1092" s="22" t="n">
        <v>-0.02</v>
      </c>
      <c r="D1092" s="23">
        <f>($B1092-$C1092)*100</f>
        <v/>
      </c>
    </row>
    <row r="1093">
      <c r="A1093" s="11" t="n">
        <v>44134</v>
      </c>
      <c r="B1093" s="22">
        <f>'JGBCurve'!$C$1093</f>
        <v/>
      </c>
      <c r="C1093" s="22" t="n">
        <v>-0.02</v>
      </c>
      <c r="D1093" s="23">
        <f>($B1093-$C1093)*100</f>
        <v/>
      </c>
    </row>
    <row r="1094">
      <c r="A1094" s="11" t="n">
        <v>44141</v>
      </c>
      <c r="B1094" s="22">
        <f>'JGBCurve'!$C$1094</f>
        <v/>
      </c>
      <c r="C1094" s="22" t="n">
        <v>-0.032</v>
      </c>
      <c r="D1094" s="23">
        <f>($B1094-$C1094)*100</f>
        <v/>
      </c>
    </row>
    <row r="1095">
      <c r="A1095" s="11" t="n">
        <v>44148</v>
      </c>
      <c r="B1095" s="22">
        <f>'JGBCurve'!$C$1095</f>
        <v/>
      </c>
      <c r="C1095" s="22" t="n">
        <v>-0.032</v>
      </c>
      <c r="D1095" s="23">
        <f>($B1095-$C1095)*100</f>
        <v/>
      </c>
    </row>
    <row r="1096">
      <c r="A1096" s="11" t="n">
        <v>44155</v>
      </c>
      <c r="B1096" s="22">
        <f>'JGBCurve'!$C$1096</f>
        <v/>
      </c>
      <c r="C1096" s="22" t="n">
        <v>-0.032</v>
      </c>
      <c r="D1096" s="23">
        <f>($B1096-$C1096)*100</f>
        <v/>
      </c>
    </row>
    <row r="1097">
      <c r="A1097" s="11" t="n">
        <v>44162</v>
      </c>
      <c r="B1097" s="22">
        <f>'JGBCurve'!$C$1097</f>
        <v/>
      </c>
      <c r="C1097" s="22" t="n">
        <v>-0.032</v>
      </c>
      <c r="D1097" s="23">
        <f>($B1097-$C1097)*100</f>
        <v/>
      </c>
    </row>
    <row r="1098">
      <c r="A1098" s="11" t="n">
        <v>44169</v>
      </c>
      <c r="B1098" s="22">
        <f>'JGBCurve'!$C$1098</f>
        <v/>
      </c>
      <c r="C1098" s="22" t="n">
        <v>-0.026</v>
      </c>
      <c r="D1098" s="23">
        <f>($B1098-$C1098)*100</f>
        <v/>
      </c>
    </row>
    <row r="1099">
      <c r="A1099" s="11" t="n">
        <v>44176</v>
      </c>
      <c r="B1099" s="22">
        <f>'JGBCurve'!$C$1099</f>
        <v/>
      </c>
      <c r="C1099" s="22" t="n">
        <v>-0.026</v>
      </c>
      <c r="D1099" s="23">
        <f>($B1099-$C1099)*100</f>
        <v/>
      </c>
    </row>
    <row r="1100">
      <c r="A1100" s="11" t="n">
        <v>44183</v>
      </c>
      <c r="B1100" s="22">
        <f>'JGBCurve'!$C$1100</f>
        <v/>
      </c>
      <c r="C1100" s="22" t="n">
        <v>-0.026</v>
      </c>
      <c r="D1100" s="23">
        <f>($B1100-$C1100)*100</f>
        <v/>
      </c>
    </row>
    <row r="1101">
      <c r="A1101" s="11" t="n">
        <v>44190</v>
      </c>
      <c r="B1101" s="22">
        <f>'JGBCurve'!$C$1101</f>
        <v/>
      </c>
      <c r="C1101" s="22" t="n">
        <v>-0.026</v>
      </c>
      <c r="D1101" s="23">
        <f>($B1101-$C1101)*100</f>
        <v/>
      </c>
    </row>
    <row r="1102">
      <c r="A1102" s="11" t="n">
        <v>44197</v>
      </c>
      <c r="B1102" s="22">
        <f>'JGBCurve'!$C$1102</f>
        <v/>
      </c>
      <c r="C1102" s="22" t="n">
        <v>-0.017</v>
      </c>
      <c r="D1102" s="23">
        <f>($B1102-$C1102)*100</f>
        <v/>
      </c>
    </row>
    <row r="1103">
      <c r="A1103" s="11" t="n">
        <v>44204</v>
      </c>
      <c r="B1103" s="22">
        <f>'JGBCurve'!$C$1103</f>
        <v/>
      </c>
      <c r="C1103" s="22" t="n">
        <v>-0.017</v>
      </c>
      <c r="D1103" s="23">
        <f>($B1103-$C1103)*100</f>
        <v/>
      </c>
    </row>
    <row r="1104">
      <c r="A1104" s="11" t="n">
        <v>44211</v>
      </c>
      <c r="B1104" s="22">
        <f>'JGBCurve'!$C$1104</f>
        <v/>
      </c>
      <c r="C1104" s="22" t="n">
        <v>-0.017</v>
      </c>
      <c r="D1104" s="23">
        <f>($B1104-$C1104)*100</f>
        <v/>
      </c>
    </row>
    <row r="1105">
      <c r="A1105" s="11" t="n">
        <v>44218</v>
      </c>
      <c r="B1105" s="22">
        <f>'JGBCurve'!$C$1105</f>
        <v/>
      </c>
      <c r="C1105" s="22" t="n">
        <v>-0.017</v>
      </c>
      <c r="D1105" s="23">
        <f>($B1105-$C1105)*100</f>
        <v/>
      </c>
    </row>
    <row r="1106">
      <c r="A1106" s="11" t="n">
        <v>44225</v>
      </c>
      <c r="B1106" s="22">
        <f>'JGBCurve'!$C$1106</f>
        <v/>
      </c>
      <c r="C1106" s="22" t="n">
        <v>-0.017</v>
      </c>
      <c r="D1106" s="23">
        <f>($B1106-$C1106)*100</f>
        <v/>
      </c>
    </row>
    <row r="1107">
      <c r="A1107" s="11" t="n">
        <v>44232</v>
      </c>
      <c r="B1107" s="22">
        <f>'JGBCurve'!$C$1107</f>
        <v/>
      </c>
      <c r="C1107" s="22" t="n">
        <v>-0.016</v>
      </c>
      <c r="D1107" s="23">
        <f>($B1107-$C1107)*100</f>
        <v/>
      </c>
    </row>
    <row r="1108">
      <c r="A1108" s="11" t="n">
        <v>44239</v>
      </c>
      <c r="B1108" s="22">
        <f>'JGBCurve'!$C$1108</f>
        <v/>
      </c>
      <c r="C1108" s="22" t="n">
        <v>-0.016</v>
      </c>
      <c r="D1108" s="23">
        <f>($B1108-$C1108)*100</f>
        <v/>
      </c>
    </row>
    <row r="1109">
      <c r="A1109" s="11" t="n">
        <v>44246</v>
      </c>
      <c r="B1109" s="22">
        <f>'JGBCurve'!$C$1109</f>
        <v/>
      </c>
      <c r="C1109" s="22" t="n">
        <v>-0.016</v>
      </c>
      <c r="D1109" s="23">
        <f>($B1109-$C1109)*100</f>
        <v/>
      </c>
    </row>
    <row r="1110">
      <c r="A1110" s="11" t="n">
        <v>44253</v>
      </c>
      <c r="B1110" s="22">
        <f>'JGBCurve'!$C$1110</f>
        <v/>
      </c>
      <c r="C1110" s="22" t="n">
        <v>-0.016</v>
      </c>
      <c r="D1110" s="23">
        <f>($B1110-$C1110)*100</f>
        <v/>
      </c>
    </row>
    <row r="1111">
      <c r="A1111" s="11" t="n">
        <v>44260</v>
      </c>
      <c r="B1111" s="22">
        <f>'JGBCurve'!$C$1111</f>
        <v/>
      </c>
      <c r="C1111" s="22" t="n">
        <v>-0.017</v>
      </c>
      <c r="D1111" s="23">
        <f>($B1111-$C1111)*100</f>
        <v/>
      </c>
    </row>
    <row r="1112">
      <c r="A1112" s="11" t="n">
        <v>44267</v>
      </c>
      <c r="B1112" s="22">
        <f>'JGBCurve'!$C$1112</f>
        <v/>
      </c>
      <c r="C1112" s="22" t="n">
        <v>-0.017</v>
      </c>
      <c r="D1112" s="23">
        <f>($B1112-$C1112)*100</f>
        <v/>
      </c>
    </row>
    <row r="1113">
      <c r="A1113" s="11" t="n">
        <v>44274</v>
      </c>
      <c r="B1113" s="22">
        <f>'JGBCurve'!$C$1113</f>
        <v/>
      </c>
      <c r="C1113" s="22" t="n">
        <v>-0.017</v>
      </c>
      <c r="D1113" s="23">
        <f>($B1113-$C1113)*100</f>
        <v/>
      </c>
    </row>
    <row r="1114">
      <c r="A1114" s="11" t="n">
        <v>44281</v>
      </c>
      <c r="B1114" s="22">
        <f>'JGBCurve'!$C$1114</f>
        <v/>
      </c>
      <c r="C1114" s="22" t="n">
        <v>-0.017</v>
      </c>
      <c r="D1114" s="23">
        <f>($B1114-$C1114)*100</f>
        <v/>
      </c>
    </row>
    <row r="1115">
      <c r="A1115" s="11" t="n">
        <v>44288</v>
      </c>
      <c r="B1115" s="22">
        <f>'JGBCurve'!$C$1115</f>
        <v/>
      </c>
      <c r="C1115" s="22" t="n">
        <v>-0.012</v>
      </c>
      <c r="D1115" s="23">
        <f>($B1115-$C1115)*100</f>
        <v/>
      </c>
    </row>
    <row r="1116">
      <c r="A1116" s="11" t="n">
        <v>44295</v>
      </c>
      <c r="B1116" s="22">
        <f>'JGBCurve'!$C$1116</f>
        <v/>
      </c>
      <c r="C1116" s="22" t="n">
        <v>-0.012</v>
      </c>
      <c r="D1116" s="23">
        <f>($B1116-$C1116)*100</f>
        <v/>
      </c>
    </row>
    <row r="1117">
      <c r="A1117" s="11" t="n">
        <v>44302</v>
      </c>
      <c r="B1117" s="22">
        <f>'JGBCurve'!$C$1117</f>
        <v/>
      </c>
      <c r="C1117" s="22" t="n">
        <v>-0.012</v>
      </c>
      <c r="D1117" s="23">
        <f>($B1117-$C1117)*100</f>
        <v/>
      </c>
    </row>
    <row r="1118">
      <c r="A1118" s="11" t="n">
        <v>44309</v>
      </c>
      <c r="B1118" s="22">
        <f>'JGBCurve'!$C$1118</f>
        <v/>
      </c>
      <c r="C1118" s="22" t="n">
        <v>-0.012</v>
      </c>
      <c r="D1118" s="23">
        <f>($B1118-$C1118)*100</f>
        <v/>
      </c>
    </row>
    <row r="1119">
      <c r="A1119" s="11" t="n">
        <v>44316</v>
      </c>
      <c r="B1119" s="22">
        <f>'JGBCurve'!$C$1119</f>
        <v/>
      </c>
      <c r="C1119" s="22" t="n">
        <v>-0.012</v>
      </c>
      <c r="D1119" s="23">
        <f>($B1119-$C1119)*100</f>
        <v/>
      </c>
    </row>
    <row r="1120">
      <c r="A1120" s="11" t="n">
        <v>44323</v>
      </c>
      <c r="B1120" s="22">
        <f>'JGBCurve'!$C$1120</f>
        <v/>
      </c>
      <c r="C1120" s="22" t="n">
        <v>-0.017</v>
      </c>
      <c r="D1120" s="23">
        <f>($B1120-$C1120)*100</f>
        <v/>
      </c>
    </row>
    <row r="1121">
      <c r="A1121" s="11" t="n">
        <v>44330</v>
      </c>
      <c r="B1121" s="22">
        <f>'JGBCurve'!$C$1121</f>
        <v/>
      </c>
      <c r="C1121" s="22" t="n">
        <v>-0.017</v>
      </c>
      <c r="D1121" s="23">
        <f>($B1121-$C1121)*100</f>
        <v/>
      </c>
    </row>
    <row r="1122">
      <c r="A1122" s="11" t="n">
        <v>44337</v>
      </c>
      <c r="B1122" s="22">
        <f>'JGBCurve'!$C$1122</f>
        <v/>
      </c>
      <c r="C1122" s="22" t="n">
        <v>-0.017</v>
      </c>
      <c r="D1122" s="23">
        <f>($B1122-$C1122)*100</f>
        <v/>
      </c>
    </row>
    <row r="1123">
      <c r="A1123" s="11" t="n">
        <v>44344</v>
      </c>
      <c r="B1123" s="22">
        <f>'JGBCurve'!$C$1123</f>
        <v/>
      </c>
      <c r="C1123" s="22" t="n">
        <v>-0.017</v>
      </c>
      <c r="D1123" s="23">
        <f>($B1123-$C1123)*100</f>
        <v/>
      </c>
    </row>
    <row r="1124">
      <c r="A1124" s="11" t="n">
        <v>44351</v>
      </c>
      <c r="B1124" s="22">
        <f>'JGBCurve'!$C$1124</f>
        <v/>
      </c>
      <c r="C1124" s="22" t="n">
        <v>-0.029</v>
      </c>
      <c r="D1124" s="23">
        <f>($B1124-$C1124)*100</f>
        <v/>
      </c>
    </row>
    <row r="1125">
      <c r="A1125" s="11" t="n">
        <v>44358</v>
      </c>
      <c r="B1125" s="22">
        <f>'JGBCurve'!$C$1125</f>
        <v/>
      </c>
      <c r="C1125" s="22" t="n">
        <v>-0.029</v>
      </c>
      <c r="D1125" s="23">
        <f>($B1125-$C1125)*100</f>
        <v/>
      </c>
    </row>
    <row r="1126">
      <c r="A1126" s="11" t="n">
        <v>44365</v>
      </c>
      <c r="B1126" s="22">
        <f>'JGBCurve'!$C$1126</f>
        <v/>
      </c>
      <c r="C1126" s="22" t="n">
        <v>-0.029</v>
      </c>
      <c r="D1126" s="23">
        <f>($B1126-$C1126)*100</f>
        <v/>
      </c>
    </row>
    <row r="1127">
      <c r="A1127" s="11" t="n">
        <v>44372</v>
      </c>
      <c r="B1127" s="22">
        <f>'JGBCurve'!$C$1127</f>
        <v/>
      </c>
      <c r="C1127" s="22" t="n">
        <v>-0.029</v>
      </c>
      <c r="D1127" s="23">
        <f>($B1127-$C1127)*100</f>
        <v/>
      </c>
    </row>
    <row r="1128">
      <c r="A1128" s="11" t="n">
        <v>44379</v>
      </c>
      <c r="B1128" s="22">
        <f>'JGBCurve'!$C$1128</f>
        <v/>
      </c>
      <c r="C1128" s="22" t="n">
        <v>-0.036</v>
      </c>
      <c r="D1128" s="23">
        <f>($B1128-$C1128)*100</f>
        <v/>
      </c>
    </row>
    <row r="1129">
      <c r="A1129" s="11" t="n">
        <v>44386</v>
      </c>
      <c r="B1129" s="22">
        <f>'JGBCurve'!$C$1129</f>
        <v/>
      </c>
      <c r="C1129" s="22" t="n">
        <v>-0.036</v>
      </c>
      <c r="D1129" s="23">
        <f>($B1129-$C1129)*100</f>
        <v/>
      </c>
    </row>
    <row r="1130">
      <c r="A1130" s="11" t="n">
        <v>44393</v>
      </c>
      <c r="B1130" s="22">
        <f>'JGBCurve'!$C$1130</f>
        <v/>
      </c>
      <c r="C1130" s="22" t="n">
        <v>-0.036</v>
      </c>
      <c r="D1130" s="23">
        <f>($B1130-$C1130)*100</f>
        <v/>
      </c>
    </row>
    <row r="1131">
      <c r="A1131" s="11" t="n">
        <v>44400</v>
      </c>
      <c r="B1131" s="22">
        <f>'JGBCurve'!$C$1131</f>
        <v/>
      </c>
      <c r="C1131" s="22" t="n">
        <v>-0.036</v>
      </c>
      <c r="D1131" s="23">
        <f>($B1131-$C1131)*100</f>
        <v/>
      </c>
    </row>
    <row r="1132">
      <c r="A1132" s="11" t="n">
        <v>44407</v>
      </c>
      <c r="B1132" s="22">
        <f>'JGBCurve'!$C$1132</f>
        <v/>
      </c>
      <c r="C1132" s="22" t="n">
        <v>-0.036</v>
      </c>
      <c r="D1132" s="23">
        <f>($B1132-$C1132)*100</f>
        <v/>
      </c>
    </row>
    <row r="1133">
      <c r="A1133" s="11" t="n">
        <v>44414</v>
      </c>
      <c r="B1133" s="22">
        <f>'JGBCurve'!$C$1133</f>
        <v/>
      </c>
      <c r="C1133" s="22" t="n">
        <v>-0.034</v>
      </c>
      <c r="D1133" s="23">
        <f>($B1133-$C1133)*100</f>
        <v/>
      </c>
    </row>
    <row r="1134">
      <c r="A1134" s="11" t="n">
        <v>44421</v>
      </c>
      <c r="B1134" s="22">
        <f>'JGBCurve'!$C$1134</f>
        <v/>
      </c>
      <c r="C1134" s="22" t="n">
        <v>-0.034</v>
      </c>
      <c r="D1134" s="23">
        <f>($B1134-$C1134)*100</f>
        <v/>
      </c>
    </row>
    <row r="1135">
      <c r="A1135" s="11" t="n">
        <v>44428</v>
      </c>
      <c r="B1135" s="22">
        <f>'JGBCurve'!$C$1135</f>
        <v/>
      </c>
      <c r="C1135" s="22" t="n">
        <v>-0.034</v>
      </c>
      <c r="D1135" s="23">
        <f>($B1135-$C1135)*100</f>
        <v/>
      </c>
    </row>
    <row r="1136">
      <c r="A1136" s="11" t="n">
        <v>44435</v>
      </c>
      <c r="B1136" s="22">
        <f>'JGBCurve'!$C$1136</f>
        <v/>
      </c>
      <c r="C1136" s="22" t="n">
        <v>-0.034</v>
      </c>
      <c r="D1136" s="23">
        <f>($B1136-$C1136)*100</f>
        <v/>
      </c>
    </row>
    <row r="1137">
      <c r="A1137" s="11" t="n">
        <v>44442</v>
      </c>
      <c r="B1137" s="22">
        <f>'JGBCurve'!$C$1137</f>
        <v/>
      </c>
      <c r="C1137" s="22" t="n">
        <v>-0.022</v>
      </c>
      <c r="D1137" s="23">
        <f>($B1137-$C1137)*100</f>
        <v/>
      </c>
    </row>
    <row r="1138">
      <c r="A1138" s="11" t="n">
        <v>44449</v>
      </c>
      <c r="B1138" s="22">
        <f>'JGBCurve'!$C$1138</f>
        <v/>
      </c>
      <c r="C1138" s="22" t="n">
        <v>-0.022</v>
      </c>
      <c r="D1138" s="23">
        <f>($B1138-$C1138)*100</f>
        <v/>
      </c>
    </row>
    <row r="1139">
      <c r="A1139" s="11" t="n">
        <v>44456</v>
      </c>
      <c r="B1139" s="22">
        <f>'JGBCurve'!$C$1139</f>
        <v/>
      </c>
      <c r="C1139" s="22" t="n">
        <v>-0.022</v>
      </c>
      <c r="D1139" s="23">
        <f>($B1139-$C1139)*100</f>
        <v/>
      </c>
    </row>
    <row r="1140">
      <c r="A1140" s="11" t="n">
        <v>44463</v>
      </c>
      <c r="B1140" s="22">
        <f>'JGBCurve'!$C$1140</f>
        <v/>
      </c>
      <c r="C1140" s="22" t="n">
        <v>-0.022</v>
      </c>
      <c r="D1140" s="23">
        <f>($B1140-$C1140)*100</f>
        <v/>
      </c>
    </row>
    <row r="1141">
      <c r="A1141" s="11" t="n">
        <v>44470</v>
      </c>
      <c r="B1141" s="22">
        <f>'JGBCurve'!$C$1141</f>
        <v/>
      </c>
      <c r="C1141" s="22" t="n">
        <v>-0.027</v>
      </c>
      <c r="D1141" s="23">
        <f>($B1141-$C1141)*100</f>
        <v/>
      </c>
    </row>
    <row r="1142">
      <c r="A1142" s="11" t="n">
        <v>44477</v>
      </c>
      <c r="B1142" s="22">
        <f>'JGBCurve'!$C$1142</f>
        <v/>
      </c>
      <c r="C1142" s="22" t="n">
        <v>-0.027</v>
      </c>
      <c r="D1142" s="23">
        <f>($B1142-$C1142)*100</f>
        <v/>
      </c>
    </row>
    <row r="1143">
      <c r="A1143" s="11" t="n">
        <v>44484</v>
      </c>
      <c r="B1143" s="22">
        <f>'JGBCurve'!$C$1143</f>
        <v/>
      </c>
      <c r="C1143" s="22" t="n">
        <v>-0.027</v>
      </c>
      <c r="D1143" s="23">
        <f>($B1143-$C1143)*100</f>
        <v/>
      </c>
    </row>
    <row r="1144">
      <c r="A1144" s="11" t="n">
        <v>44491</v>
      </c>
      <c r="B1144" s="22">
        <f>'JGBCurve'!$C$1144</f>
        <v/>
      </c>
      <c r="C1144" s="22" t="n">
        <v>-0.027</v>
      </c>
      <c r="D1144" s="23">
        <f>($B1144-$C1144)*100</f>
        <v/>
      </c>
    </row>
    <row r="1145">
      <c r="A1145" s="11" t="n">
        <v>44498</v>
      </c>
      <c r="B1145" s="22">
        <f>'JGBCurve'!$C$1145</f>
        <v/>
      </c>
      <c r="C1145" s="22" t="n">
        <v>-0.027</v>
      </c>
      <c r="D1145" s="23">
        <f>($B1145-$C1145)*100</f>
        <v/>
      </c>
    </row>
    <row r="1146">
      <c r="A1146" s="11" t="n">
        <v>44505</v>
      </c>
      <c r="B1146" s="22">
        <f>'JGBCurve'!$C$1146</f>
        <v/>
      </c>
      <c r="C1146" s="22" t="n">
        <v>-0.039</v>
      </c>
      <c r="D1146" s="23">
        <f>($B1146-$C1146)*100</f>
        <v/>
      </c>
    </row>
    <row r="1147">
      <c r="A1147" s="11" t="n">
        <v>44512</v>
      </c>
      <c r="B1147" s="22">
        <f>'JGBCurve'!$C$1147</f>
        <v/>
      </c>
      <c r="C1147" s="22" t="n">
        <v>-0.039</v>
      </c>
      <c r="D1147" s="23">
        <f>($B1147-$C1147)*100</f>
        <v/>
      </c>
    </row>
    <row r="1148">
      <c r="A1148" s="11" t="n">
        <v>44519</v>
      </c>
      <c r="B1148" s="22">
        <f>'JGBCurve'!$C$1148</f>
        <v/>
      </c>
      <c r="C1148" s="22" t="n">
        <v>-0.039</v>
      </c>
      <c r="D1148" s="23">
        <f>($B1148-$C1148)*100</f>
        <v/>
      </c>
    </row>
    <row r="1149">
      <c r="A1149" s="11" t="n">
        <v>44526</v>
      </c>
      <c r="B1149" s="22">
        <f>'JGBCurve'!$C$1149</f>
        <v/>
      </c>
      <c r="C1149" s="22" t="n">
        <v>-0.039</v>
      </c>
      <c r="D1149" s="23">
        <f>($B1149-$C1149)*100</f>
        <v/>
      </c>
    </row>
    <row r="1150">
      <c r="A1150" s="11" t="n">
        <v>44533</v>
      </c>
      <c r="B1150" s="22">
        <f>'JGBCurve'!$C$1150</f>
        <v/>
      </c>
      <c r="C1150" s="22" t="n">
        <v>-0.026</v>
      </c>
      <c r="D1150" s="23">
        <f>($B1150-$C1150)*100</f>
        <v/>
      </c>
    </row>
    <row r="1151">
      <c r="A1151" s="11" t="n">
        <v>44540</v>
      </c>
      <c r="B1151" s="22">
        <f>'JGBCurve'!$C$1151</f>
        <v/>
      </c>
      <c r="C1151" s="22" t="n">
        <v>-0.026</v>
      </c>
      <c r="D1151" s="23">
        <f>($B1151-$C1151)*100</f>
        <v/>
      </c>
    </row>
    <row r="1152">
      <c r="A1152" s="11" t="n">
        <v>44547</v>
      </c>
      <c r="B1152" s="22">
        <f>'JGBCurve'!$C$1152</f>
        <v/>
      </c>
      <c r="C1152" s="22" t="n">
        <v>-0.026</v>
      </c>
      <c r="D1152" s="23">
        <f>($B1152-$C1152)*100</f>
        <v/>
      </c>
    </row>
    <row r="1153">
      <c r="A1153" s="11" t="n">
        <v>44554</v>
      </c>
      <c r="B1153" s="22">
        <f>'JGBCurve'!$C$1153</f>
        <v/>
      </c>
      <c r="C1153" s="22" t="n">
        <v>-0.026</v>
      </c>
      <c r="D1153" s="23">
        <f>($B1153-$C1153)*100</f>
        <v/>
      </c>
    </row>
    <row r="1154">
      <c r="A1154" s="11" t="n">
        <v>44561</v>
      </c>
      <c r="B1154" s="22">
        <f>'JGBCurve'!$C$1154</f>
        <v/>
      </c>
      <c r="C1154" s="22" t="n">
        <v>-0.026</v>
      </c>
      <c r="D1154" s="23">
        <f>($B1154-$C1154)*100</f>
        <v/>
      </c>
    </row>
    <row r="1155">
      <c r="A1155" s="11" t="n">
        <v>44568</v>
      </c>
      <c r="B1155" s="22">
        <f>'JGBCurve'!$C$1155</f>
        <v/>
      </c>
      <c r="C1155" s="22" t="n">
        <v>-0.02</v>
      </c>
      <c r="D1155" s="23">
        <f>($B1155-$C1155)*100</f>
        <v/>
      </c>
    </row>
    <row r="1156">
      <c r="A1156" s="11" t="n">
        <v>44575</v>
      </c>
      <c r="B1156" s="22">
        <f>'JGBCurve'!$C$1156</f>
        <v/>
      </c>
      <c r="C1156" s="22" t="n">
        <v>-0.02</v>
      </c>
      <c r="D1156" s="23">
        <f>($B1156-$C1156)*100</f>
        <v/>
      </c>
    </row>
    <row r="1157">
      <c r="A1157" s="11" t="n">
        <v>44582</v>
      </c>
      <c r="B1157" s="22">
        <f>'JGBCurve'!$C$1157</f>
        <v/>
      </c>
      <c r="C1157" s="22" t="n">
        <v>-0.02</v>
      </c>
      <c r="D1157" s="23">
        <f>($B1157-$C1157)*100</f>
        <v/>
      </c>
    </row>
    <row r="1158">
      <c r="A1158" s="11" t="n">
        <v>44589</v>
      </c>
      <c r="B1158" s="22">
        <f>'JGBCurve'!$C$1158</f>
        <v/>
      </c>
      <c r="C1158" s="22" t="n">
        <v>-0.02</v>
      </c>
      <c r="D1158" s="23">
        <f>($B1158-$C1158)*100</f>
        <v/>
      </c>
    </row>
    <row r="1159">
      <c r="A1159" s="11" t="n">
        <v>44596</v>
      </c>
      <c r="B1159" s="22">
        <f>'JGBCurve'!$C$1159</f>
        <v/>
      </c>
      <c r="C1159" s="22" t="n">
        <v>-0.018</v>
      </c>
      <c r="D1159" s="23">
        <f>($B1159-$C1159)*100</f>
        <v/>
      </c>
    </row>
    <row r="1160">
      <c r="A1160" s="11" t="n">
        <v>44603</v>
      </c>
      <c r="B1160" s="22">
        <f>'JGBCurve'!$C$1160</f>
        <v/>
      </c>
      <c r="C1160" s="22" t="n">
        <v>-0.018</v>
      </c>
      <c r="D1160" s="23">
        <f>($B1160-$C1160)*100</f>
        <v/>
      </c>
    </row>
    <row r="1161">
      <c r="A1161" s="11" t="n">
        <v>44610</v>
      </c>
      <c r="B1161" s="22">
        <f>'JGBCurve'!$C$1161</f>
        <v/>
      </c>
      <c r="C1161" s="22" t="n">
        <v>-0.018</v>
      </c>
      <c r="D1161" s="23">
        <f>($B1161-$C1161)*100</f>
        <v/>
      </c>
    </row>
    <row r="1162">
      <c r="A1162" s="11" t="n">
        <v>44617</v>
      </c>
      <c r="B1162" s="22">
        <f>'JGBCurve'!$C$1162</f>
        <v/>
      </c>
      <c r="C1162" s="22" t="n">
        <v>-0.018</v>
      </c>
      <c r="D1162" s="23">
        <f>($B1162-$C1162)*100</f>
        <v/>
      </c>
    </row>
    <row r="1163">
      <c r="A1163" s="11" t="n">
        <v>44624</v>
      </c>
      <c r="B1163" s="22">
        <f>'JGBCurve'!$C$1163</f>
        <v/>
      </c>
      <c r="C1163" s="22" t="n">
        <v>-0.008</v>
      </c>
      <c r="D1163" s="23">
        <f>($B1163-$C1163)*100</f>
        <v/>
      </c>
    </row>
    <row r="1164">
      <c r="A1164" s="11" t="n">
        <v>44631</v>
      </c>
      <c r="B1164" s="22">
        <f>'JGBCurve'!$C$1164</f>
        <v/>
      </c>
      <c r="C1164" s="22" t="n">
        <v>-0.008</v>
      </c>
      <c r="D1164" s="23">
        <f>($B1164-$C1164)*100</f>
        <v/>
      </c>
    </row>
    <row r="1165">
      <c r="A1165" s="11" t="n">
        <v>44638</v>
      </c>
      <c r="B1165" s="22">
        <f>'JGBCurve'!$C$1165</f>
        <v/>
      </c>
      <c r="C1165" s="22" t="n">
        <v>-0.008</v>
      </c>
      <c r="D1165" s="23">
        <f>($B1165-$C1165)*100</f>
        <v/>
      </c>
    </row>
    <row r="1166">
      <c r="A1166" s="11" t="n">
        <v>44645</v>
      </c>
      <c r="B1166" s="22">
        <f>'JGBCurve'!$C$1166</f>
        <v/>
      </c>
      <c r="C1166" s="22" t="n">
        <v>-0.008</v>
      </c>
      <c r="D1166" s="23">
        <f>($B1166-$C1166)*100</f>
        <v/>
      </c>
    </row>
    <row r="1167">
      <c r="A1167" s="11" t="n">
        <v>44652</v>
      </c>
      <c r="B1167" s="22">
        <f>'JGBCurve'!$C$1167</f>
        <v/>
      </c>
      <c r="C1167" s="22" t="n">
        <v>-0.012</v>
      </c>
      <c r="D1167" s="23">
        <f>($B1167-$C1167)*100</f>
        <v/>
      </c>
    </row>
    <row r="1168">
      <c r="A1168" s="11" t="n">
        <v>44659</v>
      </c>
      <c r="B1168" s="22">
        <f>'JGBCurve'!$C$1168</f>
        <v/>
      </c>
      <c r="C1168" s="22" t="n">
        <v>-0.012</v>
      </c>
      <c r="D1168" s="23">
        <f>($B1168-$C1168)*100</f>
        <v/>
      </c>
    </row>
    <row r="1169">
      <c r="A1169" s="11" t="n">
        <v>44666</v>
      </c>
      <c r="B1169" s="22">
        <f>'JGBCurve'!$C$1169</f>
        <v/>
      </c>
      <c r="C1169" s="22" t="n">
        <v>-0.012</v>
      </c>
      <c r="D1169" s="23">
        <f>($B1169-$C1169)*100</f>
        <v/>
      </c>
    </row>
    <row r="1170">
      <c r="A1170" s="11" t="n">
        <v>44673</v>
      </c>
      <c r="B1170" s="22">
        <f>'JGBCurve'!$C$1170</f>
        <v/>
      </c>
      <c r="C1170" s="22" t="n">
        <v>-0.012</v>
      </c>
      <c r="D1170" s="23">
        <f>($B1170-$C1170)*100</f>
        <v/>
      </c>
    </row>
    <row r="1171">
      <c r="A1171" s="11" t="n">
        <v>44680</v>
      </c>
      <c r="B1171" s="22">
        <f>'JGBCurve'!$C$1171</f>
        <v/>
      </c>
      <c r="C1171" s="22" t="n">
        <v>-0.012</v>
      </c>
      <c r="D1171" s="23">
        <f>($B1171-$C1171)*100</f>
        <v/>
      </c>
    </row>
    <row r="1172">
      <c r="A1172" s="11" t="n">
        <v>44687</v>
      </c>
      <c r="B1172" s="22">
        <f>'JGBCurve'!$C$1172</f>
        <v/>
      </c>
      <c r="C1172" s="22" t="n">
        <v>-0.018</v>
      </c>
      <c r="D1172" s="23">
        <f>($B1172-$C1172)*100</f>
        <v/>
      </c>
    </row>
    <row r="1173">
      <c r="A1173" s="11" t="n">
        <v>44694</v>
      </c>
      <c r="B1173" s="22">
        <f>'JGBCurve'!$C$1173</f>
        <v/>
      </c>
      <c r="C1173" s="22" t="n">
        <v>-0.018</v>
      </c>
      <c r="D1173" s="23">
        <f>($B1173-$C1173)*100</f>
        <v/>
      </c>
    </row>
    <row r="1174">
      <c r="A1174" s="11" t="n">
        <v>44701</v>
      </c>
      <c r="B1174" s="22">
        <f>'JGBCurve'!$C$1174</f>
        <v/>
      </c>
      <c r="C1174" s="22" t="n">
        <v>-0.018</v>
      </c>
      <c r="D1174" s="23">
        <f>($B1174-$C1174)*100</f>
        <v/>
      </c>
    </row>
    <row r="1175">
      <c r="A1175" s="11" t="n">
        <v>44708</v>
      </c>
      <c r="B1175" s="22">
        <f>'JGBCurve'!$C$1175</f>
        <v/>
      </c>
      <c r="C1175" s="22" t="n">
        <v>-0.018</v>
      </c>
      <c r="D1175" s="23">
        <f>($B1175-$C1175)*100</f>
        <v/>
      </c>
    </row>
    <row r="1176">
      <c r="A1176" s="11" t="n">
        <v>44715</v>
      </c>
      <c r="B1176" s="22">
        <f>'JGBCurve'!$C$1176</f>
        <v/>
      </c>
      <c r="C1176" s="22" t="n">
        <v>-0.038</v>
      </c>
      <c r="D1176" s="23">
        <f>($B1176-$C1176)*100</f>
        <v/>
      </c>
    </row>
    <row r="1177">
      <c r="A1177" s="11" t="n">
        <v>44722</v>
      </c>
      <c r="B1177" s="22">
        <f>'JGBCurve'!$C$1177</f>
        <v/>
      </c>
      <c r="C1177" s="22" t="n">
        <v>-0.038</v>
      </c>
      <c r="D1177" s="23">
        <f>($B1177-$C1177)*100</f>
        <v/>
      </c>
    </row>
    <row r="1178">
      <c r="A1178" s="11" t="n">
        <v>44729</v>
      </c>
      <c r="B1178" s="22">
        <f>'JGBCurve'!$C$1178</f>
        <v/>
      </c>
      <c r="C1178" s="22" t="n">
        <v>-0.038</v>
      </c>
      <c r="D1178" s="23">
        <f>($B1178-$C1178)*100</f>
        <v/>
      </c>
    </row>
    <row r="1179">
      <c r="A1179" s="11" t="n">
        <v>44736</v>
      </c>
      <c r="B1179" s="22">
        <f>'JGBCurve'!$C$1179</f>
        <v/>
      </c>
      <c r="C1179" s="22" t="n">
        <v>-0.038</v>
      </c>
      <c r="D1179" s="23">
        <f>($B1179-$C1179)*100</f>
        <v/>
      </c>
    </row>
    <row r="1180">
      <c r="A1180" s="11" t="n">
        <v>44743</v>
      </c>
      <c r="B1180" s="22">
        <f>'JGBCurve'!$C$1180</f>
        <v/>
      </c>
      <c r="C1180" s="22" t="n">
        <v>-0.012</v>
      </c>
      <c r="D1180" s="23">
        <f>($B1180-$C1180)*100</f>
        <v/>
      </c>
    </row>
    <row r="1181">
      <c r="A1181" s="11" t="n">
        <v>44750</v>
      </c>
      <c r="B1181" s="22">
        <f>'JGBCurve'!$C$1181</f>
        <v/>
      </c>
      <c r="C1181" s="22" t="n">
        <v>-0.012</v>
      </c>
      <c r="D1181" s="23">
        <f>($B1181-$C1181)*100</f>
        <v/>
      </c>
    </row>
    <row r="1182">
      <c r="A1182" s="11" t="n">
        <v>44757</v>
      </c>
      <c r="B1182" s="22">
        <f>'JGBCurve'!$C$1182</f>
        <v/>
      </c>
      <c r="C1182" s="22" t="n">
        <v>-0.012</v>
      </c>
      <c r="D1182" s="23">
        <f>($B1182-$C1182)*100</f>
        <v/>
      </c>
    </row>
    <row r="1183">
      <c r="A1183" s="11" t="n">
        <v>44764</v>
      </c>
      <c r="B1183" s="22">
        <f>'JGBCurve'!$C$1183</f>
        <v/>
      </c>
      <c r="C1183" s="22" t="n">
        <v>-0.012</v>
      </c>
      <c r="D1183" s="23">
        <f>($B1183-$C1183)*100</f>
        <v/>
      </c>
    </row>
    <row r="1184">
      <c r="A1184" s="11" t="n">
        <v>44771</v>
      </c>
      <c r="B1184" s="22">
        <f>'JGBCurve'!$C$1184</f>
        <v/>
      </c>
      <c r="C1184" s="22" t="n">
        <v>-0.012</v>
      </c>
      <c r="D1184" s="23">
        <f>($B1184-$C1184)*100</f>
        <v/>
      </c>
    </row>
    <row r="1185">
      <c r="A1185" s="11" t="n">
        <v>44778</v>
      </c>
      <c r="B1185" s="22">
        <f>'JGBCurve'!$C$1185</f>
        <v/>
      </c>
      <c r="C1185" s="22" t="n">
        <v>-0.018</v>
      </c>
      <c r="D1185" s="23">
        <f>($B1185-$C1185)*100</f>
        <v/>
      </c>
    </row>
    <row r="1186">
      <c r="A1186" s="11" t="n">
        <v>44785</v>
      </c>
      <c r="B1186" s="22">
        <f>'JGBCurve'!$C$1186</f>
        <v/>
      </c>
      <c r="C1186" s="22" t="n">
        <v>-0.018</v>
      </c>
      <c r="D1186" s="23">
        <f>($B1186-$C1186)*100</f>
        <v/>
      </c>
    </row>
    <row r="1187">
      <c r="A1187" s="11" t="n">
        <v>44792</v>
      </c>
      <c r="B1187" s="22">
        <f>'JGBCurve'!$C$1187</f>
        <v/>
      </c>
      <c r="C1187" s="22" t="n">
        <v>-0.018</v>
      </c>
      <c r="D1187" s="23">
        <f>($B1187-$C1187)*100</f>
        <v/>
      </c>
    </row>
    <row r="1188">
      <c r="A1188" s="11" t="n">
        <v>44799</v>
      </c>
      <c r="B1188" s="22">
        <f>'JGBCurve'!$C$1188</f>
        <v/>
      </c>
      <c r="C1188" s="22" t="n">
        <v>-0.018</v>
      </c>
      <c r="D1188" s="23">
        <f>($B1188-$C1188)*100</f>
        <v/>
      </c>
    </row>
    <row r="1189">
      <c r="A1189" s="11" t="n">
        <v>44806</v>
      </c>
      <c r="B1189" s="22">
        <f>'JGBCurve'!$C$1189</f>
        <v/>
      </c>
      <c r="C1189" s="22" t="n">
        <v>-0.049</v>
      </c>
      <c r="D1189" s="23">
        <f>($B1189-$C1189)*100</f>
        <v/>
      </c>
    </row>
    <row r="1190">
      <c r="A1190" s="11" t="n">
        <v>44813</v>
      </c>
      <c r="B1190" s="22">
        <f>'JGBCurve'!$C$1190</f>
        <v/>
      </c>
      <c r="C1190" s="22" t="n">
        <v>-0.049</v>
      </c>
      <c r="D1190" s="23">
        <f>($B1190-$C1190)*100</f>
        <v/>
      </c>
    </row>
    <row r="1191">
      <c r="A1191" s="11" t="n">
        <v>44820</v>
      </c>
      <c r="B1191" s="22">
        <f>'JGBCurve'!$C$1191</f>
        <v/>
      </c>
      <c r="C1191" s="22" t="n">
        <v>-0.049</v>
      </c>
      <c r="D1191" s="23">
        <f>($B1191-$C1191)*100</f>
        <v/>
      </c>
    </row>
    <row r="1192">
      <c r="A1192" s="11" t="n">
        <v>44827</v>
      </c>
      <c r="B1192" s="22">
        <f>'JGBCurve'!$C$1192</f>
        <v/>
      </c>
      <c r="C1192" s="22" t="n">
        <v>-0.049</v>
      </c>
      <c r="D1192" s="23">
        <f>($B1192-$C1192)*100</f>
        <v/>
      </c>
    </row>
    <row r="1193">
      <c r="A1193" s="11" t="n">
        <v>44834</v>
      </c>
      <c r="B1193" s="22">
        <f>'JGBCurve'!$C$1193</f>
        <v/>
      </c>
      <c r="C1193" s="22" t="n">
        <v>-0.049</v>
      </c>
      <c r="D1193" s="23">
        <f>($B1193-$C1193)*100</f>
        <v/>
      </c>
    </row>
    <row r="1194">
      <c r="A1194" s="11" t="n">
        <v>44841</v>
      </c>
      <c r="B1194" s="22">
        <f>'JGBCurve'!$C$1194</f>
        <v/>
      </c>
      <c r="C1194" s="22" t="n">
        <v>-0.05</v>
      </c>
      <c r="D1194" s="23">
        <f>($B1194-$C1194)*100</f>
        <v/>
      </c>
    </row>
    <row r="1195">
      <c r="A1195" s="11" t="n">
        <v>44848</v>
      </c>
      <c r="B1195" s="22">
        <f>'JGBCurve'!$C$1195</f>
        <v/>
      </c>
      <c r="C1195" s="22" t="n">
        <v>-0.05</v>
      </c>
      <c r="D1195" s="23">
        <f>($B1195-$C1195)*100</f>
        <v/>
      </c>
    </row>
    <row r="1196">
      <c r="A1196" s="11" t="n">
        <v>44855</v>
      </c>
      <c r="B1196" s="22">
        <f>'JGBCurve'!$C$1196</f>
        <v/>
      </c>
      <c r="C1196" s="22" t="n">
        <v>-0.05</v>
      </c>
      <c r="D1196" s="23">
        <f>($B1196-$C1196)*100</f>
        <v/>
      </c>
    </row>
    <row r="1197">
      <c r="A1197" s="11" t="n">
        <v>44862</v>
      </c>
      <c r="B1197" s="22">
        <f>'JGBCurve'!$C$1197</f>
        <v/>
      </c>
      <c r="C1197" s="22" t="n">
        <v>-0.05</v>
      </c>
      <c r="D1197" s="23">
        <f>($B1197-$C1197)*100</f>
        <v/>
      </c>
    </row>
    <row r="1198">
      <c r="A1198" s="11" t="n">
        <v>44869</v>
      </c>
      <c r="B1198" s="22">
        <f>'JGBCurve'!$C$1198</f>
        <v/>
      </c>
      <c r="C1198" s="22" t="n">
        <v>-0.067</v>
      </c>
      <c r="D1198" s="23">
        <f>($B1198-$C1198)*100</f>
        <v/>
      </c>
    </row>
    <row r="1199">
      <c r="A1199" s="11" t="n">
        <v>44876</v>
      </c>
      <c r="B1199" s="22">
        <f>'JGBCurve'!$C$1199</f>
        <v/>
      </c>
      <c r="C1199" s="22" t="n">
        <v>-0.067</v>
      </c>
      <c r="D1199" s="23">
        <f>($B1199-$C1199)*100</f>
        <v/>
      </c>
    </row>
    <row r="1200">
      <c r="A1200" s="11" t="n">
        <v>44883</v>
      </c>
      <c r="B1200" s="22">
        <f>'JGBCurve'!$C$1200</f>
        <v/>
      </c>
      <c r="C1200" s="22" t="n">
        <v>-0.067</v>
      </c>
      <c r="D1200" s="23">
        <f>($B1200-$C1200)*100</f>
        <v/>
      </c>
    </row>
    <row r="1201">
      <c r="A1201" s="11" t="n">
        <v>44890</v>
      </c>
      <c r="B1201" s="22">
        <f>'JGBCurve'!$C$1201</f>
        <v/>
      </c>
      <c r="C1201" s="22" t="n">
        <v>-0.067</v>
      </c>
      <c r="D1201" s="23">
        <f>($B1201-$C1201)*100</f>
        <v/>
      </c>
    </row>
    <row r="1202">
      <c r="A1202" s="11" t="n">
        <v>44897</v>
      </c>
      <c r="B1202" s="22">
        <f>'JGBCurve'!$C$1202</f>
        <v/>
      </c>
      <c r="C1202" s="22" t="n">
        <v>-0.07000000000000001</v>
      </c>
      <c r="D1202" s="23">
        <f>($B1202-$C1202)*100</f>
        <v/>
      </c>
    </row>
    <row r="1203">
      <c r="A1203" s="11" t="n">
        <v>44904</v>
      </c>
      <c r="B1203" s="22">
        <f>'JGBCurve'!$C$1203</f>
        <v/>
      </c>
      <c r="C1203" s="22" t="n">
        <v>-0.07000000000000001</v>
      </c>
      <c r="D1203" s="23">
        <f>($B1203-$C1203)*100</f>
        <v/>
      </c>
    </row>
    <row r="1204">
      <c r="A1204" s="11" t="n">
        <v>44911</v>
      </c>
      <c r="B1204" s="22">
        <f>'JGBCurve'!$C$1204</f>
        <v/>
      </c>
      <c r="C1204" s="22" t="n">
        <v>-0.07000000000000001</v>
      </c>
      <c r="D1204" s="23">
        <f>($B1204-$C1204)*100</f>
        <v/>
      </c>
    </row>
    <row r="1205">
      <c r="A1205" s="11" t="n">
        <v>44918</v>
      </c>
      <c r="B1205" s="22">
        <f>'JGBCurve'!$C$1205</f>
        <v/>
      </c>
      <c r="C1205" s="22" t="n">
        <v>-0.07000000000000001</v>
      </c>
      <c r="D1205" s="23">
        <f>($B1205-$C1205)*100</f>
        <v/>
      </c>
    </row>
    <row r="1206">
      <c r="A1206" s="11" t="n">
        <v>44925</v>
      </c>
      <c r="B1206" s="22">
        <f>'JGBCurve'!$C$1206</f>
        <v/>
      </c>
      <c r="C1206" s="22" t="n">
        <v>-0.07000000000000001</v>
      </c>
      <c r="D1206" s="23">
        <f>($B1206-$C1206)*100</f>
        <v/>
      </c>
    </row>
    <row r="1207">
      <c r="A1207" s="11" t="n">
        <v>44932</v>
      </c>
      <c r="B1207" s="22">
        <f>'JGBCurve'!$C$1207</f>
        <v/>
      </c>
      <c r="C1207" s="22" t="n">
        <v>-0.02</v>
      </c>
      <c r="D1207" s="23">
        <f>($B1207-$C1207)*100</f>
        <v/>
      </c>
    </row>
    <row r="1208">
      <c r="A1208" s="11" t="n">
        <v>44939</v>
      </c>
      <c r="B1208" s="22">
        <f>'JGBCurve'!$C$1208</f>
        <v/>
      </c>
      <c r="C1208" s="22" t="n">
        <v>-0.02</v>
      </c>
      <c r="D1208" s="23">
        <f>($B1208-$C1208)*100</f>
        <v/>
      </c>
    </row>
    <row r="1209">
      <c r="A1209" s="11" t="n">
        <v>44946</v>
      </c>
      <c r="B1209" s="22">
        <f>'JGBCurve'!$C$1209</f>
        <v/>
      </c>
      <c r="C1209" s="22" t="n">
        <v>-0.02</v>
      </c>
      <c r="D1209" s="23">
        <f>($B1209-$C1209)*100</f>
        <v/>
      </c>
    </row>
    <row r="1210">
      <c r="A1210" s="11" t="n">
        <v>44953</v>
      </c>
      <c r="B1210" s="22">
        <f>'JGBCurve'!$C$1210</f>
        <v/>
      </c>
      <c r="C1210" s="22" t="n">
        <v>-0.02</v>
      </c>
      <c r="D1210" s="23">
        <f>($B1210-$C1210)*100</f>
        <v/>
      </c>
    </row>
    <row r="1211">
      <c r="A1211" s="11" t="n">
        <v>44960</v>
      </c>
      <c r="B1211" s="22">
        <f>'JGBCurve'!$C$1211</f>
        <v/>
      </c>
      <c r="C1211" s="22" t="n">
        <v>-0.019</v>
      </c>
      <c r="D1211" s="23">
        <f>($B1211-$C1211)*100</f>
        <v/>
      </c>
    </row>
    <row r="1212">
      <c r="A1212" s="11" t="n">
        <v>44967</v>
      </c>
      <c r="B1212" s="22">
        <f>'JGBCurve'!$C$1212</f>
        <v/>
      </c>
      <c r="C1212" s="22" t="n">
        <v>-0.019</v>
      </c>
      <c r="D1212" s="23">
        <f>($B1212-$C1212)*100</f>
        <v/>
      </c>
    </row>
    <row r="1213">
      <c r="A1213" s="11" t="n">
        <v>44974</v>
      </c>
      <c r="B1213" s="22">
        <f>'JGBCurve'!$C$1213</f>
        <v/>
      </c>
      <c r="C1213" s="22" t="n">
        <v>-0.019</v>
      </c>
      <c r="D1213" s="23">
        <f>($B1213-$C1213)*100</f>
        <v/>
      </c>
    </row>
    <row r="1214">
      <c r="A1214" s="11" t="n">
        <v>44981</v>
      </c>
      <c r="B1214" s="22">
        <f>'JGBCurve'!$C$1214</f>
        <v/>
      </c>
      <c r="C1214" s="22" t="n">
        <v>-0.019</v>
      </c>
      <c r="D1214" s="23">
        <f>($B1214-$C1214)*100</f>
        <v/>
      </c>
    </row>
    <row r="1215">
      <c r="A1215" s="11" t="n">
        <v>44988</v>
      </c>
      <c r="B1215" s="22">
        <f>'JGBCurve'!$C$1215</f>
        <v/>
      </c>
      <c r="C1215" s="22" t="n">
        <v>-0.017</v>
      </c>
      <c r="D1215" s="23">
        <f>($B1215-$C1215)*100</f>
        <v/>
      </c>
    </row>
    <row r="1216">
      <c r="A1216" s="11" t="n">
        <v>44995</v>
      </c>
      <c r="B1216" s="22">
        <f>'JGBCurve'!$C$1216</f>
        <v/>
      </c>
      <c r="C1216" s="22" t="n">
        <v>-0.017</v>
      </c>
      <c r="D1216" s="23">
        <f>($B1216-$C1216)*100</f>
        <v/>
      </c>
    </row>
    <row r="1217">
      <c r="A1217" s="11" t="n">
        <v>45002</v>
      </c>
      <c r="B1217" s="22">
        <f>'JGBCurve'!$C$1217</f>
        <v/>
      </c>
      <c r="C1217" s="22" t="n">
        <v>-0.017</v>
      </c>
      <c r="D1217" s="23">
        <f>($B1217-$C1217)*100</f>
        <v/>
      </c>
    </row>
    <row r="1218">
      <c r="A1218" s="11" t="n">
        <v>45009</v>
      </c>
      <c r="B1218" s="22">
        <f>'JGBCurve'!$C$1218</f>
        <v/>
      </c>
      <c r="C1218" s="22" t="n">
        <v>-0.017</v>
      </c>
      <c r="D1218" s="23">
        <f>($B1218-$C1218)*100</f>
        <v/>
      </c>
    </row>
    <row r="1219">
      <c r="A1219" s="11" t="n">
        <v>45016</v>
      </c>
      <c r="B1219" s="22">
        <f>'JGBCurve'!$C$1219</f>
        <v/>
      </c>
      <c r="C1219" s="22" t="n">
        <v>-0.017</v>
      </c>
      <c r="D1219" s="23">
        <f>($B1219-$C1219)*100</f>
        <v/>
      </c>
    </row>
    <row r="1220">
      <c r="A1220" s="11" t="n">
        <v>45023</v>
      </c>
      <c r="B1220" s="22">
        <f>'JGBCurve'!$C$1220</f>
        <v/>
      </c>
      <c r="C1220" s="22" t="n">
        <v>-0.015</v>
      </c>
      <c r="D1220" s="23">
        <f>($B1220-$C1220)*100</f>
        <v/>
      </c>
    </row>
    <row r="1221">
      <c r="A1221" s="11" t="n">
        <v>45030</v>
      </c>
      <c r="B1221" s="22">
        <f>'JGBCurve'!$C$1221</f>
        <v/>
      </c>
      <c r="C1221" s="22" t="n">
        <v>-0.015</v>
      </c>
      <c r="D1221" s="23">
        <f>($B1221-$C1221)*100</f>
        <v/>
      </c>
    </row>
    <row r="1222">
      <c r="A1222" s="11" t="n">
        <v>45037</v>
      </c>
      <c r="B1222" s="22">
        <f>'JGBCurve'!$C$1222</f>
        <v/>
      </c>
      <c r="C1222" s="22" t="n">
        <v>-0.015</v>
      </c>
      <c r="D1222" s="23">
        <f>($B1222-$C1222)*100</f>
        <v/>
      </c>
    </row>
    <row r="1223">
      <c r="A1223" s="11" t="n">
        <v>45044</v>
      </c>
      <c r="B1223" s="22">
        <f>'JGBCurve'!$C$1223</f>
        <v/>
      </c>
      <c r="C1223" s="22" t="n">
        <v>-0.015</v>
      </c>
      <c r="D1223" s="23">
        <f>($B1223-$C1223)*100</f>
        <v/>
      </c>
    </row>
    <row r="1224">
      <c r="A1224" s="11" t="n">
        <v>45051</v>
      </c>
      <c r="B1224" s="22">
        <f>'JGBCurve'!$C$1224</f>
        <v/>
      </c>
      <c r="C1224" s="22" t="n">
        <v>-0.051</v>
      </c>
      <c r="D1224" s="23">
        <f>($B1224-$C1224)*100</f>
        <v/>
      </c>
    </row>
    <row r="1225">
      <c r="A1225" s="11" t="n">
        <v>45058</v>
      </c>
      <c r="B1225" s="22">
        <f>'JGBCurve'!$C$1225</f>
        <v/>
      </c>
      <c r="C1225" s="22" t="n">
        <v>-0.051</v>
      </c>
      <c r="D1225" s="23">
        <f>($B1225-$C1225)*100</f>
        <v/>
      </c>
    </row>
    <row r="1226">
      <c r="A1226" s="11" t="n">
        <v>45065</v>
      </c>
      <c r="B1226" s="22">
        <f>'JGBCurve'!$C$1226</f>
        <v/>
      </c>
      <c r="C1226" s="22" t="n">
        <v>-0.051</v>
      </c>
      <c r="D1226" s="23">
        <f>($B1226-$C1226)*100</f>
        <v/>
      </c>
    </row>
    <row r="1227">
      <c r="A1227" s="11" t="n">
        <v>45072</v>
      </c>
      <c r="B1227" s="22">
        <f>'JGBCurve'!$C$1227</f>
        <v/>
      </c>
      <c r="C1227" s="22" t="n">
        <v>-0.051</v>
      </c>
      <c r="D1227" s="23">
        <f>($B1227-$C1227)*100</f>
        <v/>
      </c>
    </row>
    <row r="1228">
      <c r="A1228" s="11" t="n">
        <v>45079</v>
      </c>
      <c r="B1228" s="22">
        <f>'JGBCurve'!$C$1228</f>
        <v/>
      </c>
      <c r="C1228" s="22" t="n">
        <v>-0.066</v>
      </c>
      <c r="D1228" s="23">
        <f>($B1228-$C1228)*100</f>
        <v/>
      </c>
    </row>
    <row r="1229">
      <c r="A1229" s="11" t="n">
        <v>45086</v>
      </c>
      <c r="B1229" s="22">
        <f>'JGBCurve'!$C$1229</f>
        <v/>
      </c>
      <c r="C1229" s="22" t="n">
        <v>-0.066</v>
      </c>
      <c r="D1229" s="23">
        <f>($B1229-$C1229)*100</f>
        <v/>
      </c>
    </row>
    <row r="1230">
      <c r="A1230" s="11" t="n">
        <v>45093</v>
      </c>
      <c r="B1230" s="22">
        <f>'JGBCurve'!$C$1230</f>
        <v/>
      </c>
      <c r="C1230" s="22" t="n">
        <v>-0.066</v>
      </c>
      <c r="D1230" s="23">
        <f>($B1230-$C1230)*100</f>
        <v/>
      </c>
    </row>
    <row r="1231">
      <c r="A1231" s="11" t="n">
        <v>45100</v>
      </c>
      <c r="B1231" s="22">
        <f>'JGBCurve'!$C$1231</f>
        <v/>
      </c>
      <c r="C1231" s="22" t="n">
        <v>-0.066</v>
      </c>
      <c r="D1231" s="23">
        <f>($B1231-$C1231)*100</f>
        <v/>
      </c>
    </row>
    <row r="1232">
      <c r="A1232" s="11" t="n">
        <v>45107</v>
      </c>
      <c r="B1232" s="22">
        <f>'JGBCurve'!$C$1232</f>
        <v/>
      </c>
      <c r="C1232" s="22" t="n">
        <v>-0.066</v>
      </c>
      <c r="D1232" s="23">
        <f>($B1232-$C1232)*100</f>
        <v/>
      </c>
    </row>
    <row r="1233">
      <c r="A1233" s="11" t="n">
        <v>45114</v>
      </c>
      <c r="B1233" s="22">
        <f>'JGBCurve'!$C$1233</f>
        <v/>
      </c>
      <c r="C1233" s="22" t="n">
        <v>-0.046</v>
      </c>
      <c r="D1233" s="23">
        <f>($B1233-$C1233)*100</f>
        <v/>
      </c>
    </row>
    <row r="1234">
      <c r="A1234" s="11" t="n">
        <v>45121</v>
      </c>
      <c r="B1234" s="22">
        <f>'JGBCurve'!$C$1234</f>
        <v/>
      </c>
      <c r="C1234" s="22" t="n">
        <v>-0.046</v>
      </c>
      <c r="D1234" s="23">
        <f>($B1234-$C1234)*100</f>
        <v/>
      </c>
    </row>
    <row r="1235">
      <c r="A1235" s="11" t="n">
        <v>45128</v>
      </c>
      <c r="B1235" s="22">
        <f>'JGBCurve'!$C$1235</f>
        <v/>
      </c>
      <c r="C1235" s="22" t="n">
        <v>-0.046</v>
      </c>
      <c r="D1235" s="23">
        <f>($B1235-$C1235)*100</f>
        <v/>
      </c>
    </row>
    <row r="1236">
      <c r="A1236" s="11" t="n">
        <v>45135</v>
      </c>
      <c r="B1236" s="22">
        <f>'JGBCurve'!$C$1236</f>
        <v/>
      </c>
      <c r="C1236" s="22" t="n">
        <v>-0.046</v>
      </c>
      <c r="D1236" s="23">
        <f>($B1236-$C1236)*100</f>
        <v/>
      </c>
    </row>
    <row r="1237">
      <c r="A1237" s="11" t="n">
        <v>45142</v>
      </c>
      <c r="B1237" s="22">
        <f>'JGBCurve'!$C$1237</f>
        <v/>
      </c>
      <c r="C1237" s="22" t="n">
        <v>-0.064</v>
      </c>
      <c r="D1237" s="23">
        <f>($B1237-$C1237)*100</f>
        <v/>
      </c>
    </row>
    <row r="1238">
      <c r="A1238" s="11" t="n">
        <v>45149</v>
      </c>
      <c r="B1238" s="22">
        <f>'JGBCurve'!$C$1238</f>
        <v/>
      </c>
      <c r="C1238" s="22" t="n">
        <v>-0.064</v>
      </c>
      <c r="D1238" s="23">
        <f>($B1238-$C1238)*100</f>
        <v/>
      </c>
    </row>
    <row r="1239">
      <c r="A1239" s="11" t="n">
        <v>45156</v>
      </c>
      <c r="B1239" s="22">
        <f>'JGBCurve'!$C$1239</f>
        <v/>
      </c>
      <c r="C1239" s="22" t="n">
        <v>-0.064</v>
      </c>
      <c r="D1239" s="23">
        <f>($B1239-$C1239)*100</f>
        <v/>
      </c>
    </row>
    <row r="1240">
      <c r="A1240" s="11" t="n">
        <v>45163</v>
      </c>
      <c r="B1240" s="22">
        <f>'JGBCurve'!$C$1240</f>
        <v/>
      </c>
      <c r="C1240" s="22" t="n">
        <v>-0.064</v>
      </c>
      <c r="D1240" s="23">
        <f>($B1240-$C1240)*100</f>
        <v/>
      </c>
    </row>
    <row r="1241">
      <c r="A1241" s="11" t="n">
        <v>45170</v>
      </c>
      <c r="B1241" s="22">
        <f>'JGBCurve'!$C$1241</f>
        <v/>
      </c>
      <c r="C1241" s="22" t="n">
        <v>-0.054</v>
      </c>
      <c r="D1241" s="23">
        <f>($B1241-$C1241)*100</f>
        <v/>
      </c>
    </row>
    <row r="1242">
      <c r="A1242" s="11" t="n">
        <v>45177</v>
      </c>
      <c r="B1242" s="22">
        <f>'JGBCurve'!$C$1242</f>
        <v/>
      </c>
      <c r="C1242" s="22" t="n">
        <v>-0.054</v>
      </c>
      <c r="D1242" s="23">
        <f>($B1242-$C1242)*100</f>
        <v/>
      </c>
    </row>
    <row r="1243">
      <c r="A1243" s="11" t="n">
        <v>45184</v>
      </c>
      <c r="B1243" s="22">
        <f>'JGBCurve'!$C$1243</f>
        <v/>
      </c>
      <c r="C1243" s="22" t="n">
        <v>-0.054</v>
      </c>
      <c r="D1243" s="23">
        <f>($B1243-$C1243)*100</f>
        <v/>
      </c>
    </row>
    <row r="1244">
      <c r="A1244" s="11" t="n">
        <v>45191</v>
      </c>
      <c r="B1244" s="22">
        <f>'JGBCurve'!$C$1244</f>
        <v/>
      </c>
      <c r="C1244" s="22" t="n">
        <v>-0.054</v>
      </c>
      <c r="D1244" s="23">
        <f>($B1244-$C1244)*100</f>
        <v/>
      </c>
    </row>
    <row r="1245">
      <c r="A1245" s="11" t="n">
        <v>45198</v>
      </c>
      <c r="B1245" s="22">
        <f>'JGBCurve'!$C$1245</f>
        <v/>
      </c>
      <c r="C1245" s="22" t="n">
        <v>-0.054</v>
      </c>
      <c r="D1245" s="23">
        <f>($B1245-$C1245)*100</f>
        <v/>
      </c>
    </row>
    <row r="1246">
      <c r="A1246" s="11" t="n">
        <v>45205</v>
      </c>
      <c r="B1246" s="22">
        <f>'JGBCurve'!$C$1246</f>
        <v/>
      </c>
      <c r="C1246" s="22" t="n">
        <v>-0.02</v>
      </c>
      <c r="D1246" s="23">
        <f>($B1246-$C1246)*100</f>
        <v/>
      </c>
    </row>
    <row r="1247">
      <c r="A1247" s="11" t="n">
        <v>45212</v>
      </c>
      <c r="B1247" s="22">
        <f>'JGBCurve'!$C$1247</f>
        <v/>
      </c>
      <c r="C1247" s="22" t="n">
        <v>-0.02</v>
      </c>
      <c r="D1247" s="23">
        <f>($B1247-$C1247)*100</f>
        <v/>
      </c>
    </row>
    <row r="1248">
      <c r="A1248" s="11" t="n">
        <v>45219</v>
      </c>
      <c r="B1248" s="22">
        <f>'JGBCurve'!$C$1248</f>
        <v/>
      </c>
      <c r="C1248" s="22" t="n">
        <v>-0.02</v>
      </c>
      <c r="D1248" s="23">
        <f>($B1248-$C1248)*100</f>
        <v/>
      </c>
    </row>
    <row r="1249">
      <c r="A1249" s="11" t="n">
        <v>45226</v>
      </c>
      <c r="B1249" s="22">
        <f>'JGBCurve'!$C$1249</f>
        <v/>
      </c>
      <c r="C1249" s="22" t="n">
        <v>-0.02</v>
      </c>
      <c r="D1249" s="23">
        <f>($B1249-$C1249)*100</f>
        <v/>
      </c>
    </row>
    <row r="1250">
      <c r="A1250" s="11" t="n">
        <v>45233</v>
      </c>
      <c r="B1250" s="22">
        <f>'JGBCurve'!$C$1250</f>
        <v/>
      </c>
      <c r="C1250" s="22" t="n">
        <v>-0.015</v>
      </c>
      <c r="D1250" s="23">
        <f>($B1250-$C1250)*100</f>
        <v/>
      </c>
    </row>
    <row r="1251">
      <c r="A1251" s="11" t="n">
        <v>45240</v>
      </c>
      <c r="B1251" s="22">
        <f>'JGBCurve'!$C$1251</f>
        <v/>
      </c>
      <c r="C1251" s="22" t="n">
        <v>-0.015</v>
      </c>
      <c r="D1251" s="23">
        <f>($B1251-$C1251)*100</f>
        <v/>
      </c>
    </row>
    <row r="1252">
      <c r="A1252" s="11" t="n">
        <v>45247</v>
      </c>
      <c r="B1252" s="22">
        <f>'JGBCurve'!$C$1252</f>
        <v/>
      </c>
      <c r="C1252" s="22" t="n">
        <v>-0.015</v>
      </c>
      <c r="D1252" s="23">
        <f>($B1252-$C1252)*100</f>
        <v/>
      </c>
    </row>
    <row r="1253">
      <c r="A1253" s="11" t="n">
        <v>45254</v>
      </c>
      <c r="B1253" s="22">
        <f>'JGBCurve'!$C$1253</f>
        <v/>
      </c>
      <c r="C1253" s="22" t="n">
        <v>-0.015</v>
      </c>
      <c r="D1253" s="23">
        <f>($B1253-$C1253)*100</f>
        <v/>
      </c>
    </row>
    <row r="1254">
      <c r="A1254" s="11" t="n">
        <v>45261</v>
      </c>
      <c r="B1254" s="22">
        <f>'JGBCurve'!$C$1254</f>
        <v/>
      </c>
      <c r="C1254" s="22" t="n">
        <v>-0.012</v>
      </c>
      <c r="D1254" s="23">
        <f>($B1254-$C1254)*100</f>
        <v/>
      </c>
    </row>
    <row r="1255">
      <c r="A1255" s="11" t="n">
        <v>45268</v>
      </c>
      <c r="B1255" s="22">
        <f>'JGBCurve'!$C$1255</f>
        <v/>
      </c>
      <c r="C1255" s="22" t="n">
        <v>-0.012</v>
      </c>
      <c r="D1255" s="23">
        <f>($B1255-$C1255)*100</f>
        <v/>
      </c>
    </row>
    <row r="1256">
      <c r="A1256" s="11" t="n">
        <v>45275</v>
      </c>
      <c r="B1256" s="22">
        <f>'JGBCurve'!$C$1256</f>
        <v/>
      </c>
      <c r="C1256" s="22" t="n">
        <v>-0.012</v>
      </c>
      <c r="D1256" s="23">
        <f>($B1256-$C1256)*100</f>
        <v/>
      </c>
    </row>
    <row r="1257">
      <c r="A1257" s="11" t="n">
        <v>45282</v>
      </c>
      <c r="B1257" s="22">
        <f>'JGBCurve'!$C$1257</f>
        <v/>
      </c>
      <c r="C1257" s="22" t="n">
        <v>-0.012</v>
      </c>
      <c r="D1257" s="23">
        <f>($B1257-$C1257)*100</f>
        <v/>
      </c>
    </row>
    <row r="1258">
      <c r="A1258" s="11" t="n">
        <v>45289</v>
      </c>
      <c r="B1258" s="22">
        <f>'JGBCurve'!$C$1258</f>
        <v/>
      </c>
      <c r="C1258" s="22" t="n">
        <v>-0.012</v>
      </c>
      <c r="D1258" s="23">
        <f>($B1258-$C1258)*100</f>
        <v/>
      </c>
    </row>
    <row r="1259">
      <c r="A1259" s="11" t="n">
        <v>45296</v>
      </c>
      <c r="B1259" s="22">
        <f>'JGBCurve'!$C$1259</f>
        <v/>
      </c>
      <c r="C1259" s="22" t="n">
        <v>-0.014</v>
      </c>
      <c r="D1259" s="23">
        <f>($B1259-$C1259)*100</f>
        <v/>
      </c>
    </row>
    <row r="1260">
      <c r="A1260" s="11" t="n">
        <v>45303</v>
      </c>
      <c r="B1260" s="22">
        <f>'JGBCurve'!$C$1260</f>
        <v/>
      </c>
      <c r="C1260" s="22" t="n">
        <v>-0.014</v>
      </c>
      <c r="D1260" s="23">
        <f>($B1260-$C1260)*100</f>
        <v/>
      </c>
    </row>
    <row r="1261">
      <c r="A1261" s="11" t="n">
        <v>45310</v>
      </c>
      <c r="B1261" s="22">
        <f>'JGBCurve'!$C$1261</f>
        <v/>
      </c>
      <c r="C1261" s="22" t="n">
        <v>-0.014</v>
      </c>
      <c r="D1261" s="23">
        <f>($B1261-$C1261)*100</f>
        <v/>
      </c>
    </row>
    <row r="1262">
      <c r="A1262" s="11" t="n">
        <v>45317</v>
      </c>
      <c r="B1262" s="22">
        <f>'JGBCurve'!$C$1262</f>
        <v/>
      </c>
      <c r="C1262" s="22" t="n">
        <v>-0.014</v>
      </c>
      <c r="D1262" s="23">
        <f>($B1262-$C1262)*100</f>
        <v/>
      </c>
    </row>
    <row r="1263">
      <c r="A1263" s="11" t="n">
        <v>45324</v>
      </c>
      <c r="B1263" s="22">
        <f>'JGBCurve'!$C$1263</f>
        <v/>
      </c>
      <c r="C1263" s="22" t="n">
        <v>-0.006</v>
      </c>
      <c r="D1263" s="23">
        <f>($B1263-$C1263)*100</f>
        <v/>
      </c>
    </row>
    <row r="1264">
      <c r="A1264" s="11" t="n">
        <v>45331</v>
      </c>
      <c r="B1264" s="22">
        <f>'JGBCurve'!$C$1264</f>
        <v/>
      </c>
      <c r="C1264" s="22" t="n">
        <v>-0.006</v>
      </c>
      <c r="D1264" s="23">
        <f>($B1264-$C1264)*100</f>
        <v/>
      </c>
    </row>
    <row r="1265">
      <c r="A1265" s="11" t="n">
        <v>45338</v>
      </c>
      <c r="B1265" s="22">
        <f>'JGBCurve'!$C$1265</f>
        <v/>
      </c>
      <c r="C1265" s="22" t="n">
        <v>-0.006</v>
      </c>
      <c r="D1265" s="23">
        <f>($B1265-$C1265)*100</f>
        <v/>
      </c>
    </row>
    <row r="1266">
      <c r="A1266" s="11" t="n">
        <v>45345</v>
      </c>
      <c r="B1266" s="22">
        <f>'JGBCurve'!$C$1266</f>
        <v/>
      </c>
      <c r="C1266" s="22" t="n">
        <v>-0.006</v>
      </c>
      <c r="D1266" s="23">
        <f>($B1266-$C1266)*100</f>
        <v/>
      </c>
    </row>
    <row r="1267">
      <c r="A1267" s="11" t="n">
        <v>45352</v>
      </c>
      <c r="B1267" s="22">
        <f>'JGBCurve'!$C$1267</f>
        <v/>
      </c>
      <c r="C1267" s="22" t="n">
        <v>0.022</v>
      </c>
      <c r="D1267" s="23">
        <f>($B1267-$C1267)*100</f>
        <v/>
      </c>
    </row>
    <row r="1268">
      <c r="A1268" s="11" t="n">
        <v>45359</v>
      </c>
      <c r="B1268" s="22">
        <f>'JGBCurve'!$C$1268</f>
        <v/>
      </c>
      <c r="C1268" s="22" t="n">
        <v>0.022</v>
      </c>
      <c r="D1268" s="23">
        <f>($B1268-$C1268)*100</f>
        <v/>
      </c>
    </row>
    <row r="1269">
      <c r="A1269" s="11" t="n">
        <v>45366</v>
      </c>
      <c r="B1269" s="22">
        <f>'JGBCurve'!$C$1269</f>
        <v/>
      </c>
      <c r="C1269" s="22" t="n">
        <v>0.022</v>
      </c>
      <c r="D1269" s="23">
        <f>($B1269-$C1269)*100</f>
        <v/>
      </c>
    </row>
    <row r="1270">
      <c r="A1270" s="11" t="n">
        <v>45373</v>
      </c>
      <c r="B1270" s="22">
        <f>'JGBCurve'!$C$1270</f>
        <v/>
      </c>
      <c r="C1270" s="22" t="n">
        <v>0.022</v>
      </c>
      <c r="D1270" s="23">
        <f>($B1270-$C1270)*100</f>
        <v/>
      </c>
    </row>
    <row r="1271">
      <c r="A1271" s="11" t="n">
        <v>45380</v>
      </c>
      <c r="B1271" s="22">
        <f>'JGBCurve'!$C$1271</f>
        <v/>
      </c>
      <c r="C1271" s="22" t="n">
        <v>0.022</v>
      </c>
      <c r="D1271" s="23">
        <f>($B1271-$C1271)*100</f>
        <v/>
      </c>
    </row>
    <row r="1272">
      <c r="A1272" s="11" t="n">
        <v>45387</v>
      </c>
      <c r="B1272" s="22">
        <f>'JGBCurve'!$C$1272</f>
        <v/>
      </c>
      <c r="C1272" s="22" t="n">
        <v>0.077</v>
      </c>
      <c r="D1272" s="23">
        <f>($B1272-$C1272)*100</f>
        <v/>
      </c>
    </row>
    <row r="1273">
      <c r="A1273" s="11" t="n">
        <v>45394</v>
      </c>
      <c r="B1273" s="22">
        <f>'JGBCurve'!$C$1273</f>
        <v/>
      </c>
      <c r="C1273" s="22" t="n">
        <v>0.077</v>
      </c>
      <c r="D1273" s="23">
        <f>($B1273-$C1273)*100</f>
        <v/>
      </c>
    </row>
    <row r="1274">
      <c r="A1274" s="11" t="n">
        <v>45401</v>
      </c>
      <c r="B1274" s="22">
        <f>'JGBCurve'!$C$1274</f>
        <v/>
      </c>
      <c r="C1274" s="22" t="n">
        <v>0.077</v>
      </c>
      <c r="D1274" s="23">
        <f>($B1274-$C1274)*100</f>
        <v/>
      </c>
    </row>
    <row r="1275">
      <c r="A1275" s="11" t="n">
        <v>45408</v>
      </c>
      <c r="B1275" s="22">
        <f>'JGBCurve'!$C$1275</f>
        <v/>
      </c>
      <c r="C1275" s="22" t="n">
        <v>0.077</v>
      </c>
      <c r="D1275" s="23">
        <f>($B1275-$C1275)*100</f>
        <v/>
      </c>
    </row>
    <row r="1276">
      <c r="A1276" s="11" t="n">
        <v>45415</v>
      </c>
      <c r="B1276" s="22">
        <f>'JGBCurve'!$C$1276</f>
        <v/>
      </c>
      <c r="C1276" s="22" t="n">
        <v>0.077</v>
      </c>
      <c r="D1276" s="23">
        <f>($B1276-$C1276)*100</f>
        <v/>
      </c>
    </row>
    <row r="1277">
      <c r="A1277" s="11" t="n">
        <v>45422</v>
      </c>
      <c r="B1277" s="22">
        <f>'JGBCurve'!$C$1277</f>
        <v/>
      </c>
      <c r="C1277" s="22" t="n">
        <v>0.077</v>
      </c>
      <c r="D1277" s="23">
        <f>($B1277-$C1277)*100</f>
        <v/>
      </c>
    </row>
    <row r="1278">
      <c r="A1278" s="11" t="n">
        <v>45429</v>
      </c>
      <c r="B1278" s="22">
        <f>'JGBCurve'!$C$1278</f>
        <v/>
      </c>
      <c r="C1278" s="22" t="n">
        <v>0.077</v>
      </c>
      <c r="D1278" s="23">
        <f>($B1278-$C1278)*100</f>
        <v/>
      </c>
    </row>
    <row r="1279">
      <c r="A1279" s="11" t="n">
        <v>45436</v>
      </c>
      <c r="B1279" s="22">
        <f>'JGBCurve'!$C$1279</f>
        <v/>
      </c>
      <c r="C1279" s="22" t="n">
        <v>0.077</v>
      </c>
      <c r="D1279" s="23">
        <f>($B1279-$C1279)*100</f>
        <v/>
      </c>
    </row>
    <row r="1280">
      <c r="A1280" s="11" t="n">
        <v>45443</v>
      </c>
      <c r="B1280" s="22">
        <f>'JGBCurve'!$C$1280</f>
        <v/>
      </c>
      <c r="C1280" s="22" t="n">
        <v>0.077</v>
      </c>
      <c r="D1280" s="23">
        <f>($B1280-$C1280)*100</f>
        <v/>
      </c>
    </row>
    <row r="1281">
      <c r="A1281" s="11" t="n">
        <v>45450</v>
      </c>
      <c r="B1281" s="22">
        <f>'JGBCurve'!$C$1281</f>
        <v/>
      </c>
      <c r="C1281" s="22" t="n">
        <v>0.077</v>
      </c>
      <c r="D1281" s="23">
        <f>($B1281-$C1281)*100</f>
        <v/>
      </c>
    </row>
    <row r="1282">
      <c r="A1282" s="11" t="n">
        <v>45457</v>
      </c>
      <c r="B1282" s="22">
        <f>'JGBCurve'!$C$1282</f>
        <v/>
      </c>
      <c r="C1282" s="22" t="n">
        <v>0.077</v>
      </c>
      <c r="D1282" s="23">
        <f>($B1282-$C1282)*100</f>
        <v/>
      </c>
    </row>
    <row r="1283">
      <c r="A1283" s="11" t="n">
        <v>45464</v>
      </c>
      <c r="B1283" s="22">
        <f>'JGBCurve'!$C$1283</f>
        <v/>
      </c>
      <c r="C1283" s="22" t="n">
        <v>0.077</v>
      </c>
      <c r="D1283" s="23">
        <f>($B1283-$C1283)*100</f>
        <v/>
      </c>
    </row>
    <row r="1284">
      <c r="A1284" s="11" t="n">
        <v>45471</v>
      </c>
      <c r="B1284" s="22">
        <f>'JGBCurve'!$C$1284</f>
        <v/>
      </c>
      <c r="C1284" s="22" t="n">
        <v>0.077</v>
      </c>
      <c r="D1284" s="23">
        <f>($B1284-$C1284)*100</f>
        <v/>
      </c>
    </row>
    <row r="1285">
      <c r="A1285" s="11" t="n">
        <v>45478</v>
      </c>
      <c r="B1285" s="22">
        <f>'JGBCurve'!$C$1285</f>
        <v/>
      </c>
      <c r="C1285" s="22" t="n">
        <v>0.078</v>
      </c>
      <c r="D1285" s="23">
        <f>($B1285-$C1285)*100</f>
        <v/>
      </c>
    </row>
    <row r="1286">
      <c r="A1286" s="11" t="n">
        <v>45485</v>
      </c>
      <c r="B1286" s="22">
        <f>'JGBCurve'!$C$1286</f>
        <v/>
      </c>
      <c r="C1286" s="22" t="n">
        <v>0.078</v>
      </c>
      <c r="D1286" s="23">
        <f>($B1286-$C1286)*100</f>
        <v/>
      </c>
    </row>
    <row r="1287">
      <c r="A1287" s="11" t="n">
        <v>45492</v>
      </c>
      <c r="B1287" s="22">
        <f>'JGBCurve'!$C$1287</f>
        <v/>
      </c>
      <c r="C1287" s="22" t="n">
        <v>0.078</v>
      </c>
      <c r="D1287" s="23">
        <f>($B1287-$C1287)*100</f>
        <v/>
      </c>
    </row>
    <row r="1288">
      <c r="A1288" s="11" t="n">
        <v>45499</v>
      </c>
      <c r="B1288" s="22">
        <f>'JGBCurve'!$C$1288</f>
        <v/>
      </c>
      <c r="C1288" s="22" t="n">
        <v>0.078</v>
      </c>
      <c r="D1288" s="23">
        <f>($B1288-$C1288)*100</f>
        <v/>
      </c>
    </row>
    <row r="1289">
      <c r="A1289" s="11" t="n">
        <v>45506</v>
      </c>
      <c r="B1289" s="22">
        <f>'JGBCurve'!$C$1289</f>
        <v/>
      </c>
      <c r="C1289" s="22" t="n">
        <v>0.227</v>
      </c>
      <c r="D1289" s="23">
        <f>($B1289-$C1289)*100</f>
        <v/>
      </c>
    </row>
    <row r="1290">
      <c r="A1290" s="11" t="n">
        <v>45513</v>
      </c>
      <c r="B1290" s="22">
        <f>'JGBCurve'!$C$1290</f>
        <v/>
      </c>
      <c r="C1290" s="22" t="n">
        <v>0.227</v>
      </c>
      <c r="D1290" s="23">
        <f>($B1290-$C1290)*100</f>
        <v/>
      </c>
    </row>
    <row r="1291">
      <c r="A1291" s="11" t="n">
        <v>45520</v>
      </c>
      <c r="B1291" s="22">
        <f>'JGBCurve'!$C$1291</f>
        <v/>
      </c>
      <c r="C1291" s="22" t="n">
        <v>0.227</v>
      </c>
      <c r="D1291" s="23">
        <f>($B1291-$C1291)*100</f>
        <v/>
      </c>
    </row>
    <row r="1292">
      <c r="A1292" s="11" t="n">
        <v>45527</v>
      </c>
      <c r="B1292" s="22">
        <f>'JGBCurve'!$C$1292</f>
        <v/>
      </c>
      <c r="C1292" s="22" t="n">
        <v>0.227</v>
      </c>
      <c r="D1292" s="23">
        <f>($B1292-$C1292)*100</f>
        <v/>
      </c>
    </row>
    <row r="1293">
      <c r="A1293" s="11" t="n">
        <v>45534</v>
      </c>
      <c r="B1293" s="22">
        <f>'JGBCurve'!$C$1293</f>
        <v/>
      </c>
      <c r="C1293" s="22" t="n">
        <v>0.227</v>
      </c>
      <c r="D1293" s="23">
        <f>($B1293-$C1293)*100</f>
        <v/>
      </c>
    </row>
    <row r="1294">
      <c r="A1294" s="11" t="n">
        <v>45541</v>
      </c>
      <c r="B1294" s="22">
        <f>'JGBCurve'!$C$1294</f>
        <v/>
      </c>
      <c r="C1294" s="22" t="n">
        <v>0.227</v>
      </c>
      <c r="D1294" s="23">
        <f>($B1294-$C1294)*100</f>
        <v/>
      </c>
    </row>
    <row r="1295">
      <c r="A1295" s="11" t="n">
        <v>45548</v>
      </c>
      <c r="B1295" s="22">
        <f>'JGBCurve'!$C$1295</f>
        <v/>
      </c>
      <c r="C1295" s="22" t="n">
        <v>0.227</v>
      </c>
      <c r="D1295" s="23">
        <f>($B1295-$C1295)*100</f>
        <v/>
      </c>
    </row>
    <row r="1296">
      <c r="A1296" s="11" t="n">
        <v>45555</v>
      </c>
      <c r="B1296" s="22">
        <f>'JGBCurve'!$C$1296</f>
        <v/>
      </c>
      <c r="C1296" s="22" t="n">
        <v>0.227</v>
      </c>
      <c r="D1296" s="23">
        <f>($B1296-$C1296)*100</f>
        <v/>
      </c>
    </row>
    <row r="1297">
      <c r="A1297" s="11" t="n">
        <v>45562</v>
      </c>
      <c r="B1297" s="22">
        <f>'JGBCurve'!$C$1297</f>
        <v/>
      </c>
      <c r="C1297" s="22" t="n">
        <v>0.227</v>
      </c>
      <c r="D1297" s="23">
        <f>($B1297-$C1297)*100</f>
        <v/>
      </c>
    </row>
    <row r="1298">
      <c r="A1298" s="11" t="n">
        <v>45569</v>
      </c>
      <c r="B1298" s="22">
        <f>'JGBCurve'!$C$1298</f>
        <v/>
      </c>
      <c r="C1298" s="22" t="n">
        <v>0.227</v>
      </c>
      <c r="D1298" s="23">
        <f>($B1298-$C1298)*100</f>
        <v/>
      </c>
    </row>
    <row r="1299">
      <c r="A1299" s="11" t="n">
        <v>45576</v>
      </c>
      <c r="B1299" s="22">
        <f>'JGBCurve'!$C$1299</f>
        <v/>
      </c>
      <c r="C1299" s="22" t="n">
        <v>0.227</v>
      </c>
      <c r="D1299" s="23">
        <f>($B1299-$C1299)*100</f>
        <v/>
      </c>
    </row>
    <row r="1300">
      <c r="A1300" s="11" t="n">
        <v>45583</v>
      </c>
      <c r="B1300" s="22">
        <f>'JGBCurve'!$C$1300</f>
        <v/>
      </c>
      <c r="C1300" s="22" t="n">
        <v>0.227</v>
      </c>
      <c r="D1300" s="23">
        <f>($B1300-$C1300)*100</f>
        <v/>
      </c>
    </row>
    <row r="1301">
      <c r="A1301" s="11" t="n">
        <v>45590</v>
      </c>
      <c r="B1301" s="22">
        <f>'JGBCurve'!$C$1301</f>
        <v/>
      </c>
      <c r="C1301" s="22" t="n">
        <v>0.227</v>
      </c>
      <c r="D1301" s="23">
        <f>($B1301-$C1301)*100</f>
        <v/>
      </c>
    </row>
    <row r="1302">
      <c r="A1302" s="11" t="n">
        <v>45597</v>
      </c>
      <c r="B1302" s="22">
        <f>'JGBCurve'!$C$1302</f>
        <v/>
      </c>
      <c r="C1302" s="22" t="n">
        <v>0.227</v>
      </c>
      <c r="D1302" s="23">
        <f>($B1302-$C1302)*100</f>
        <v/>
      </c>
    </row>
    <row r="1303">
      <c r="A1303" s="11" t="n">
        <v>45604</v>
      </c>
      <c r="B1303" s="22">
        <f>'JGBCurve'!$C$1303</f>
        <v/>
      </c>
      <c r="C1303" s="22" t="n">
        <v>0.227</v>
      </c>
      <c r="D1303" s="23">
        <f>($B1303-$C1303)*100</f>
        <v/>
      </c>
    </row>
    <row r="1304">
      <c r="A1304" s="11" t="n">
        <v>45611</v>
      </c>
      <c r="B1304" s="22">
        <f>'JGBCurve'!$C$1304</f>
        <v/>
      </c>
      <c r="C1304" s="22" t="n">
        <v>0.227</v>
      </c>
      <c r="D1304" s="23">
        <f>($B1304-$C1304)*100</f>
        <v/>
      </c>
    </row>
    <row r="1305">
      <c r="A1305" s="11" t="n">
        <v>45618</v>
      </c>
      <c r="B1305" s="22">
        <f>'JGBCurve'!$C$1305</f>
        <v/>
      </c>
      <c r="C1305" s="22" t="n">
        <v>0.227</v>
      </c>
      <c r="D1305" s="23">
        <f>($B1305-$C1305)*100</f>
        <v/>
      </c>
    </row>
    <row r="1306">
      <c r="A1306" s="11" t="n">
        <v>45625</v>
      </c>
      <c r="B1306" s="22">
        <f>'JGBCurve'!$C$1306</f>
        <v/>
      </c>
      <c r="C1306" s="22" t="n">
        <v>0.227</v>
      </c>
      <c r="D1306" s="23">
        <f>($B1306-$C1306)*100</f>
        <v/>
      </c>
    </row>
    <row r="1307">
      <c r="A1307" s="11" t="n">
        <v>45632</v>
      </c>
      <c r="B1307" s="22">
        <f>'JGBCurve'!$C$1307</f>
        <v/>
      </c>
      <c r="C1307" s="22" t="n">
        <v>0.227</v>
      </c>
      <c r="D1307" s="23">
        <f>($B1307-$C1307)*100</f>
        <v/>
      </c>
    </row>
    <row r="1308">
      <c r="A1308" s="11" t="n">
        <v>45639</v>
      </c>
      <c r="B1308" s="22">
        <f>'JGBCurve'!$C$1308</f>
        <v/>
      </c>
      <c r="C1308" s="22" t="n">
        <v>0.227</v>
      </c>
      <c r="D1308" s="23">
        <f>($B1308-$C1308)*100</f>
        <v/>
      </c>
    </row>
    <row r="1309">
      <c r="A1309" s="11" t="n">
        <v>45646</v>
      </c>
      <c r="B1309" s="22">
        <f>'JGBCurve'!$C$1309</f>
        <v/>
      </c>
      <c r="C1309" s="22" t="n">
        <v>0.227</v>
      </c>
      <c r="D1309" s="23">
        <f>($B1309-$C1309)*100</f>
        <v/>
      </c>
    </row>
    <row r="1310">
      <c r="A1310" s="11" t="n">
        <v>45653</v>
      </c>
      <c r="B1310" s="22">
        <f>'JGBCurve'!$C$1310</f>
        <v/>
      </c>
      <c r="C1310" s="22" t="n">
        <v>0.227</v>
      </c>
      <c r="D1310" s="23">
        <f>($B1310-$C1310)*100</f>
        <v/>
      </c>
    </row>
    <row r="1311">
      <c r="A1311" s="11" t="n">
        <v>45660</v>
      </c>
      <c r="B1311" s="22">
        <f>'JGBCurve'!$C$1311</f>
        <v/>
      </c>
      <c r="C1311" s="22" t="n">
        <v>0.293</v>
      </c>
      <c r="D1311" s="23">
        <f>($B1311-$C1311)*100</f>
        <v/>
      </c>
    </row>
    <row r="1312">
      <c r="A1312" s="11" t="n">
        <v>45667</v>
      </c>
      <c r="B1312" s="22">
        <f>'JGBCurve'!$C$1312</f>
        <v/>
      </c>
      <c r="C1312" s="22" t="n">
        <v>0.293</v>
      </c>
      <c r="D1312" s="23">
        <f>($B1312-$C1312)*100</f>
        <v/>
      </c>
    </row>
    <row r="1313">
      <c r="A1313" s="11" t="n">
        <v>45674</v>
      </c>
      <c r="B1313" s="22">
        <f>'JGBCurve'!$C$1313</f>
        <v/>
      </c>
      <c r="C1313" s="22" t="n">
        <v>0.293</v>
      </c>
      <c r="D1313" s="23">
        <f>($B1313-$C1313)*100</f>
        <v/>
      </c>
    </row>
    <row r="1314">
      <c r="A1314" s="11" t="n">
        <v>45681</v>
      </c>
      <c r="B1314" s="22">
        <f>'JGBCurve'!$C$1314</f>
        <v/>
      </c>
      <c r="C1314" s="22" t="n">
        <v>0.293</v>
      </c>
      <c r="D1314" s="23">
        <f>($B1314-$C1314)*100</f>
        <v/>
      </c>
    </row>
    <row r="1315">
      <c r="A1315" s="11" t="n">
        <v>45688</v>
      </c>
      <c r="B1315" s="22">
        <f>'JGBCurve'!$C$1315</f>
        <v/>
      </c>
      <c r="C1315" s="22" t="n">
        <v>0.293</v>
      </c>
      <c r="D1315" s="23">
        <f>($B1315-$C1315)*100</f>
        <v/>
      </c>
    </row>
    <row r="1316">
      <c r="A1316" s="11" t="n">
        <v>45695</v>
      </c>
      <c r="B1316" s="22">
        <f>'JGBCurve'!$C$1316</f>
        <v/>
      </c>
      <c r="C1316" s="22" t="n">
        <v>0.478</v>
      </c>
      <c r="D1316" s="23">
        <f>($B1316-$C1316)*100</f>
        <v/>
      </c>
    </row>
    <row r="1317">
      <c r="A1317" s="11" t="n">
        <v>45702</v>
      </c>
      <c r="B1317" s="22">
        <f>'JGBCurve'!$C$1317</f>
        <v/>
      </c>
      <c r="C1317" s="22" t="n">
        <v>0.478</v>
      </c>
      <c r="D1317" s="23">
        <f>($B1317-$C1317)*100</f>
        <v/>
      </c>
    </row>
    <row r="1318">
      <c r="A1318" s="11" t="n">
        <v>45709</v>
      </c>
      <c r="B1318" s="22">
        <f>'JGBCurve'!$C$1318</f>
        <v/>
      </c>
      <c r="C1318" s="22" t="n">
        <v>0.478</v>
      </c>
      <c r="D1318" s="23">
        <f>($B1318-$C1318)*100</f>
        <v/>
      </c>
    </row>
    <row r="1319">
      <c r="A1319" s="11" t="n">
        <v>45716</v>
      </c>
      <c r="B1319" s="22">
        <f>'JGBCurve'!$C$1319</f>
        <v/>
      </c>
      <c r="C1319" s="22" t="n">
        <v>0.478</v>
      </c>
      <c r="D1319" s="23">
        <f>($B1319-$C1319)*100</f>
        <v/>
      </c>
    </row>
    <row r="1320">
      <c r="A1320" s="11" t="n">
        <v>45723</v>
      </c>
      <c r="B1320" s="22">
        <f>'JGBCurve'!$C$1320</f>
        <v/>
      </c>
      <c r="C1320" s="22" t="n">
        <v>0.477</v>
      </c>
      <c r="D1320" s="23">
        <f>($B1320-$C1320)*100</f>
        <v/>
      </c>
    </row>
    <row r="1321">
      <c r="A1321" s="11" t="n">
        <v>45730</v>
      </c>
      <c r="B1321" s="22">
        <f>'JGBCurve'!$C$1321</f>
        <v/>
      </c>
      <c r="C1321" s="22" t="n">
        <v>0.477</v>
      </c>
      <c r="D1321" s="23">
        <f>($B1321-$C1321)*100</f>
        <v/>
      </c>
    </row>
    <row r="1322">
      <c r="A1322" s="11" t="n">
        <v>45737</v>
      </c>
      <c r="B1322" s="22">
        <f>'JGBCurve'!$C$1322</f>
        <v/>
      </c>
      <c r="C1322" s="22" t="n">
        <v>0.477</v>
      </c>
      <c r="D1322" s="23">
        <f>($B1322-$C1322)*100</f>
        <v/>
      </c>
    </row>
    <row r="1323">
      <c r="A1323" s="11" t="n">
        <v>45744</v>
      </c>
      <c r="B1323" s="22">
        <f>'JGBCurve'!$C$1323</f>
        <v/>
      </c>
      <c r="C1323" s="22" t="n">
        <v>0.477</v>
      </c>
      <c r="D1323" s="23">
        <f>($B1323-$C1323)*100</f>
        <v/>
      </c>
    </row>
    <row r="1324">
      <c r="A1324" s="11" t="n">
        <v>45751</v>
      </c>
      <c r="B1324" s="22">
        <f>'JGBCurve'!$C$1324</f>
        <v/>
      </c>
      <c r="C1324" s="22" t="n">
        <v>0.477</v>
      </c>
      <c r="D1324" s="23">
        <f>($B1324-$C1324)*100</f>
        <v/>
      </c>
    </row>
    <row r="1325">
      <c r="A1325" s="11" t="n">
        <v>45758</v>
      </c>
      <c r="B1325" s="22">
        <f>'JGBCurve'!$C$1325</f>
        <v/>
      </c>
      <c r="C1325" s="22" t="n">
        <v>0.477</v>
      </c>
      <c r="D1325" s="23">
        <f>($B1325-$C1325)*100</f>
        <v/>
      </c>
    </row>
    <row r="1326">
      <c r="A1326" s="11" t="n">
        <v>45765</v>
      </c>
      <c r="B1326" s="22">
        <f>'JGBCurve'!$C$1326</f>
        <v/>
      </c>
      <c r="C1326" s="22" t="n">
        <v>0.477</v>
      </c>
      <c r="D1326" s="23">
        <f>($B1326-$C1326)*100</f>
        <v/>
      </c>
    </row>
    <row r="1327">
      <c r="A1327" s="11" t="n">
        <v>45772</v>
      </c>
      <c r="B1327" s="22">
        <f>'JGBCurve'!$C$1327</f>
        <v/>
      </c>
      <c r="C1327" s="22" t="n">
        <v>0.477</v>
      </c>
      <c r="D1327" s="23">
        <f>($B1327-$C1327)*100</f>
        <v/>
      </c>
    </row>
    <row r="1328">
      <c r="A1328" s="11" t="n">
        <v>45779</v>
      </c>
      <c r="B1328" s="22">
        <f>'JGBCurve'!$C$1328</f>
        <v/>
      </c>
      <c r="C1328" s="22" t="n">
        <v>0.477</v>
      </c>
      <c r="D1328" s="23">
        <f>($B1328-$C1328)*100</f>
        <v/>
      </c>
    </row>
    <row r="1329">
      <c r="A1329" s="11" t="n">
        <v>45786</v>
      </c>
      <c r="B1329" s="22">
        <f>'JGBCurve'!$C$1329</f>
        <v/>
      </c>
      <c r="C1329" s="22" t="n">
        <v>0.477</v>
      </c>
      <c r="D1329" s="23">
        <f>($B1329-$C1329)*100</f>
        <v/>
      </c>
    </row>
    <row r="1330">
      <c r="A1330" s="11" t="n">
        <v>45793</v>
      </c>
      <c r="B1330" s="22">
        <f>'JGBCurve'!$C$1330</f>
        <v/>
      </c>
      <c r="C1330" s="22" t="n">
        <v>0.477</v>
      </c>
      <c r="D1330" s="23">
        <f>($B1330-$C1330)*100</f>
        <v/>
      </c>
    </row>
    <row r="1331">
      <c r="A1331" s="11" t="n">
        <v>45800</v>
      </c>
      <c r="B1331" s="22">
        <f>'JGBCurve'!$C$1331</f>
        <v/>
      </c>
      <c r="C1331" s="22" t="n">
        <v>0.477</v>
      </c>
      <c r="D1331" s="23">
        <f>($B1331-$C1331)*100</f>
        <v/>
      </c>
    </row>
    <row r="1332">
      <c r="A1332" s="11" t="n">
        <v>45807</v>
      </c>
      <c r="B1332" s="22">
        <f>'JGBCurve'!$C$1332</f>
        <v/>
      </c>
      <c r="C1332" s="22" t="n">
        <v>0.477</v>
      </c>
      <c r="D1332" s="23">
        <f>($B1332-$C1332)*100</f>
        <v/>
      </c>
    </row>
    <row r="1333">
      <c r="A1333" s="11" t="n">
        <v>45814</v>
      </c>
      <c r="B1333" s="22">
        <f>'JGBCurve'!$C$1333</f>
        <v/>
      </c>
      <c r="C1333" s="22" t="n">
        <v>0.477</v>
      </c>
      <c r="D1333" s="23">
        <f>($B1333-$C1333)*100</f>
        <v/>
      </c>
    </row>
    <row r="1334">
      <c r="A1334" s="11" t="n">
        <v>45821</v>
      </c>
      <c r="B1334" s="22">
        <f>'JGBCurve'!$C$1334</f>
        <v/>
      </c>
      <c r="C1334" s="22" t="n">
        <v>0.477</v>
      </c>
      <c r="D1334" s="23">
        <f>($B1334-$C1334)*100</f>
        <v/>
      </c>
    </row>
    <row r="1335">
      <c r="A1335" s="11" t="n">
        <v>45828</v>
      </c>
      <c r="B1335" s="22">
        <f>'JGBCurve'!$C$1335</f>
        <v/>
      </c>
      <c r="C1335" s="22" t="n">
        <v>0.477</v>
      </c>
      <c r="D1335" s="23">
        <f>($B1335-$C1335)*100</f>
        <v/>
      </c>
    </row>
    <row r="1336">
      <c r="A1336" s="11" t="n">
        <v>45835</v>
      </c>
      <c r="B1336" s="22">
        <f>'JGBCurve'!$C$1336</f>
        <v/>
      </c>
      <c r="C1336" s="22" t="n">
        <v>0.477</v>
      </c>
      <c r="D1336" s="23">
        <f>($B1336-$C1336)*100</f>
        <v/>
      </c>
    </row>
    <row r="1337">
      <c r="A1337" s="11" t="n">
        <v>45842</v>
      </c>
      <c r="B1337" s="22">
        <f>'JGBCurve'!$C$1337</f>
        <v/>
      </c>
      <c r="C1337" s="22" t="n">
        <v>0.478</v>
      </c>
      <c r="D1337" s="23">
        <f>($B1337-$C1337)*100</f>
        <v/>
      </c>
    </row>
    <row r="1338">
      <c r="A1338" s="11" t="n">
        <v>45849</v>
      </c>
      <c r="B1338" s="22">
        <f>'JGBCurve'!$C$1338</f>
        <v/>
      </c>
      <c r="C1338" s="22" t="n">
        <v>0.478</v>
      </c>
      <c r="D1338" s="23">
        <f>($B1338-$C1338)*100</f>
        <v/>
      </c>
    </row>
    <row r="1339">
      <c r="A1339" s="11" t="n">
        <v>45856</v>
      </c>
      <c r="B1339" s="22">
        <f>'JGBCurve'!$C$1339</f>
        <v/>
      </c>
      <c r="C1339" s="22" t="n">
        <v>0.478</v>
      </c>
      <c r="D1339" s="23">
        <f>($B1339-$C1339)*100</f>
        <v/>
      </c>
    </row>
    <row r="1340">
      <c r="A1340" s="11" t="n">
        <v>45863</v>
      </c>
      <c r="B1340" s="22">
        <f>'JGBCurve'!$C$1340</f>
        <v/>
      </c>
      <c r="C1340" s="22" t="n">
        <v>0.478</v>
      </c>
      <c r="D1340" s="23">
        <f>($B1340-$C1340)*100</f>
        <v/>
      </c>
    </row>
    <row r="1341">
      <c r="A1341" s="11" t="n">
        <v>45870</v>
      </c>
      <c r="B1341" s="22">
        <f>'JGBCurve'!$C$1341</f>
        <v/>
      </c>
      <c r="C1341" s="22" t="n">
        <v>0.477</v>
      </c>
      <c r="D1341" s="23">
        <f>($B1341-$C1341)*100</f>
        <v/>
      </c>
    </row>
    <row r="1342">
      <c r="A1342" s="11" t="n">
        <v>45877</v>
      </c>
      <c r="B1342" s="22">
        <f>'JGBCurve'!$C$1342</f>
        <v/>
      </c>
      <c r="C1342" s="22" t="n">
        <v>0.477</v>
      </c>
      <c r="D1342" s="23">
        <f>($B1342-$C1342)*100</f>
        <v/>
      </c>
    </row>
    <row r="1343">
      <c r="A1343" s="11" t="n">
        <v>45884</v>
      </c>
      <c r="B1343" s="22">
        <f>'JGBCurve'!$C$1343</f>
        <v/>
      </c>
      <c r="C1343" s="22" t="n">
        <v>0.477</v>
      </c>
      <c r="D1343" s="23">
        <f>($B1343-$C1343)*100</f>
        <v/>
      </c>
    </row>
    <row r="1344">
      <c r="A1344" s="11" t="n">
        <v>45891</v>
      </c>
      <c r="B1344" s="22">
        <f>'JGBCurve'!$C$1344</f>
        <v/>
      </c>
      <c r="C1344" s="22" t="n">
        <v>0.477</v>
      </c>
      <c r="D1344" s="23">
        <f>($B1344-$C1344)*100</f>
        <v/>
      </c>
    </row>
    <row r="1345">
      <c r="A1345" s="11" t="n">
        <v>45898</v>
      </c>
      <c r="B1345" s="22">
        <f>'JGBCurve'!$C$1345</f>
        <v/>
      </c>
      <c r="C1345" s="22" t="n">
        <v>0.477</v>
      </c>
      <c r="D1345" s="23">
        <f>($B1345-$C1345)*100</f>
        <v/>
      </c>
    </row>
    <row r="1346">
      <c r="A1346" s="11" t="n">
        <v>45905</v>
      </c>
      <c r="B1346" s="22">
        <f>'JGBCurve'!$C$1346</f>
        <v/>
      </c>
      <c r="C1346" s="22" t="n">
        <v>0.477</v>
      </c>
      <c r="D1346" s="23">
        <f>($B1346-$C1346)*100</f>
        <v/>
      </c>
    </row>
    <row r="1347">
      <c r="A1347" s="11" t="n">
        <v>45912</v>
      </c>
      <c r="B1347" s="22">
        <f>'JGBCurve'!$C$1347</f>
        <v/>
      </c>
      <c r="C1347" s="22" t="n">
        <v>0.477</v>
      </c>
      <c r="D1347" s="23">
        <f>($B1347-$C1347)*100</f>
        <v/>
      </c>
    </row>
    <row r="1348">
      <c r="A1348" s="11" t="n">
        <v>45919</v>
      </c>
      <c r="B1348" s="22">
        <f>'JGBCurve'!$C$1348</f>
        <v/>
      </c>
      <c r="C1348" s="22" t="n">
        <v>0.477</v>
      </c>
      <c r="D1348" s="23">
        <f>($B1348-$C1348)*100</f>
        <v/>
      </c>
    </row>
    <row r="1349">
      <c r="A1349" s="11" t="n">
        <v>45926</v>
      </c>
      <c r="B1349" s="22">
        <f>'JGBCurve'!$C$1349</f>
        <v/>
      </c>
      <c r="C1349" s="22" t="n">
        <v>0.477</v>
      </c>
      <c r="D1349" s="23">
        <f>($B1349-$C1349)*100</f>
        <v/>
      </c>
    </row>
    <row r="1350">
      <c r="A1350" s="11" t="n">
        <v>45933</v>
      </c>
      <c r="B1350" s="22">
        <f>'JGBCurve'!$C$1350</f>
        <v/>
      </c>
      <c r="C1350" s="22" t="n">
        <v>0.477</v>
      </c>
      <c r="D1350" s="23">
        <f>($B1350-$C1350)*100</f>
        <v/>
      </c>
    </row>
    <row r="1351">
      <c r="A1351" s="11" t="n">
        <v>45940</v>
      </c>
      <c r="B1351" s="22">
        <f>'JGBCurve'!$C$1351</f>
        <v/>
      </c>
      <c r="C1351" s="22" t="n">
        <v>0.477</v>
      </c>
      <c r="D1351" s="23">
        <f>($B1351-$C1351)*100</f>
        <v/>
      </c>
    </row>
    <row r="1352">
      <c r="A1352" s="11" t="n">
        <v>45947</v>
      </c>
      <c r="B1352" s="22">
        <f>'JGBCurve'!$C$1352</f>
        <v/>
      </c>
      <c r="C1352" s="22" t="n">
        <v>0.477</v>
      </c>
      <c r="D1352" s="23">
        <f>($B1352-$C1352)*100</f>
        <v/>
      </c>
    </row>
    <row r="1353">
      <c r="A1353" s="11" t="n">
        <v>45954</v>
      </c>
      <c r="B1353" s="22">
        <f>'JGBCurve'!$C$1353</f>
        <v/>
      </c>
      <c r="C1353" s="22" t="n">
        <v>0.477</v>
      </c>
      <c r="D1353" s="23">
        <f>($B1353-$C1353)*100</f>
        <v/>
      </c>
    </row>
    <row r="1354">
      <c r="A1354" s="11" t="n">
        <v>45961</v>
      </c>
      <c r="B1354" s="22">
        <f>'JGBCurve'!$C$1354</f>
        <v/>
      </c>
      <c r="C1354" s="22" t="n">
        <v>0.477</v>
      </c>
      <c r="D1354" s="23">
        <f>($B1354-$C1354)*100</f>
        <v/>
      </c>
    </row>
    <row r="1355">
      <c r="A1355" s="11" t="n">
        <v>45968</v>
      </c>
      <c r="B1355" s="22">
        <f>'JGBCurve'!$C$1355</f>
        <v/>
      </c>
      <c r="C1355" s="22" t="n">
        <v>0.478</v>
      </c>
      <c r="D1355" s="23">
        <f>($B1355-$C1355)*100</f>
        <v/>
      </c>
    </row>
    <row r="1356">
      <c r="A1356" s="11" t="n">
        <v>45975</v>
      </c>
      <c r="B1356" s="22">
        <f>'JGBCurve'!$C$1356</f>
        <v/>
      </c>
      <c r="C1356" s="22" t="n">
        <v>0.478</v>
      </c>
      <c r="D1356" s="23">
        <f>($B1356-$C1356)*100</f>
        <v/>
      </c>
    </row>
    <row r="1357">
      <c r="A1357" s="11" t="n">
        <v>45982</v>
      </c>
      <c r="B1357" s="22">
        <f>'JGBCurve'!$C$1357</f>
        <v/>
      </c>
      <c r="C1357" s="22" t="n">
        <v>0.478</v>
      </c>
      <c r="D1357" s="23">
        <f>($B1357-$C1357)*100</f>
        <v/>
      </c>
    </row>
    <row r="1358">
      <c r="A1358" s="11" t="n">
        <v>45989</v>
      </c>
      <c r="B1358" s="22">
        <f>'JGBCurve'!$C$1358</f>
        <v/>
      </c>
      <c r="C1358" s="22" t="n">
        <v>0.478</v>
      </c>
      <c r="D1358" s="23">
        <f>($B1358-$C1358)*100</f>
        <v/>
      </c>
    </row>
    <row r="1359">
      <c r="A1359" s="11" t="n">
        <v>45996</v>
      </c>
      <c r="B1359" s="22">
        <f>'JGBCurve'!$C$1359</f>
        <v/>
      </c>
      <c r="C1359" s="22" t="n">
        <v>0.5570000000000001</v>
      </c>
      <c r="D1359" s="23">
        <f>($B1359-$C1359)*100</f>
        <v/>
      </c>
    </row>
    <row r="1360">
      <c r="A1360" s="11" t="n">
        <v>46003</v>
      </c>
      <c r="B1360" s="22">
        <f>'JGBCurve'!$C$1360</f>
        <v/>
      </c>
      <c r="C1360" s="22" t="n">
        <v>0.5570000000000001</v>
      </c>
      <c r="D1360" s="23">
        <f>($B1360-$C1360)*100</f>
        <v/>
      </c>
    </row>
    <row r="1361">
      <c r="A1361" s="11" t="n">
        <v>46010</v>
      </c>
      <c r="B1361" s="22">
        <f>'JGBCurve'!$C$1361</f>
        <v/>
      </c>
      <c r="C1361" s="22" t="n">
        <v>0.5570000000000001</v>
      </c>
      <c r="D1361" s="23">
        <f>($B1361-$C1361)*100</f>
        <v/>
      </c>
    </row>
    <row r="1362">
      <c r="A1362" s="11" t="n">
        <v>46017</v>
      </c>
      <c r="B1362" s="22">
        <f>'JGBCurve'!$C$1362</f>
        <v/>
      </c>
      <c r="C1362" s="22" t="n">
        <v>0.5570000000000001</v>
      </c>
      <c r="D1362" s="23">
        <f>($B1362-$C1362)*100</f>
        <v/>
      </c>
    </row>
    <row r="1363">
      <c r="A1363" s="11" t="n">
        <v>46024</v>
      </c>
      <c r="B1363" s="22">
        <f>'JGBCurve'!$C$1363</f>
        <v/>
      </c>
      <c r="C1363" s="22" t="n">
        <v>0.728</v>
      </c>
      <c r="D1363" s="23">
        <f>($B1363-$C1363)*100</f>
        <v/>
      </c>
    </row>
    <row r="1364">
      <c r="A1364" s="11" t="n">
        <v>46031</v>
      </c>
      <c r="B1364" s="22">
        <f>'JGBCurve'!$C$1364</f>
        <v/>
      </c>
      <c r="C1364" s="22" t="n">
        <v>0.728</v>
      </c>
      <c r="D1364" s="23">
        <f>($B1364-$C1364)*100</f>
        <v/>
      </c>
    </row>
    <row r="1365">
      <c r="A1365" s="11" t="n">
        <v>46038</v>
      </c>
      <c r="B1365" s="22">
        <f>'JGBCurve'!$C$1365</f>
        <v/>
      </c>
      <c r="C1365" s="22" t="n">
        <v>0.728</v>
      </c>
      <c r="D1365" s="23">
        <f>($B1365-$C1365)*100</f>
        <v/>
      </c>
    </row>
    <row r="1366">
      <c r="A1366" s="11" t="n">
        <v>46045</v>
      </c>
      <c r="B1366" s="22">
        <f>'JGBCurve'!$C$1366</f>
        <v/>
      </c>
      <c r="C1366" s="22" t="n">
        <v>0.728</v>
      </c>
      <c r="D1366" s="23">
        <f>($B1366-$C1366)*100</f>
        <v/>
      </c>
    </row>
    <row r="1367">
      <c r="A1367" s="11" t="n">
        <v>46052</v>
      </c>
      <c r="B1367" s="22">
        <f>'JGBCurve'!$C$1367</f>
        <v/>
      </c>
      <c r="C1367" s="22" t="n">
        <v>0.728</v>
      </c>
      <c r="D1367" s="23">
        <f>($B1367-$C1367)*100</f>
        <v/>
      </c>
    </row>
    <row r="1368">
      <c r="A1368" s="11" t="n">
        <v>46059</v>
      </c>
      <c r="B1368" s="22">
        <f>'JGBCurve'!$C$1368</f>
        <v/>
      </c>
      <c r="C1368" s="22" t="n">
        <v>0.728</v>
      </c>
      <c r="D1368" s="23">
        <f>($B1368-$C1368)*100</f>
        <v/>
      </c>
    </row>
    <row r="1369">
      <c r="A1369" s="11" t="n">
        <v>46066</v>
      </c>
      <c r="B1369" s="22">
        <f>'JGBCurve'!$C$1369</f>
        <v/>
      </c>
      <c r="C1369" s="22" t="n">
        <v>0.728</v>
      </c>
      <c r="D1369" s="23">
        <f>($B1369-$C1369)*100</f>
        <v/>
      </c>
    </row>
    <row r="1370">
      <c r="A1370" s="11" t="n">
        <v>46073</v>
      </c>
      <c r="B1370" s="22">
        <f>'JGBCurve'!$C$1370</f>
        <v/>
      </c>
      <c r="C1370" s="22" t="n">
        <v>0.728</v>
      </c>
      <c r="D1370" s="23">
        <f>($B1370-$C1370)*100</f>
        <v/>
      </c>
    </row>
    <row r="1371">
      <c r="A1371" s="11" t="n">
        <v>46080</v>
      </c>
      <c r="B1371" s="22">
        <f>'JGBCurve'!$C$1371</f>
        <v/>
      </c>
      <c r="C1371" s="22" t="n">
        <v>0.728</v>
      </c>
      <c r="D1371" s="23">
        <f>($B1371-$C1371)*100</f>
        <v/>
      </c>
    </row>
    <row r="1372">
      <c r="A1372" s="11" t="n">
        <v>46087</v>
      </c>
      <c r="B1372" s="22">
        <f>'JGBCurve'!$C$1372</f>
        <v/>
      </c>
      <c r="C1372" s="22" t="n">
        <v>0.728</v>
      </c>
      <c r="D1372" s="23">
        <f>($B1372-$C1372)*100</f>
        <v/>
      </c>
    </row>
    <row r="1373">
      <c r="A1373" s="11" t="n">
        <v>46094</v>
      </c>
      <c r="B1373" s="22">
        <f>'JGBCurve'!$C$1373</f>
        <v/>
      </c>
      <c r="C1373" s="22" t="n">
        <v>0.728</v>
      </c>
      <c r="D1373" s="23">
        <f>($B1373-$C1373)*100</f>
        <v/>
      </c>
    </row>
    <row r="1374">
      <c r="A1374" s="11" t="n">
        <v>46101</v>
      </c>
      <c r="B1374" s="22">
        <f>'JGBCurve'!$C$1374</f>
        <v/>
      </c>
      <c r="C1374" s="22" t="n">
        <v>0.728</v>
      </c>
      <c r="D1374" s="23">
        <f>($B1374-$C1374)*100</f>
        <v/>
      </c>
    </row>
    <row r="1375">
      <c r="A1375" s="11" t="n">
        <v>46108</v>
      </c>
      <c r="B1375" s="22">
        <f>'JGBCurve'!$C$1375</f>
        <v/>
      </c>
      <c r="C1375" s="22" t="n">
        <v>0.728</v>
      </c>
      <c r="D1375" s="23">
        <f>($B1375-$C1375)*100</f>
        <v/>
      </c>
    </row>
    <row r="1376">
      <c r="A1376" s="11" t="n">
        <v>46115</v>
      </c>
      <c r="B1376" s="22">
        <f>'JGBCurve'!$C$1376</f>
        <v/>
      </c>
      <c r="C1376" s="22" t="n">
        <v>0.727</v>
      </c>
      <c r="D1376" s="23">
        <f>($B1376-$C1376)*100</f>
        <v/>
      </c>
    </row>
    <row r="1377">
      <c r="A1377" s="11" t="n">
        <v>46122</v>
      </c>
      <c r="B1377" s="22">
        <f>'JGBCurve'!$C$1377</f>
        <v/>
      </c>
      <c r="C1377" s="22" t="n">
        <v>0.727</v>
      </c>
      <c r="D1377" s="23">
        <f>($B1377-$C1377)*100</f>
        <v/>
      </c>
    </row>
    <row r="1378">
      <c r="A1378" s="11" t="n">
        <v>46129</v>
      </c>
      <c r="B1378" s="22">
        <f>'JGBCurve'!$C$1378</f>
        <v/>
      </c>
      <c r="C1378" s="22" t="n">
        <v>0.727</v>
      </c>
      <c r="D1378" s="23">
        <f>($B1378-$C1378)*100</f>
        <v/>
      </c>
    </row>
    <row r="1379">
      <c r="A1379" s="11" t="n">
        <v>46136</v>
      </c>
      <c r="B1379" s="22">
        <f>'JGBCurve'!$C$1379</f>
        <v/>
      </c>
      <c r="C1379" s="22" t="n">
        <v>0.727</v>
      </c>
      <c r="D1379" s="23">
        <f>($B1379-$C1379)*100</f>
        <v/>
      </c>
    </row>
    <row r="1380">
      <c r="A1380" s="11" t="n">
        <v>46143</v>
      </c>
      <c r="B1380" s="22">
        <f>'JGBCurve'!$C$1380</f>
        <v/>
      </c>
      <c r="C1380" s="22" t="n">
        <v>0.727</v>
      </c>
      <c r="D1380" s="23">
        <f>($B1380-$C1380)*100</f>
        <v/>
      </c>
    </row>
    <row r="1381">
      <c r="A1381" s="11" t="n">
        <v>46150</v>
      </c>
      <c r="B1381" s="22">
        <f>'JGBCurve'!$C$1381</f>
        <v/>
      </c>
      <c r="C1381" s="22" t="n">
        <v>0.727</v>
      </c>
      <c r="D1381" s="23">
        <f>($B1381-$C1381)*100</f>
        <v/>
      </c>
    </row>
    <row r="1382">
      <c r="A1382" s="11" t="n">
        <v>46157</v>
      </c>
      <c r="B1382" s="22">
        <f>'JGBCurve'!$C$1382</f>
        <v/>
      </c>
      <c r="C1382" s="22" t="n">
        <v>0.727</v>
      </c>
      <c r="D1382" s="23">
        <f>($B1382-$C1382)*100</f>
        <v/>
      </c>
    </row>
    <row r="1383">
      <c r="A1383" s="11" t="n">
        <v>46164</v>
      </c>
      <c r="B1383" s="22">
        <f>'JGBCurve'!$C$1383</f>
        <v/>
      </c>
      <c r="C1383" s="22" t="n">
        <v>0.727</v>
      </c>
      <c r="D1383" s="23">
        <f>($B1383-$C1383)*100</f>
        <v/>
      </c>
    </row>
    <row r="1384">
      <c r="A1384" s="11" t="n">
        <v>46171</v>
      </c>
      <c r="B1384" s="22">
        <f>'JGBCurve'!$C$1384</f>
        <v/>
      </c>
      <c r="C1384" s="22" t="n">
        <v>0.727</v>
      </c>
      <c r="D1384" s="23">
        <f>($B1384-$C1384)*100</f>
        <v/>
      </c>
    </row>
    <row r="1385">
      <c r="A1385" s="11" t="n">
        <v>46178</v>
      </c>
      <c r="B1385" s="22">
        <f>'JGBCurve'!$C$1385</f>
        <v/>
      </c>
      <c r="C1385" s="22" t="n">
        <v>0.841</v>
      </c>
      <c r="D1385" s="23">
        <f>($B1385-$C1385)*100</f>
        <v/>
      </c>
    </row>
    <row r="1386">
      <c r="A1386" s="11" t="n">
        <v>46185</v>
      </c>
      <c r="B1386" s="22">
        <f>'JGBCurve'!$C$1386</f>
        <v/>
      </c>
      <c r="C1386" s="22" t="n">
        <v>0.841</v>
      </c>
      <c r="D1386" s="23">
        <f>($B1386-$C1386)*100</f>
        <v/>
      </c>
    </row>
    <row r="1387">
      <c r="A1387" s="11" t="n">
        <v>46192</v>
      </c>
      <c r="B1387" s="22">
        <f>'JGBCurve'!$C$1387</f>
        <v/>
      </c>
      <c r="C1387" s="22" t="n">
        <v>0.841</v>
      </c>
      <c r="D1387" s="23">
        <f>($B1387-$C1387)*100</f>
        <v/>
      </c>
    </row>
    <row r="1388">
      <c r="A1388" s="11" t="n">
        <v>46199</v>
      </c>
      <c r="B1388" s="22">
        <f>'JGBCurve'!$C$1388</f>
        <v/>
      </c>
      <c r="C1388" s="22" t="n">
        <v>0.841</v>
      </c>
      <c r="D1388" s="23">
        <f>($B1388-$C1388)*100</f>
        <v/>
      </c>
    </row>
    <row r="1389">
      <c r="A1389" s="11" t="n">
        <v>46206</v>
      </c>
      <c r="B1389" s="22">
        <f>'JGBCurve'!$C$1389</f>
        <v/>
      </c>
      <c r="C1389" s="22" t="n">
        <v>0.841</v>
      </c>
      <c r="D1389" s="23">
        <f>($B1389-$C1389)*100</f>
        <v/>
      </c>
    </row>
    <row r="1390">
      <c r="A1390" s="11" t="n">
        <v>46213</v>
      </c>
      <c r="B1390" s="22">
        <f>'JGBCurve'!$C$1390</f>
        <v/>
      </c>
      <c r="C1390" s="22" t="n">
        <v>0.841</v>
      </c>
      <c r="D1390" s="23">
        <f>($B1390-$C1390)*100</f>
        <v/>
      </c>
    </row>
    <row r="1391">
      <c r="A1391" s="11" t="n">
        <v>46220</v>
      </c>
      <c r="B1391" s="22">
        <f>'JGBCurve'!$C$1391</f>
        <v/>
      </c>
      <c r="C1391" s="22" t="n">
        <v>0.841</v>
      </c>
      <c r="D1391" s="23">
        <f>($B1391-$C1391)*100</f>
        <v/>
      </c>
    </row>
    <row r="1392">
      <c r="A1392" s="11" t="n">
        <v>46227</v>
      </c>
      <c r="B1392" s="22">
        <f>'JGBCurve'!$C$1392</f>
        <v/>
      </c>
      <c r="C1392" s="22" t="n">
        <v>0.841</v>
      </c>
      <c r="D1392" s="23">
        <f>($B1392-$C1392)*100</f>
        <v/>
      </c>
    </row>
    <row r="1393">
      <c r="A1393" s="11" t="n">
        <v>46234</v>
      </c>
      <c r="B1393" s="22">
        <f>'JGBCurve'!$C$1393</f>
        <v/>
      </c>
      <c r="C1393" s="22" t="n">
        <v>0.841</v>
      </c>
      <c r="D1393" s="23">
        <f>($B1393-$C1393)*100</f>
        <v/>
      </c>
    </row>
  </sheetData>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J976"/>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12" customWidth="1" min="1" max="1"/>
    <col width="19" customWidth="1" min="2" max="2"/>
    <col width="19" customWidth="1" min="3" max="3"/>
    <col width="19" customWidth="1" min="4" max="4"/>
    <col width="19" customWidth="1" min="5" max="5"/>
  </cols>
  <sheetData>
    <row r="1">
      <c r="A1" s="1" t="inlineStr">
        <is>
          <t>Japanese banks are a position on the curve, not on Japan</t>
        </is>
      </c>
    </row>
    <row r="2">
      <c r="A2" s="2" t="inlineStr">
        <is>
          <t>Weekly, Friday. Banks divided by the Nikkei, both in yen, rebased to 100 at the first week. The 10y reads live off the JGBCurve sheet.</t>
        </is>
      </c>
    </row>
    <row r="3" ht="4" customHeight="1">
      <c r="A3" s="3" t="n"/>
      <c r="B3" s="3" t="n"/>
      <c r="C3" s="3" t="n"/>
      <c r="D3" s="3" t="n"/>
      <c r="E3" s="3" t="n"/>
      <c r="F3" s="3" t="n"/>
      <c r="G3" s="3" t="n"/>
      <c r="H3" s="3" t="n"/>
      <c r="I3" s="3" t="n"/>
      <c r="J3" s="3" t="n"/>
    </row>
    <row r="6" ht="30" customHeight="1">
      <c r="A6" s="9" t="inlineStr">
        <is>
          <t>Date</t>
        </is>
      </c>
      <c r="B6" s="10" t="inlineStr">
        <is>
          <t>TOPIX Banks (1615.T)</t>
        </is>
      </c>
      <c r="C6" s="10" t="inlineStr">
        <is>
          <t>Nikkei 225</t>
        </is>
      </c>
      <c r="D6" s="10" t="inlineStr">
        <is>
          <t>Banks relative, rebased</t>
        </is>
      </c>
      <c r="E6" s="10" t="inlineStr">
        <is>
          <t>JGB 10y</t>
        </is>
      </c>
    </row>
    <row r="7">
      <c r="A7" s="11" t="n">
        <v>39451</v>
      </c>
      <c r="B7" s="24" t="n">
        <v>184.8273</v>
      </c>
      <c r="C7" s="24" t="n">
        <v>14691.4102</v>
      </c>
      <c r="D7" s="13">
        <f>100*($B7/$C7)/($B$7/$C$7)</f>
        <v/>
      </c>
      <c r="E7" s="17">
        <f>'JGBCurve'!$E$424</f>
        <v/>
      </c>
    </row>
    <row r="8">
      <c r="A8" s="11" t="n">
        <v>39458</v>
      </c>
      <c r="B8" s="24" t="n">
        <v>187.2324</v>
      </c>
      <c r="C8" s="24" t="n">
        <v>14110.79</v>
      </c>
      <c r="D8" s="13">
        <f>100*($B8/$C8)/($B$7/$C$7)</f>
        <v/>
      </c>
      <c r="E8" s="17">
        <f>'JGBCurve'!$E$425</f>
        <v/>
      </c>
    </row>
    <row r="9">
      <c r="A9" s="11" t="n">
        <v>39465</v>
      </c>
      <c r="B9" s="24" t="n">
        <v>180.4841</v>
      </c>
      <c r="C9" s="24" t="n">
        <v>13861.29</v>
      </c>
      <c r="D9" s="13">
        <f>100*($B9/$C9)/($B$7/$C$7)</f>
        <v/>
      </c>
      <c r="E9" s="17">
        <f>'JGBCurve'!$E$426</f>
        <v/>
      </c>
    </row>
    <row r="10">
      <c r="A10" s="11" t="n">
        <v>39472</v>
      </c>
      <c r="B10" s="24" t="n">
        <v>187.4371</v>
      </c>
      <c r="C10" s="24" t="n">
        <v>13629.1602</v>
      </c>
      <c r="D10" s="13">
        <f>100*($B10/$C10)/($B$7/$C$7)</f>
        <v/>
      </c>
      <c r="E10" s="17">
        <f>'JGBCurve'!$E$427</f>
        <v/>
      </c>
    </row>
    <row r="11">
      <c r="A11" s="11" t="n">
        <v>39479</v>
      </c>
      <c r="B11" s="24" t="n">
        <v>182.224</v>
      </c>
      <c r="C11" s="24" t="n">
        <v>13497.1602</v>
      </c>
      <c r="D11" s="13">
        <f>100*($B11/$C11)/($B$7/$C$7)</f>
        <v/>
      </c>
      <c r="E11" s="17">
        <f>'JGBCurve'!$E$428</f>
        <v/>
      </c>
    </row>
    <row r="12">
      <c r="A12" s="11" t="n">
        <v>39486</v>
      </c>
      <c r="B12" s="24" t="n">
        <v>173.5119</v>
      </c>
      <c r="C12" s="24" t="n">
        <v>13017.2402</v>
      </c>
      <c r="D12" s="13">
        <f>100*($B12/$C12)/($B$7/$C$7)</f>
        <v/>
      </c>
      <c r="E12" s="17">
        <f>'JGBCurve'!$E$429</f>
        <v/>
      </c>
    </row>
    <row r="13">
      <c r="A13" s="11" t="n">
        <v>39493</v>
      </c>
      <c r="B13" s="24" t="n">
        <v>174.9383</v>
      </c>
      <c r="C13" s="24" t="n">
        <v>13622.5596</v>
      </c>
      <c r="D13" s="13">
        <f>100*($B13/$C13)/($B$7/$C$7)</f>
        <v/>
      </c>
      <c r="E13" s="17">
        <f>'JGBCurve'!$E$430</f>
        <v/>
      </c>
    </row>
    <row r="14">
      <c r="A14" s="11" t="n">
        <v>39500</v>
      </c>
      <c r="B14" s="24" t="n">
        <v>171.5801</v>
      </c>
      <c r="C14" s="24" t="n">
        <v>13500.46</v>
      </c>
      <c r="D14" s="13">
        <f>100*($B14/$C14)/($B$7/$C$7)</f>
        <v/>
      </c>
      <c r="E14" s="17">
        <f>'JGBCurve'!$E$431</f>
        <v/>
      </c>
    </row>
    <row r="15">
      <c r="A15" s="11" t="n">
        <v>39507</v>
      </c>
      <c r="B15" s="24" t="n">
        <v>173.1153</v>
      </c>
      <c r="C15" s="24" t="n">
        <v>13603.0195</v>
      </c>
      <c r="D15" s="13">
        <f>100*($B15/$C15)/($B$7/$C$7)</f>
        <v/>
      </c>
      <c r="E15" s="17">
        <f>'JGBCurve'!$E$432</f>
        <v/>
      </c>
    </row>
    <row r="16">
      <c r="A16" s="11" t="n">
        <v>39514</v>
      </c>
      <c r="B16" s="24" t="n">
        <v>158.0259</v>
      </c>
      <c r="C16" s="24" t="n">
        <v>12782.7998</v>
      </c>
      <c r="D16" s="13">
        <f>100*($B16/$C16)/($B$7/$C$7)</f>
        <v/>
      </c>
      <c r="E16" s="17">
        <f>'JGBCurve'!$E$433</f>
        <v/>
      </c>
    </row>
    <row r="17">
      <c r="A17" s="11" t="n">
        <v>39521</v>
      </c>
      <c r="B17" s="24" t="n">
        <v>154.4694</v>
      </c>
      <c r="C17" s="24" t="n">
        <v>12241.5996</v>
      </c>
      <c r="D17" s="13">
        <f>100*($B17/$C17)/($B$7/$C$7)</f>
        <v/>
      </c>
      <c r="E17" s="17">
        <f>'JGBCurve'!$E$434</f>
        <v/>
      </c>
    </row>
    <row r="18">
      <c r="A18" s="11" t="n">
        <v>39528</v>
      </c>
      <c r="B18" s="24" t="n">
        <v>164.3393</v>
      </c>
      <c r="C18" s="24" t="n">
        <v>12482.5703</v>
      </c>
      <c r="D18" s="13">
        <f>100*($B18/$C18)/($B$7/$C$7)</f>
        <v/>
      </c>
      <c r="E18" s="17">
        <f>'JGBCurve'!$E$435</f>
        <v/>
      </c>
    </row>
    <row r="19">
      <c r="A19" s="11" t="n">
        <v>39535</v>
      </c>
      <c r="B19" s="24" t="n">
        <v>163.8403</v>
      </c>
      <c r="C19" s="24" t="n">
        <v>12820.4697</v>
      </c>
      <c r="D19" s="13">
        <f>100*($B19/$C19)/($B$7/$C$7)</f>
        <v/>
      </c>
      <c r="E19" s="17">
        <f>'JGBCurve'!$E$436</f>
        <v/>
      </c>
    </row>
    <row r="20">
      <c r="A20" s="11" t="n">
        <v>39542</v>
      </c>
      <c r="B20" s="24" t="n">
        <v>177.9063</v>
      </c>
      <c r="C20" s="24" t="n">
        <v>13293.2197</v>
      </c>
      <c r="D20" s="13">
        <f>100*($B20/$C20)/($B$7/$C$7)</f>
        <v/>
      </c>
      <c r="E20" s="17">
        <f>'JGBCurve'!$E$437</f>
        <v/>
      </c>
    </row>
    <row r="21">
      <c r="A21" s="11" t="n">
        <v>39549</v>
      </c>
      <c r="B21" s="24" t="n">
        <v>171.062</v>
      </c>
      <c r="C21" s="24" t="n">
        <v>13323.7305</v>
      </c>
      <c r="D21" s="13">
        <f>100*($B21/$C21)/($B$7/$C$7)</f>
        <v/>
      </c>
      <c r="E21" s="17">
        <f>'JGBCurve'!$E$438</f>
        <v/>
      </c>
    </row>
    <row r="22">
      <c r="A22" s="11" t="n">
        <v>39556</v>
      </c>
      <c r="B22" s="24" t="n">
        <v>181.9361</v>
      </c>
      <c r="C22" s="24" t="n">
        <v>13476.4502</v>
      </c>
      <c r="D22" s="13">
        <f>100*($B22/$C22)/($B$7/$C$7)</f>
        <v/>
      </c>
      <c r="E22" s="17">
        <f>'JGBCurve'!$E$439</f>
        <v/>
      </c>
    </row>
    <row r="23">
      <c r="A23" s="11" t="n">
        <v>39563</v>
      </c>
      <c r="B23" s="24" t="n">
        <v>187.5906</v>
      </c>
      <c r="C23" s="24" t="n">
        <v>13863.4697</v>
      </c>
      <c r="D23" s="13">
        <f>100*($B23/$C23)/($B$7/$C$7)</f>
        <v/>
      </c>
      <c r="E23" s="17">
        <f>'JGBCurve'!$E$440</f>
        <v/>
      </c>
    </row>
    <row r="24">
      <c r="A24" s="11" t="n">
        <v>39570</v>
      </c>
      <c r="B24" s="24" t="n">
        <v>202.8079</v>
      </c>
      <c r="C24" s="24" t="n">
        <v>14049.2598</v>
      </c>
      <c r="D24" s="13">
        <f>100*($B24/$C24)/($B$7/$C$7)</f>
        <v/>
      </c>
      <c r="E24" s="17">
        <f>'JGBCurve'!$E$441</f>
        <v/>
      </c>
    </row>
    <row r="25">
      <c r="A25" s="11" t="n">
        <v>39577</v>
      </c>
      <c r="B25" s="24" t="n">
        <v>194.1087</v>
      </c>
      <c r="C25" s="24" t="n">
        <v>13655.3398</v>
      </c>
      <c r="D25" s="13">
        <f>100*($B25/$C25)/($B$7/$C$7)</f>
        <v/>
      </c>
      <c r="E25" s="17">
        <f>'JGBCurve'!$E$442</f>
        <v/>
      </c>
    </row>
    <row r="26">
      <c r="A26" s="11" t="n">
        <v>39584</v>
      </c>
      <c r="B26" s="24" t="n">
        <v>199.4945</v>
      </c>
      <c r="C26" s="24" t="n">
        <v>14219.4805</v>
      </c>
      <c r="D26" s="13">
        <f>100*($B26/$C26)/($B$7/$C$7)</f>
        <v/>
      </c>
      <c r="E26" s="17">
        <f>'JGBCurve'!$E$443</f>
        <v/>
      </c>
    </row>
    <row r="27">
      <c r="A27" s="11" t="n">
        <v>39591</v>
      </c>
      <c r="B27" s="24" t="n">
        <v>189.5352</v>
      </c>
      <c r="C27" s="24" t="n">
        <v>14012.2002</v>
      </c>
      <c r="D27" s="13">
        <f>100*($B27/$C27)/($B$7/$C$7)</f>
        <v/>
      </c>
      <c r="E27" s="17">
        <f>'JGBCurve'!$E$444</f>
        <v/>
      </c>
    </row>
    <row r="28">
      <c r="A28" s="11" t="n">
        <v>39598</v>
      </c>
      <c r="B28" s="24" t="n">
        <v>200.3325</v>
      </c>
      <c r="C28" s="24" t="n">
        <v>14338.54</v>
      </c>
      <c r="D28" s="13">
        <f>100*($B28/$C28)/($B$7/$C$7)</f>
        <v/>
      </c>
      <c r="E28" s="17">
        <f>'JGBCurve'!$E$445</f>
        <v/>
      </c>
    </row>
    <row r="29">
      <c r="A29" s="11" t="n">
        <v>39605</v>
      </c>
      <c r="B29" s="24" t="n">
        <v>205.6671</v>
      </c>
      <c r="C29" s="24" t="n">
        <v>14489.4404</v>
      </c>
      <c r="D29" s="13">
        <f>100*($B29/$C29)/($B$7/$C$7)</f>
        <v/>
      </c>
      <c r="E29" s="17">
        <f>'JGBCurve'!$E$446</f>
        <v/>
      </c>
    </row>
    <row r="30">
      <c r="A30" s="11" t="n">
        <v>39612</v>
      </c>
      <c r="B30" s="24" t="n">
        <v>194.3709</v>
      </c>
      <c r="C30" s="24" t="n">
        <v>13973.7305</v>
      </c>
      <c r="D30" s="13">
        <f>100*($B30/$C30)/($B$7/$C$7)</f>
        <v/>
      </c>
      <c r="E30" s="17">
        <f>'JGBCurve'!$E$447</f>
        <v/>
      </c>
    </row>
    <row r="31">
      <c r="A31" s="11" t="n">
        <v>39619</v>
      </c>
      <c r="B31" s="24" t="n">
        <v>189.8677</v>
      </c>
      <c r="C31" s="24" t="n">
        <v>13942.0801</v>
      </c>
      <c r="D31" s="13">
        <f>100*($B31/$C31)/($B$7/$C$7)</f>
        <v/>
      </c>
      <c r="E31" s="17">
        <f>'JGBCurve'!$E$448</f>
        <v/>
      </c>
    </row>
    <row r="32">
      <c r="A32" s="11" t="n">
        <v>39626</v>
      </c>
      <c r="B32" s="24" t="n">
        <v>179.3455</v>
      </c>
      <c r="C32" s="24" t="n">
        <v>13544.3604</v>
      </c>
      <c r="D32" s="13">
        <f>100*($B32/$C32)/($B$7/$C$7)</f>
        <v/>
      </c>
      <c r="E32" s="17">
        <f>'JGBCurve'!$E$449</f>
        <v/>
      </c>
    </row>
    <row r="33">
      <c r="A33" s="11" t="n">
        <v>39633</v>
      </c>
      <c r="B33" s="24" t="n">
        <v>175.3477</v>
      </c>
      <c r="C33" s="24" t="n">
        <v>13237.8896</v>
      </c>
      <c r="D33" s="13">
        <f>100*($B33/$C33)/($B$7/$C$7)</f>
        <v/>
      </c>
      <c r="E33" s="17">
        <f>'JGBCurve'!$E$450</f>
        <v/>
      </c>
    </row>
    <row r="34">
      <c r="A34" s="11" t="n">
        <v>39640</v>
      </c>
      <c r="B34" s="24" t="n">
        <v>183.209</v>
      </c>
      <c r="C34" s="24" t="n">
        <v>13039.6904</v>
      </c>
      <c r="D34" s="13">
        <f>100*($B34/$C34)/($B$7/$C$7)</f>
        <v/>
      </c>
      <c r="E34" s="17">
        <f>'JGBCurve'!$E$451</f>
        <v/>
      </c>
    </row>
    <row r="35">
      <c r="A35" s="11" t="n">
        <v>39647</v>
      </c>
      <c r="B35" s="24" t="n">
        <v>176.5438</v>
      </c>
      <c r="C35" s="24" t="n">
        <v>12803.7002</v>
      </c>
      <c r="D35" s="13">
        <f>100*($B35/$C35)/($B$7/$C$7)</f>
        <v/>
      </c>
      <c r="E35" s="17">
        <f>'JGBCurve'!$E$452</f>
        <v/>
      </c>
    </row>
    <row r="36">
      <c r="A36" s="11" t="n">
        <v>39654</v>
      </c>
      <c r="B36" s="24" t="n">
        <v>180.3817</v>
      </c>
      <c r="C36" s="24" t="n">
        <v>13334.7598</v>
      </c>
      <c r="D36" s="13">
        <f>100*($B36/$C36)/($B$7/$C$7)</f>
        <v/>
      </c>
      <c r="E36" s="17">
        <f>'JGBCurve'!$E$453</f>
        <v/>
      </c>
    </row>
    <row r="37">
      <c r="A37" s="11" t="n">
        <v>39661</v>
      </c>
      <c r="B37" s="24" t="n">
        <v>172.4884</v>
      </c>
      <c r="C37" s="24" t="n">
        <v>13094.5898</v>
      </c>
      <c r="D37" s="13">
        <f>100*($B37/$C37)/($B$7/$C$7)</f>
        <v/>
      </c>
      <c r="E37" s="17">
        <f>'JGBCurve'!$E$454</f>
        <v/>
      </c>
    </row>
    <row r="38">
      <c r="A38" s="11" t="n">
        <v>39668</v>
      </c>
      <c r="B38" s="24" t="n">
        <v>160.3094</v>
      </c>
      <c r="C38" s="24" t="n">
        <v>13168.4102</v>
      </c>
      <c r="D38" s="13">
        <f>100*($B38/$C38)/($B$7/$C$7)</f>
        <v/>
      </c>
      <c r="E38" s="17">
        <f>'JGBCurve'!$E$455</f>
        <v/>
      </c>
    </row>
    <row r="39">
      <c r="A39" s="11" t="n">
        <v>39675</v>
      </c>
      <c r="B39" s="24" t="n">
        <v>156.011</v>
      </c>
      <c r="C39" s="24" t="n">
        <v>13019.4102</v>
      </c>
      <c r="D39" s="13">
        <f>100*($B39/$C39)/($B$7/$C$7)</f>
        <v/>
      </c>
      <c r="E39" s="17">
        <f>'JGBCurve'!$E$456</f>
        <v/>
      </c>
    </row>
    <row r="40">
      <c r="A40" s="11" t="n">
        <v>39682</v>
      </c>
      <c r="B40" s="24" t="n">
        <v>150.2861</v>
      </c>
      <c r="C40" s="24" t="n">
        <v>12666.04</v>
      </c>
      <c r="D40" s="13">
        <f>100*($B40/$C40)/($B$7/$C$7)</f>
        <v/>
      </c>
      <c r="E40" s="17">
        <f>'JGBCurve'!$E$457</f>
        <v/>
      </c>
    </row>
    <row r="41">
      <c r="A41" s="11" t="n">
        <v>39689</v>
      </c>
      <c r="B41" s="24" t="n">
        <v>157.3095</v>
      </c>
      <c r="C41" s="24" t="n">
        <v>13072.8701</v>
      </c>
      <c r="D41" s="13">
        <f>100*($B41/$C41)/($B$7/$C$7)</f>
        <v/>
      </c>
      <c r="E41" s="17">
        <f>'JGBCurve'!$E$458</f>
        <v/>
      </c>
    </row>
    <row r="42">
      <c r="A42" s="11" t="n">
        <v>39696</v>
      </c>
      <c r="B42" s="24" t="n">
        <v>140.0389</v>
      </c>
      <c r="C42" s="24" t="n">
        <v>12212.2305</v>
      </c>
      <c r="D42" s="13">
        <f>100*($B42/$C42)/($B$7/$C$7)</f>
        <v/>
      </c>
      <c r="E42" s="17">
        <f>'JGBCurve'!$E$459</f>
        <v/>
      </c>
    </row>
    <row r="43">
      <c r="A43" s="11" t="n">
        <v>39703</v>
      </c>
      <c r="B43" s="24" t="n">
        <v>157.2775</v>
      </c>
      <c r="C43" s="24" t="n">
        <v>12214.7598</v>
      </c>
      <c r="D43" s="13">
        <f>100*($B43/$C43)/($B$7/$C$7)</f>
        <v/>
      </c>
      <c r="E43" s="17">
        <f>'JGBCurve'!$E$460</f>
        <v/>
      </c>
    </row>
    <row r="44">
      <c r="A44" s="11" t="n">
        <v>39710</v>
      </c>
      <c r="B44" s="24" t="n">
        <v>155.4673</v>
      </c>
      <c r="C44" s="24" t="n">
        <v>11920.8604</v>
      </c>
      <c r="D44" s="13">
        <f>100*($B44/$C44)/($B$7/$C$7)</f>
        <v/>
      </c>
      <c r="E44" s="17">
        <f>'JGBCurve'!$E$461</f>
        <v/>
      </c>
    </row>
    <row r="45">
      <c r="A45" s="11" t="n">
        <v>39717</v>
      </c>
      <c r="B45" s="24" t="n">
        <v>163.1687</v>
      </c>
      <c r="C45" s="24" t="n">
        <v>11893.1602</v>
      </c>
      <c r="D45" s="13">
        <f>100*($B45/$C45)/($B$7/$C$7)</f>
        <v/>
      </c>
      <c r="E45" s="17">
        <f>'JGBCurve'!$E$462</f>
        <v/>
      </c>
    </row>
    <row r="46">
      <c r="A46" s="11" t="n">
        <v>39724</v>
      </c>
      <c r="B46" s="24" t="n">
        <v>152.6592</v>
      </c>
      <c r="C46" s="24" t="n">
        <v>10938.1396</v>
      </c>
      <c r="D46" s="13">
        <f>100*($B46/$C46)/($B$7/$C$7)</f>
        <v/>
      </c>
      <c r="E46" s="17">
        <f>'JGBCurve'!$E$463</f>
        <v/>
      </c>
    </row>
    <row r="47">
      <c r="A47" s="11" t="n">
        <v>39731</v>
      </c>
      <c r="B47" s="24" t="n">
        <v>123.6702</v>
      </c>
      <c r="C47" s="24" t="n">
        <v>8276.429700000001</v>
      </c>
      <c r="D47" s="13">
        <f>100*($B47/$C47)/($B$7/$C$7)</f>
        <v/>
      </c>
      <c r="E47" s="17">
        <f>'JGBCurve'!$E$464</f>
        <v/>
      </c>
    </row>
    <row r="48">
      <c r="A48" s="11" t="n">
        <v>39738</v>
      </c>
      <c r="B48" s="24" t="n">
        <v>130.8855</v>
      </c>
      <c r="C48" s="24" t="n">
        <v>8693.820299999999</v>
      </c>
      <c r="D48" s="13">
        <f>100*($B48/$C48)/($B$7/$C$7)</f>
        <v/>
      </c>
      <c r="E48" s="17">
        <f>'JGBCurve'!$E$465</f>
        <v/>
      </c>
    </row>
    <row r="49">
      <c r="A49" s="11" t="n">
        <v>39745</v>
      </c>
      <c r="B49" s="24" t="n">
        <v>112.7002</v>
      </c>
      <c r="C49" s="24" t="n">
        <v>7649.0801</v>
      </c>
      <c r="D49" s="13">
        <f>100*($B49/$C49)/($B$7/$C$7)</f>
        <v/>
      </c>
      <c r="E49" s="17">
        <f>'JGBCurve'!$E$466</f>
        <v/>
      </c>
    </row>
    <row r="50">
      <c r="A50" s="11" t="n">
        <v>39752</v>
      </c>
      <c r="B50" s="24" t="n">
        <v>107.5574</v>
      </c>
      <c r="C50" s="24" t="n">
        <v>8576.9805</v>
      </c>
      <c r="D50" s="13">
        <f>100*($B50/$C50)/($B$7/$C$7)</f>
        <v/>
      </c>
      <c r="E50" s="17">
        <f>'JGBCurve'!$E$467</f>
        <v/>
      </c>
    </row>
    <row r="51">
      <c r="A51" s="11" t="n">
        <v>39759</v>
      </c>
      <c r="B51" s="24" t="n">
        <v>115.7066</v>
      </c>
      <c r="C51" s="24" t="n">
        <v>8583</v>
      </c>
      <c r="D51" s="13">
        <f>100*($B51/$C51)/($B$7/$C$7)</f>
        <v/>
      </c>
      <c r="E51" s="17">
        <f>'JGBCurve'!$E$468</f>
        <v/>
      </c>
    </row>
    <row r="52">
      <c r="A52" s="11" t="n">
        <v>39766</v>
      </c>
      <c r="B52" s="24" t="n">
        <v>106.3548</v>
      </c>
      <c r="C52" s="24" t="n">
        <v>8462.3896</v>
      </c>
      <c r="D52" s="13">
        <f>100*($B52/$C52)/($B$7/$C$7)</f>
        <v/>
      </c>
      <c r="E52" s="17">
        <f>'JGBCurve'!$E$469</f>
        <v/>
      </c>
    </row>
    <row r="53">
      <c r="A53" s="11" t="n">
        <v>39773</v>
      </c>
      <c r="B53" s="24" t="n">
        <v>96.92</v>
      </c>
      <c r="C53" s="24" t="n">
        <v>7910.79</v>
      </c>
      <c r="D53" s="13">
        <f>100*($B53/$C53)/($B$7/$C$7)</f>
        <v/>
      </c>
      <c r="E53" s="17">
        <f>'JGBCurve'!$E$470</f>
        <v/>
      </c>
    </row>
    <row r="54">
      <c r="A54" s="11" t="n">
        <v>39780</v>
      </c>
      <c r="B54" s="24" t="n">
        <v>104.1672</v>
      </c>
      <c r="C54" s="24" t="n">
        <v>8512.2695</v>
      </c>
      <c r="D54" s="13">
        <f>100*($B54/$C54)/($B$7/$C$7)</f>
        <v/>
      </c>
      <c r="E54" s="17">
        <f>'JGBCurve'!$E$471</f>
        <v/>
      </c>
    </row>
    <row r="55">
      <c r="A55" s="11" t="n">
        <v>39787</v>
      </c>
      <c r="B55" s="24" t="n">
        <v>93.10769999999999</v>
      </c>
      <c r="C55" s="24" t="n">
        <v>7917.5098</v>
      </c>
      <c r="D55" s="13">
        <f>100*($B55/$C55)/($B$7/$C$7)</f>
        <v/>
      </c>
      <c r="E55" s="17">
        <f>'JGBCurve'!$E$472</f>
        <v/>
      </c>
    </row>
    <row r="56">
      <c r="A56" s="11" t="n">
        <v>39794</v>
      </c>
      <c r="B56" s="24" t="n">
        <v>100.4573</v>
      </c>
      <c r="C56" s="24" t="n">
        <v>8235.8701</v>
      </c>
      <c r="D56" s="13">
        <f>100*($B56/$C56)/($B$7/$C$7)</f>
        <v/>
      </c>
      <c r="E56" s="17">
        <f>'JGBCurve'!$E$473</f>
        <v/>
      </c>
    </row>
    <row r="57">
      <c r="A57" s="11" t="n">
        <v>39801</v>
      </c>
      <c r="B57" s="24" t="n">
        <v>110.551</v>
      </c>
      <c r="C57" s="24" t="n">
        <v>8588.5195</v>
      </c>
      <c r="D57" s="13">
        <f>100*($B57/$C57)/($B$7/$C$7)</f>
        <v/>
      </c>
      <c r="E57" s="17">
        <f>'JGBCurve'!$E$474</f>
        <v/>
      </c>
    </row>
    <row r="58">
      <c r="A58" s="11" t="n">
        <v>39808</v>
      </c>
      <c r="B58" s="24" t="n">
        <v>110.1032</v>
      </c>
      <c r="C58" s="24" t="n">
        <v>8739.5195</v>
      </c>
      <c r="D58" s="13">
        <f>100*($B58/$C58)/($B$7/$C$7)</f>
        <v/>
      </c>
      <c r="E58" s="17">
        <f>'JGBCurve'!$E$475</f>
        <v/>
      </c>
    </row>
    <row r="59">
      <c r="A59" s="11" t="n">
        <v>39815</v>
      </c>
      <c r="B59" s="24" t="n">
        <v>110.6022</v>
      </c>
      <c r="C59" s="24" t="n">
        <v>8859.559600000001</v>
      </c>
      <c r="D59" s="13">
        <f>100*($B59/$C59)/($B$7/$C$7)</f>
        <v/>
      </c>
      <c r="E59" s="17">
        <f>'JGBCurve'!$E$476</f>
        <v/>
      </c>
    </row>
    <row r="60">
      <c r="A60" s="11" t="n">
        <v>39822</v>
      </c>
      <c r="B60" s="24" t="n">
        <v>111.939</v>
      </c>
      <c r="C60" s="24" t="n">
        <v>8836.799800000001</v>
      </c>
      <c r="D60" s="13">
        <f>100*($B60/$C60)/($B$7/$C$7)</f>
        <v/>
      </c>
      <c r="E60" s="17">
        <f>'JGBCurve'!$E$477</f>
        <v/>
      </c>
    </row>
    <row r="61">
      <c r="A61" s="11" t="n">
        <v>39829</v>
      </c>
      <c r="B61" s="24" t="n">
        <v>106.1821</v>
      </c>
      <c r="C61" s="24" t="n">
        <v>8230.1504</v>
      </c>
      <c r="D61" s="13">
        <f>100*($B61/$C61)/($B$7/$C$7)</f>
        <v/>
      </c>
      <c r="E61" s="17">
        <f>'JGBCurve'!$E$478</f>
        <v/>
      </c>
    </row>
    <row r="62">
      <c r="A62" s="11" t="n">
        <v>39836</v>
      </c>
      <c r="B62" s="24" t="n">
        <v>95.3081</v>
      </c>
      <c r="C62" s="24" t="n">
        <v>7745.25</v>
      </c>
      <c r="D62" s="13">
        <f>100*($B62/$C62)/($B$7/$C$7)</f>
        <v/>
      </c>
      <c r="E62" s="17">
        <f>'JGBCurve'!$E$479</f>
        <v/>
      </c>
    </row>
    <row r="63">
      <c r="A63" s="11" t="n">
        <v>39843</v>
      </c>
      <c r="B63" s="24" t="n">
        <v>102.3442</v>
      </c>
      <c r="C63" s="24" t="n">
        <v>7994.0498</v>
      </c>
      <c r="D63" s="13">
        <f>100*($B63/$C63)/($B$7/$C$7)</f>
        <v/>
      </c>
      <c r="E63" s="17">
        <f>'JGBCurve'!$E$480</f>
        <v/>
      </c>
    </row>
    <row r="64">
      <c r="A64" s="11" t="n">
        <v>39850</v>
      </c>
      <c r="B64" s="24" t="n">
        <v>100.4253</v>
      </c>
      <c r="C64" s="24" t="n">
        <v>8076.6201</v>
      </c>
      <c r="D64" s="13">
        <f>100*($B64/$C64)/($B$7/$C$7)</f>
        <v/>
      </c>
      <c r="E64" s="17">
        <f>'JGBCurve'!$E$481</f>
        <v/>
      </c>
    </row>
    <row r="65">
      <c r="A65" s="11" t="n">
        <v>39857</v>
      </c>
      <c r="B65" s="24" t="n">
        <v>96.5874</v>
      </c>
      <c r="C65" s="24" t="n">
        <v>7779.3999</v>
      </c>
      <c r="D65" s="13">
        <f>100*($B65/$C65)/($B$7/$C$7)</f>
        <v/>
      </c>
      <c r="E65" s="17">
        <f>'JGBCurve'!$E$482</f>
        <v/>
      </c>
    </row>
    <row r="66">
      <c r="A66" s="11" t="n">
        <v>39864</v>
      </c>
      <c r="B66" s="24" t="n">
        <v>91.47020000000001</v>
      </c>
      <c r="C66" s="24" t="n">
        <v>7416.3799</v>
      </c>
      <c r="D66" s="13">
        <f>100*($B66/$C66)/($B$7/$C$7)</f>
        <v/>
      </c>
      <c r="E66" s="17">
        <f>'JGBCurve'!$E$483</f>
        <v/>
      </c>
    </row>
    <row r="67">
      <c r="A67" s="11" t="n">
        <v>39871</v>
      </c>
      <c r="B67" s="24" t="n">
        <v>93.3891</v>
      </c>
      <c r="C67" s="24" t="n">
        <v>7568.4199</v>
      </c>
      <c r="D67" s="13">
        <f>100*($B67/$C67)/($B$7/$C$7)</f>
        <v/>
      </c>
      <c r="E67" s="17">
        <f>'JGBCurve'!$E$484</f>
        <v/>
      </c>
    </row>
    <row r="68">
      <c r="A68" s="11" t="n">
        <v>39878</v>
      </c>
      <c r="B68" s="24" t="n">
        <v>86.35299999999999</v>
      </c>
      <c r="C68" s="24" t="n">
        <v>7173.1001</v>
      </c>
      <c r="D68" s="13">
        <f>100*($B68/$C68)/($B$7/$C$7)</f>
        <v/>
      </c>
      <c r="E68" s="17">
        <f>'JGBCurve'!$E$485</f>
        <v/>
      </c>
    </row>
    <row r="69">
      <c r="A69" s="11" t="n">
        <v>39885</v>
      </c>
      <c r="B69" s="24" t="n">
        <v>86.35299999999999</v>
      </c>
      <c r="C69" s="24" t="n">
        <v>7569.2798</v>
      </c>
      <c r="D69" s="13">
        <f>100*($B69/$C69)/($B$7/$C$7)</f>
        <v/>
      </c>
      <c r="E69" s="17">
        <f>'JGBCurve'!$E$486</f>
        <v/>
      </c>
    </row>
    <row r="70">
      <c r="A70" s="11" t="n">
        <v>39892</v>
      </c>
      <c r="B70" s="24" t="n">
        <v>99.146</v>
      </c>
      <c r="C70" s="24" t="n">
        <v>7945.96</v>
      </c>
      <c r="D70" s="13">
        <f>100*($B70/$C70)/($B$7/$C$7)</f>
        <v/>
      </c>
      <c r="E70" s="17">
        <f>'JGBCurve'!$E$487</f>
        <v/>
      </c>
    </row>
    <row r="71">
      <c r="A71" s="11" t="n">
        <v>39899</v>
      </c>
      <c r="B71" s="24" t="n">
        <v>105.5425</v>
      </c>
      <c r="C71" s="24" t="n">
        <v>8626.9697</v>
      </c>
      <c r="D71" s="13">
        <f>100*($B71/$C71)/($B$7/$C$7)</f>
        <v/>
      </c>
      <c r="E71" s="17">
        <f>'JGBCurve'!$E$488</f>
        <v/>
      </c>
    </row>
    <row r="72">
      <c r="A72" s="11" t="n">
        <v>39906</v>
      </c>
      <c r="B72" s="24" t="n">
        <v>102.9839</v>
      </c>
      <c r="C72" s="24" t="n">
        <v>8749.8398</v>
      </c>
      <c r="D72" s="13">
        <f>100*($B72/$C72)/($B$7/$C$7)</f>
        <v/>
      </c>
      <c r="E72" s="17">
        <f>'JGBCurve'!$E$489</f>
        <v/>
      </c>
    </row>
    <row r="73">
      <c r="A73" s="11" t="n">
        <v>39913</v>
      </c>
      <c r="B73" s="24" t="n">
        <v>99.146</v>
      </c>
      <c r="C73" s="24" t="n">
        <v>8964.1104</v>
      </c>
      <c r="D73" s="13">
        <f>100*($B73/$C73)/($B$7/$C$7)</f>
        <v/>
      </c>
      <c r="E73" s="17">
        <f>'JGBCurve'!$E$490</f>
        <v/>
      </c>
    </row>
    <row r="74">
      <c r="A74" s="11" t="n">
        <v>39920</v>
      </c>
      <c r="B74" s="24" t="n">
        <v>98.5063</v>
      </c>
      <c r="C74" s="24" t="n">
        <v>8907.580099999999</v>
      </c>
      <c r="D74" s="13">
        <f>100*($B74/$C74)/($B$7/$C$7)</f>
        <v/>
      </c>
      <c r="E74" s="17">
        <f>'JGBCurve'!$E$491</f>
        <v/>
      </c>
    </row>
    <row r="75">
      <c r="A75" s="11" t="n">
        <v>39927</v>
      </c>
      <c r="B75" s="24" t="n">
        <v>96.5874</v>
      </c>
      <c r="C75" s="24" t="n">
        <v>8707.9902</v>
      </c>
      <c r="D75" s="13">
        <f>100*($B75/$C75)/($B$7/$C$7)</f>
        <v/>
      </c>
      <c r="E75" s="17">
        <f>'JGBCurve'!$E$492</f>
        <v/>
      </c>
    </row>
    <row r="76">
      <c r="A76" s="11" t="n">
        <v>39934</v>
      </c>
      <c r="B76" s="24" t="n">
        <v>101.0649</v>
      </c>
      <c r="C76" s="24" t="n">
        <v>8977.3701</v>
      </c>
      <c r="D76" s="13">
        <f>100*($B76/$C76)/($B$7/$C$7)</f>
        <v/>
      </c>
      <c r="E76" s="17">
        <f>'JGBCurve'!$E$493</f>
        <v/>
      </c>
    </row>
    <row r="77">
      <c r="A77" s="11" t="n">
        <v>39941</v>
      </c>
      <c r="B77" s="24" t="n">
        <v>114.4976</v>
      </c>
      <c r="C77" s="24" t="n">
        <v>9432.830099999999</v>
      </c>
      <c r="D77" s="13">
        <f>100*($B77/$C77)/($B$7/$C$7)</f>
        <v/>
      </c>
      <c r="E77" s="17">
        <f>'JGBCurve'!$E$494</f>
        <v/>
      </c>
    </row>
    <row r="78">
      <c r="A78" s="11" t="n">
        <v>39948</v>
      </c>
      <c r="B78" s="24" t="n">
        <v>110.6597</v>
      </c>
      <c r="C78" s="24" t="n">
        <v>9265.0195</v>
      </c>
      <c r="D78" s="13">
        <f>100*($B78/$C78)/($B$7/$C$7)</f>
        <v/>
      </c>
      <c r="E78" s="17">
        <f>'JGBCurve'!$E$495</f>
        <v/>
      </c>
    </row>
    <row r="79">
      <c r="A79" s="11" t="n">
        <v>39955</v>
      </c>
      <c r="B79" s="24" t="n">
        <v>109.3804</v>
      </c>
      <c r="C79" s="24" t="n">
        <v>9225.809600000001</v>
      </c>
      <c r="D79" s="13">
        <f>100*($B79/$C79)/($B$7/$C$7)</f>
        <v/>
      </c>
      <c r="E79" s="17">
        <f>'JGBCurve'!$E$496</f>
        <v/>
      </c>
    </row>
    <row r="80">
      <c r="A80" s="11" t="n">
        <v>39962</v>
      </c>
      <c r="B80" s="24" t="n">
        <v>110.6597</v>
      </c>
      <c r="C80" s="24" t="n">
        <v>9522.5</v>
      </c>
      <c r="D80" s="13">
        <f>100*($B80/$C80)/($B$7/$C$7)</f>
        <v/>
      </c>
      <c r="E80" s="17">
        <f>'JGBCurve'!$E$497</f>
        <v/>
      </c>
    </row>
    <row r="81">
      <c r="A81" s="11" t="n">
        <v>39969</v>
      </c>
      <c r="B81" s="24" t="n">
        <v>113.8579</v>
      </c>
      <c r="C81" s="24" t="n">
        <v>9768.0098</v>
      </c>
      <c r="D81" s="13">
        <f>100*($B81/$C81)/($B$7/$C$7)</f>
        <v/>
      </c>
      <c r="E81" s="17">
        <f>'JGBCurve'!$E$498</f>
        <v/>
      </c>
    </row>
    <row r="82">
      <c r="A82" s="11" t="n">
        <v>39976</v>
      </c>
      <c r="B82" s="24" t="n">
        <v>120.8941</v>
      </c>
      <c r="C82" s="24" t="n">
        <v>10135.8203</v>
      </c>
      <c r="D82" s="13">
        <f>100*($B82/$C82)/($B$7/$C$7)</f>
        <v/>
      </c>
      <c r="E82" s="17">
        <f>'JGBCurve'!$E$499</f>
        <v/>
      </c>
    </row>
    <row r="83">
      <c r="A83" s="11" t="n">
        <v>39983</v>
      </c>
      <c r="B83" s="24" t="n">
        <v>115.1373</v>
      </c>
      <c r="C83" s="24" t="n">
        <v>9786.2598</v>
      </c>
      <c r="D83" s="13">
        <f>100*($B83/$C83)/($B$7/$C$7)</f>
        <v/>
      </c>
      <c r="E83" s="17">
        <f>'JGBCurve'!$E$500</f>
        <v/>
      </c>
    </row>
    <row r="84">
      <c r="A84" s="11" t="n">
        <v>39990</v>
      </c>
      <c r="B84" s="24" t="n">
        <v>115.1373</v>
      </c>
      <c r="C84" s="24" t="n">
        <v>9877.3896</v>
      </c>
      <c r="D84" s="13">
        <f>100*($B84/$C84)/($B$7/$C$7)</f>
        <v/>
      </c>
      <c r="E84" s="17">
        <f>'JGBCurve'!$E$501</f>
        <v/>
      </c>
    </row>
    <row r="85">
      <c r="A85" s="11" t="n">
        <v>39997</v>
      </c>
      <c r="B85" s="24" t="n">
        <v>113.8579</v>
      </c>
      <c r="C85" s="24" t="n">
        <v>9816.070299999999</v>
      </c>
      <c r="D85" s="13">
        <f>100*($B85/$C85)/($B$7/$C$7)</f>
        <v/>
      </c>
      <c r="E85" s="17">
        <f>'JGBCurve'!$E$502</f>
        <v/>
      </c>
    </row>
    <row r="86">
      <c r="A86" s="11" t="n">
        <v>40004</v>
      </c>
      <c r="B86" s="24" t="n">
        <v>102.3442</v>
      </c>
      <c r="C86" s="24" t="n">
        <v>9287.2803</v>
      </c>
      <c r="D86" s="13">
        <f>100*($B86/$C86)/($B$7/$C$7)</f>
        <v/>
      </c>
      <c r="E86" s="17">
        <f>'JGBCurve'!$E$503</f>
        <v/>
      </c>
    </row>
    <row r="87">
      <c r="A87" s="11" t="n">
        <v>40011</v>
      </c>
      <c r="B87" s="24" t="n">
        <v>101.7046</v>
      </c>
      <c r="C87" s="24" t="n">
        <v>9395.320299999999</v>
      </c>
      <c r="D87" s="13">
        <f>100*($B87/$C87)/($B$7/$C$7)</f>
        <v/>
      </c>
      <c r="E87" s="17">
        <f>'JGBCurve'!$E$504</f>
        <v/>
      </c>
    </row>
    <row r="88">
      <c r="A88" s="11" t="n">
        <v>40018</v>
      </c>
      <c r="B88" s="24" t="n">
        <v>104.9029</v>
      </c>
      <c r="C88" s="24" t="n">
        <v>9944.549800000001</v>
      </c>
      <c r="D88" s="13">
        <f>100*($B88/$C88)/($B$7/$C$7)</f>
        <v/>
      </c>
      <c r="E88" s="17">
        <f>'JGBCurve'!$E$505</f>
        <v/>
      </c>
    </row>
    <row r="89">
      <c r="A89" s="11" t="n">
        <v>40025</v>
      </c>
      <c r="B89" s="24" t="n">
        <v>108.7408</v>
      </c>
      <c r="C89" s="24" t="n">
        <v>10356.8301</v>
      </c>
      <c r="D89" s="13">
        <f>100*($B89/$C89)/($B$7/$C$7)</f>
        <v/>
      </c>
      <c r="E89" s="17">
        <f>'JGBCurve'!$E$506</f>
        <v/>
      </c>
    </row>
    <row r="90">
      <c r="A90" s="11" t="n">
        <v>40032</v>
      </c>
      <c r="B90" s="24" t="n">
        <v>110.0201</v>
      </c>
      <c r="C90" s="24" t="n">
        <v>10412.0898</v>
      </c>
      <c r="D90" s="13">
        <f>100*($B90/$C90)/($B$7/$C$7)</f>
        <v/>
      </c>
      <c r="E90" s="17">
        <f>'JGBCurve'!$E$507</f>
        <v/>
      </c>
    </row>
    <row r="91">
      <c r="A91" s="11" t="n">
        <v>40039</v>
      </c>
      <c r="B91" s="24" t="n">
        <v>113.2183</v>
      </c>
      <c r="C91" s="24" t="n">
        <v>10597.3301</v>
      </c>
      <c r="D91" s="13">
        <f>100*($B91/$C91)/($B$7/$C$7)</f>
        <v/>
      </c>
      <c r="E91" s="17">
        <f>'JGBCurve'!$E$508</f>
        <v/>
      </c>
    </row>
    <row r="92">
      <c r="A92" s="11" t="n">
        <v>40046</v>
      </c>
      <c r="B92" s="24" t="n">
        <v>108.7408</v>
      </c>
      <c r="C92" s="24" t="n">
        <v>10238.2002</v>
      </c>
      <c r="D92" s="13">
        <f>100*($B92/$C92)/($B$7/$C$7)</f>
        <v/>
      </c>
      <c r="E92" s="17">
        <f>'JGBCurve'!$E$509</f>
        <v/>
      </c>
    </row>
    <row r="93">
      <c r="A93" s="11" t="n">
        <v>40053</v>
      </c>
      <c r="B93" s="24" t="n">
        <v>110.0201</v>
      </c>
      <c r="C93" s="24" t="n">
        <v>10534.1396</v>
      </c>
      <c r="D93" s="13">
        <f>100*($B93/$C93)/($B$7/$C$7)</f>
        <v/>
      </c>
      <c r="E93" s="17">
        <f>'JGBCurve'!$E$510</f>
        <v/>
      </c>
    </row>
    <row r="94">
      <c r="A94" s="11" t="n">
        <v>40060</v>
      </c>
      <c r="B94" s="24" t="n">
        <v>103.6235</v>
      </c>
      <c r="C94" s="24" t="n">
        <v>10187.1104</v>
      </c>
      <c r="D94" s="13">
        <f>100*($B94/$C94)/($B$7/$C$7)</f>
        <v/>
      </c>
      <c r="E94" s="17">
        <f>'JGBCurve'!$E$511</f>
        <v/>
      </c>
    </row>
    <row r="95">
      <c r="A95" s="11" t="n">
        <v>40067</v>
      </c>
      <c r="B95" s="24" t="n">
        <v>102.9839</v>
      </c>
      <c r="C95" s="24" t="n">
        <v>10444.3301</v>
      </c>
      <c r="D95" s="13">
        <f>100*($B95/$C95)/($B$7/$C$7)</f>
        <v/>
      </c>
      <c r="E95" s="17">
        <f>'JGBCurve'!$E$512</f>
        <v/>
      </c>
    </row>
    <row r="96">
      <c r="A96" s="11" t="n">
        <v>40074</v>
      </c>
      <c r="B96" s="24" t="n">
        <v>97.227</v>
      </c>
      <c r="C96" s="24" t="n">
        <v>10370.54</v>
      </c>
      <c r="D96" s="13">
        <f>100*($B96/$C96)/($B$7/$C$7)</f>
        <v/>
      </c>
      <c r="E96" s="17">
        <f>'JGBCurve'!$E$513</f>
        <v/>
      </c>
    </row>
    <row r="97">
      <c r="A97" s="11" t="n">
        <v>40081</v>
      </c>
      <c r="B97" s="24" t="n">
        <v>92.10980000000001</v>
      </c>
      <c r="C97" s="24" t="n">
        <v>10265.9805</v>
      </c>
      <c r="D97" s="13">
        <f>100*($B97/$C97)/($B$7/$C$7)</f>
        <v/>
      </c>
      <c r="E97" s="17">
        <f>'JGBCurve'!$E$514</f>
        <v/>
      </c>
    </row>
    <row r="98">
      <c r="A98" s="11" t="n">
        <v>40088</v>
      </c>
      <c r="B98" s="24" t="n">
        <v>89.55119999999999</v>
      </c>
      <c r="C98" s="24" t="n">
        <v>9731.8701</v>
      </c>
      <c r="D98" s="13">
        <f>100*($B98/$C98)/($B$7/$C$7)</f>
        <v/>
      </c>
      <c r="E98" s="17">
        <f>'JGBCurve'!$E$515</f>
        <v/>
      </c>
    </row>
    <row r="99">
      <c r="A99" s="11" t="n">
        <v>40095</v>
      </c>
      <c r="B99" s="24" t="n">
        <v>95.3081</v>
      </c>
      <c r="C99" s="24" t="n">
        <v>10016.3896</v>
      </c>
      <c r="D99" s="13">
        <f>100*($B99/$C99)/($B$7/$C$7)</f>
        <v/>
      </c>
      <c r="E99" s="17">
        <f>'JGBCurve'!$E$516</f>
        <v/>
      </c>
    </row>
    <row r="100">
      <c r="A100" s="11" t="n">
        <v>40102</v>
      </c>
      <c r="B100" s="24" t="n">
        <v>91.47020000000001</v>
      </c>
      <c r="C100" s="24" t="n">
        <v>10257.5596</v>
      </c>
      <c r="D100" s="13">
        <f>100*($B100/$C100)/($B$7/$C$7)</f>
        <v/>
      </c>
      <c r="E100" s="17">
        <f>'JGBCurve'!$E$517</f>
        <v/>
      </c>
    </row>
    <row r="101">
      <c r="A101" s="11" t="n">
        <v>40109</v>
      </c>
      <c r="B101" s="24" t="n">
        <v>92.10980000000001</v>
      </c>
      <c r="C101" s="24" t="n">
        <v>10282.9902</v>
      </c>
      <c r="D101" s="13">
        <f>100*($B101/$C101)/($B$7/$C$7)</f>
        <v/>
      </c>
      <c r="E101" s="17">
        <f>'JGBCurve'!$E$518</f>
        <v/>
      </c>
    </row>
    <row r="102">
      <c r="A102" s="11" t="n">
        <v>40116</v>
      </c>
      <c r="B102" s="24" t="n">
        <v>94.0288</v>
      </c>
      <c r="C102" s="24" t="n">
        <v>10034.7402</v>
      </c>
      <c r="D102" s="13">
        <f>100*($B102/$C102)/($B$7/$C$7)</f>
        <v/>
      </c>
      <c r="E102" s="17">
        <f>'JGBCurve'!$E$519</f>
        <v/>
      </c>
    </row>
    <row r="103">
      <c r="A103" s="11" t="n">
        <v>40123</v>
      </c>
      <c r="B103" s="24" t="n">
        <v>92.7495</v>
      </c>
      <c r="C103" s="24" t="n">
        <v>9789.3496</v>
      </c>
      <c r="D103" s="13">
        <f>100*($B103/$C103)/($B$7/$C$7)</f>
        <v/>
      </c>
      <c r="E103" s="17">
        <f>'JGBCurve'!$E$520</f>
        <v/>
      </c>
    </row>
    <row r="104">
      <c r="A104" s="11" t="n">
        <v>40130</v>
      </c>
      <c r="B104" s="24" t="n">
        <v>93.3891</v>
      </c>
      <c r="C104" s="24" t="n">
        <v>9770.309600000001</v>
      </c>
      <c r="D104" s="13">
        <f>100*($B104/$C104)/($B$7/$C$7)</f>
        <v/>
      </c>
      <c r="E104" s="17">
        <f>'JGBCurve'!$E$521</f>
        <v/>
      </c>
    </row>
    <row r="105">
      <c r="A105" s="11" t="n">
        <v>40137</v>
      </c>
      <c r="B105" s="24" t="n">
        <v>87.6322</v>
      </c>
      <c r="C105" s="24" t="n">
        <v>9497.679700000001</v>
      </c>
      <c r="D105" s="13">
        <f>100*($B105/$C105)/($B$7/$C$7)</f>
        <v/>
      </c>
      <c r="E105" s="17">
        <f>'JGBCurve'!$E$522</f>
        <v/>
      </c>
    </row>
    <row r="106">
      <c r="A106" s="11" t="n">
        <v>40144</v>
      </c>
      <c r="B106" s="24" t="n">
        <v>83.79430000000001</v>
      </c>
      <c r="C106" s="24" t="n">
        <v>9081.5195</v>
      </c>
      <c r="D106" s="13">
        <f>100*($B106/$C106)/($B$7/$C$7)</f>
        <v/>
      </c>
      <c r="E106" s="17">
        <f>'JGBCurve'!$E$523</f>
        <v/>
      </c>
    </row>
    <row r="107">
      <c r="A107" s="11" t="n">
        <v>40151</v>
      </c>
      <c r="B107" s="24" t="n">
        <v>91.47020000000001</v>
      </c>
      <c r="C107" s="24" t="n">
        <v>10022.5898</v>
      </c>
      <c r="D107" s="13">
        <f>100*($B107/$C107)/($B$7/$C$7)</f>
        <v/>
      </c>
      <c r="E107" s="17">
        <f>'JGBCurve'!$E$524</f>
        <v/>
      </c>
    </row>
    <row r="108">
      <c r="A108" s="11" t="n">
        <v>40158</v>
      </c>
      <c r="B108" s="24" t="n">
        <v>86.9926</v>
      </c>
      <c r="C108" s="24" t="n">
        <v>10107.8701</v>
      </c>
      <c r="D108" s="13">
        <f>100*($B108/$C108)/($B$7/$C$7)</f>
        <v/>
      </c>
      <c r="E108" s="17">
        <f>'JGBCurve'!$E$525</f>
        <v/>
      </c>
    </row>
    <row r="109">
      <c r="A109" s="11" t="n">
        <v>40165</v>
      </c>
      <c r="B109" s="24" t="n">
        <v>90.1909</v>
      </c>
      <c r="C109" s="24" t="n">
        <v>10142.0498</v>
      </c>
      <c r="D109" s="13">
        <f>100*($B109/$C109)/($B$7/$C$7)</f>
        <v/>
      </c>
      <c r="E109" s="17">
        <f>'JGBCurve'!$E$526</f>
        <v/>
      </c>
    </row>
    <row r="110">
      <c r="A110" s="11" t="n">
        <v>40172</v>
      </c>
      <c r="B110" s="24" t="n">
        <v>87.6322</v>
      </c>
      <c r="C110" s="24" t="n">
        <v>10494.71</v>
      </c>
      <c r="D110" s="13">
        <f>100*($B110/$C110)/($B$7/$C$7)</f>
        <v/>
      </c>
      <c r="E110" s="17">
        <f>'JGBCurve'!$E$527</f>
        <v/>
      </c>
    </row>
    <row r="111">
      <c r="A111" s="11" t="n">
        <v>40179</v>
      </c>
      <c r="B111" s="24" t="n">
        <v>86.35299999999999</v>
      </c>
      <c r="C111" s="24" t="n">
        <v>10546.4404</v>
      </c>
      <c r="D111" s="13">
        <f>100*($B111/$C111)/($B$7/$C$7)</f>
        <v/>
      </c>
      <c r="E111" s="17">
        <f>'JGBCurve'!$E$528</f>
        <v/>
      </c>
    </row>
    <row r="112">
      <c r="A112" s="11" t="n">
        <v>40186</v>
      </c>
      <c r="B112" s="24" t="n">
        <v>91.47020000000001</v>
      </c>
      <c r="C112" s="24" t="n">
        <v>10798.3203</v>
      </c>
      <c r="D112" s="13">
        <f>100*($B112/$C112)/($B$7/$C$7)</f>
        <v/>
      </c>
      <c r="E112" s="17">
        <f>'JGBCurve'!$E$529</f>
        <v/>
      </c>
    </row>
    <row r="113">
      <c r="A113" s="11" t="n">
        <v>40193</v>
      </c>
      <c r="B113" s="24" t="n">
        <v>95.9477</v>
      </c>
      <c r="C113" s="24" t="n">
        <v>10982.0996</v>
      </c>
      <c r="D113" s="13">
        <f>100*($B113/$C113)/($B$7/$C$7)</f>
        <v/>
      </c>
      <c r="E113" s="17">
        <f>'JGBCurve'!$E$530</f>
        <v/>
      </c>
    </row>
    <row r="114">
      <c r="A114" s="11" t="n">
        <v>40200</v>
      </c>
      <c r="B114" s="24" t="n">
        <v>94.0288</v>
      </c>
      <c r="C114" s="24" t="n">
        <v>10590.5498</v>
      </c>
      <c r="D114" s="13">
        <f>100*($B114/$C114)/($B$7/$C$7)</f>
        <v/>
      </c>
      <c r="E114" s="17">
        <f>'JGBCurve'!$E$531</f>
        <v/>
      </c>
    </row>
    <row r="115">
      <c r="A115" s="11" t="n">
        <v>40207</v>
      </c>
      <c r="B115" s="24" t="n">
        <v>89.55119999999999</v>
      </c>
      <c r="C115" s="24" t="n">
        <v>10198.04</v>
      </c>
      <c r="D115" s="13">
        <f>100*($B115/$C115)/($B$7/$C$7)</f>
        <v/>
      </c>
      <c r="E115" s="17">
        <f>'JGBCurve'!$E$532</f>
        <v/>
      </c>
    </row>
    <row r="116">
      <c r="A116" s="11" t="n">
        <v>40214</v>
      </c>
      <c r="B116" s="24" t="n">
        <v>87.6322</v>
      </c>
      <c r="C116" s="24" t="n">
        <v>10057.0898</v>
      </c>
      <c r="D116" s="13">
        <f>100*($B116/$C116)/($B$7/$C$7)</f>
        <v/>
      </c>
      <c r="E116" s="17">
        <f>'JGBCurve'!$E$533</f>
        <v/>
      </c>
    </row>
    <row r="117">
      <c r="A117" s="11" t="n">
        <v>40221</v>
      </c>
      <c r="B117" s="24" t="n">
        <v>87.6322</v>
      </c>
      <c r="C117" s="24" t="n">
        <v>10092.1904</v>
      </c>
      <c r="D117" s="13">
        <f>100*($B117/$C117)/($B$7/$C$7)</f>
        <v/>
      </c>
      <c r="E117" s="17">
        <f>'JGBCurve'!$E$534</f>
        <v/>
      </c>
    </row>
    <row r="118">
      <c r="A118" s="11" t="n">
        <v>40228</v>
      </c>
      <c r="B118" s="24" t="n">
        <v>87.6322</v>
      </c>
      <c r="C118" s="24" t="n">
        <v>10123.5801</v>
      </c>
      <c r="D118" s="13">
        <f>100*($B118/$C118)/($B$7/$C$7)</f>
        <v/>
      </c>
      <c r="E118" s="17">
        <f>'JGBCurve'!$E$535</f>
        <v/>
      </c>
    </row>
    <row r="119">
      <c r="A119" s="11" t="n">
        <v>40235</v>
      </c>
      <c r="B119" s="24" t="n">
        <v>87.6322</v>
      </c>
      <c r="C119" s="24" t="n">
        <v>10126.0303</v>
      </c>
      <c r="D119" s="13">
        <f>100*($B119/$C119)/($B$7/$C$7)</f>
        <v/>
      </c>
      <c r="E119" s="17">
        <f>'JGBCurve'!$E$536</f>
        <v/>
      </c>
    </row>
    <row r="120">
      <c r="A120" s="11" t="n">
        <v>40242</v>
      </c>
      <c r="B120" s="24" t="n">
        <v>88.2719</v>
      </c>
      <c r="C120" s="24" t="n">
        <v>10368.96</v>
      </c>
      <c r="D120" s="13">
        <f>100*($B120/$C120)/($B$7/$C$7)</f>
        <v/>
      </c>
      <c r="E120" s="17">
        <f>'JGBCurve'!$E$537</f>
        <v/>
      </c>
    </row>
    <row r="121">
      <c r="A121" s="11" t="n">
        <v>40249</v>
      </c>
      <c r="B121" s="24" t="n">
        <v>89.80840000000001</v>
      </c>
      <c r="C121" s="24" t="n">
        <v>10751.2598</v>
      </c>
      <c r="D121" s="13">
        <f>100*($B121/$C121)/($B$7/$C$7)</f>
        <v/>
      </c>
      <c r="E121" s="17">
        <f>'JGBCurve'!$E$538</f>
        <v/>
      </c>
    </row>
    <row r="122">
      <c r="A122" s="11" t="n">
        <v>40256</v>
      </c>
      <c r="B122" s="24" t="n">
        <v>92.10980000000001</v>
      </c>
      <c r="C122" s="24" t="n">
        <v>10824.7197</v>
      </c>
      <c r="D122" s="13">
        <f>100*($B122/$C122)/($B$7/$C$7)</f>
        <v/>
      </c>
      <c r="E122" s="17">
        <f>'JGBCurve'!$E$539</f>
        <v/>
      </c>
    </row>
    <row r="123">
      <c r="A123" s="11" t="n">
        <v>40263</v>
      </c>
      <c r="B123" s="24" t="n">
        <v>93.3891</v>
      </c>
      <c r="C123" s="24" t="n">
        <v>10996.3701</v>
      </c>
      <c r="D123" s="13">
        <f>100*($B123/$C123)/($B$7/$C$7)</f>
        <v/>
      </c>
      <c r="E123" s="17">
        <f>'JGBCurve'!$E$540</f>
        <v/>
      </c>
    </row>
    <row r="124">
      <c r="A124" s="11" t="n">
        <v>40270</v>
      </c>
      <c r="B124" s="24" t="n">
        <v>96.5874</v>
      </c>
      <c r="C124" s="24" t="n">
        <v>11286.0898</v>
      </c>
      <c r="D124" s="13">
        <f>100*($B124/$C124)/($B$7/$C$7)</f>
        <v/>
      </c>
      <c r="E124" s="17">
        <f>'JGBCurve'!$E$541</f>
        <v/>
      </c>
    </row>
    <row r="125">
      <c r="A125" s="11" t="n">
        <v>40277</v>
      </c>
      <c r="B125" s="24" t="n">
        <v>97.86669999999999</v>
      </c>
      <c r="C125" s="24" t="n">
        <v>11204.3398</v>
      </c>
      <c r="D125" s="13">
        <f>100*($B125/$C125)/($B$7/$C$7)</f>
        <v/>
      </c>
      <c r="E125" s="17">
        <f>'JGBCurve'!$E$542</f>
        <v/>
      </c>
    </row>
    <row r="126">
      <c r="A126" s="11" t="n">
        <v>40284</v>
      </c>
      <c r="B126" s="24" t="n">
        <v>99.7856</v>
      </c>
      <c r="C126" s="24" t="n">
        <v>11102.1797</v>
      </c>
      <c r="D126" s="13">
        <f>100*($B126/$C126)/($B$7/$C$7)</f>
        <v/>
      </c>
      <c r="E126" s="17">
        <f>'JGBCurve'!$E$543</f>
        <v/>
      </c>
    </row>
    <row r="127">
      <c r="A127" s="11" t="n">
        <v>40291</v>
      </c>
      <c r="B127" s="24" t="n">
        <v>97.227</v>
      </c>
      <c r="C127" s="24" t="n">
        <v>10914.46</v>
      </c>
      <c r="D127" s="13">
        <f>100*($B127/$C127)/($B$7/$C$7)</f>
        <v/>
      </c>
      <c r="E127" s="17">
        <f>'JGBCurve'!$E$544</f>
        <v/>
      </c>
    </row>
    <row r="128">
      <c r="A128" s="11" t="n">
        <v>40298</v>
      </c>
      <c r="B128" s="24" t="n">
        <v>95.9477</v>
      </c>
      <c r="C128" s="24" t="n">
        <v>11057.4004</v>
      </c>
      <c r="D128" s="13">
        <f>100*($B128/$C128)/($B$7/$C$7)</f>
        <v/>
      </c>
      <c r="E128" s="17">
        <f>'JGBCurve'!$E$545</f>
        <v/>
      </c>
    </row>
    <row r="129">
      <c r="A129" s="11" t="n">
        <v>40305</v>
      </c>
      <c r="B129" s="24" t="n">
        <v>90.8305</v>
      </c>
      <c r="C129" s="24" t="n">
        <v>10364.5898</v>
      </c>
      <c r="D129" s="13">
        <f>100*($B129/$C129)/($B$7/$C$7)</f>
        <v/>
      </c>
      <c r="E129" s="17">
        <f>'JGBCurve'!$E$546</f>
        <v/>
      </c>
    </row>
    <row r="130">
      <c r="A130" s="11" t="n">
        <v>40312</v>
      </c>
      <c r="B130" s="24" t="n">
        <v>90.1909</v>
      </c>
      <c r="C130" s="24" t="n">
        <v>10462.5098</v>
      </c>
      <c r="D130" s="13">
        <f>100*($B130/$C130)/($B$7/$C$7)</f>
        <v/>
      </c>
      <c r="E130" s="17">
        <f>'JGBCurve'!$E$547</f>
        <v/>
      </c>
    </row>
    <row r="131">
      <c r="A131" s="11" t="n">
        <v>40319</v>
      </c>
      <c r="B131" s="24" t="n">
        <v>86.35299999999999</v>
      </c>
      <c r="C131" s="24" t="n">
        <v>9784.540000000001</v>
      </c>
      <c r="D131" s="13">
        <f>100*($B131/$C131)/($B$7/$C$7)</f>
        <v/>
      </c>
      <c r="E131" s="17">
        <f>'JGBCurve'!$E$548</f>
        <v/>
      </c>
    </row>
    <row r="132">
      <c r="A132" s="11" t="n">
        <v>40326</v>
      </c>
      <c r="B132" s="24" t="n">
        <v>86.35299999999999</v>
      </c>
      <c r="C132" s="24" t="n">
        <v>9762.9805</v>
      </c>
      <c r="D132" s="13">
        <f>100*($B132/$C132)/($B$7/$C$7)</f>
        <v/>
      </c>
      <c r="E132" s="17">
        <f>'JGBCurve'!$E$549</f>
        <v/>
      </c>
    </row>
    <row r="133">
      <c r="A133" s="11" t="n">
        <v>40333</v>
      </c>
      <c r="B133" s="24" t="n">
        <v>87.6322</v>
      </c>
      <c r="C133" s="24" t="n">
        <v>9901.190399999999</v>
      </c>
      <c r="D133" s="13">
        <f>100*($B133/$C133)/($B$7/$C$7)</f>
        <v/>
      </c>
      <c r="E133" s="17">
        <f>'JGBCurve'!$E$550</f>
        <v/>
      </c>
    </row>
    <row r="134">
      <c r="A134" s="11" t="n">
        <v>40340</v>
      </c>
      <c r="B134" s="24" t="n">
        <v>83.79430000000001</v>
      </c>
      <c r="C134" s="24" t="n">
        <v>9705.25</v>
      </c>
      <c r="D134" s="13">
        <f>100*($B134/$C134)/($B$7/$C$7)</f>
        <v/>
      </c>
      <c r="E134" s="17">
        <f>'JGBCurve'!$E$551</f>
        <v/>
      </c>
    </row>
    <row r="135">
      <c r="A135" s="11" t="n">
        <v>40347</v>
      </c>
      <c r="B135" s="24" t="n">
        <v>83.79430000000001</v>
      </c>
      <c r="C135" s="24" t="n">
        <v>9995.0195</v>
      </c>
      <c r="D135" s="13">
        <f>100*($B135/$C135)/($B$7/$C$7)</f>
        <v/>
      </c>
      <c r="E135" s="17">
        <f>'JGBCurve'!$E$552</f>
        <v/>
      </c>
    </row>
    <row r="136">
      <c r="A136" s="11" t="n">
        <v>40354</v>
      </c>
      <c r="B136" s="24" t="n">
        <v>85.0737</v>
      </c>
      <c r="C136" s="24" t="n">
        <v>9737.4805</v>
      </c>
      <c r="D136" s="13">
        <f>100*($B136/$C136)/($B$7/$C$7)</f>
        <v/>
      </c>
      <c r="E136" s="17">
        <f>'JGBCurve'!$E$553</f>
        <v/>
      </c>
    </row>
    <row r="137">
      <c r="A137" s="11" t="n">
        <v>40361</v>
      </c>
      <c r="B137" s="24" t="n">
        <v>81.23569999999999</v>
      </c>
      <c r="C137" s="24" t="n">
        <v>9203.709999999999</v>
      </c>
      <c r="D137" s="13">
        <f>100*($B137/$C137)/($B$7/$C$7)</f>
        <v/>
      </c>
      <c r="E137" s="17">
        <f>'JGBCurve'!$E$554</f>
        <v/>
      </c>
    </row>
    <row r="138">
      <c r="A138" s="11" t="n">
        <v>40368</v>
      </c>
      <c r="B138" s="24" t="n">
        <v>84.434</v>
      </c>
      <c r="C138" s="24" t="n">
        <v>9585.320299999999</v>
      </c>
      <c r="D138" s="13">
        <f>100*($B138/$C138)/($B$7/$C$7)</f>
        <v/>
      </c>
      <c r="E138" s="17">
        <f>'JGBCurve'!$E$555</f>
        <v/>
      </c>
    </row>
    <row r="139">
      <c r="A139" s="11" t="n">
        <v>40375</v>
      </c>
      <c r="B139" s="24" t="n">
        <v>77.3978</v>
      </c>
      <c r="C139" s="24" t="n">
        <v>9408.3604</v>
      </c>
      <c r="D139" s="13">
        <f>100*($B139/$C139)/($B$7/$C$7)</f>
        <v/>
      </c>
      <c r="E139" s="17">
        <f>'JGBCurve'!$E$556</f>
        <v/>
      </c>
    </row>
    <row r="140">
      <c r="A140" s="11" t="n">
        <v>40382</v>
      </c>
      <c r="B140" s="24" t="n">
        <v>78.03749999999999</v>
      </c>
      <c r="C140" s="24" t="n">
        <v>9430.959999999999</v>
      </c>
      <c r="D140" s="13">
        <f>100*($B140/$C140)/($B$7/$C$7)</f>
        <v/>
      </c>
      <c r="E140" s="17">
        <f>'JGBCurve'!$E$557</f>
        <v/>
      </c>
    </row>
    <row r="141">
      <c r="A141" s="11" t="n">
        <v>40389</v>
      </c>
      <c r="B141" s="24" t="n">
        <v>81.23569999999999</v>
      </c>
      <c r="C141" s="24" t="n">
        <v>9537.299800000001</v>
      </c>
      <c r="D141" s="13">
        <f>100*($B141/$C141)/($B$7/$C$7)</f>
        <v/>
      </c>
      <c r="E141" s="17">
        <f>'JGBCurve'!$E$558</f>
        <v/>
      </c>
    </row>
    <row r="142">
      <c r="A142" s="11" t="n">
        <v>40396</v>
      </c>
      <c r="B142" s="24" t="n">
        <v>81.23569999999999</v>
      </c>
      <c r="C142" s="24" t="n">
        <v>9642.1201</v>
      </c>
      <c r="D142" s="13">
        <f>100*($B142/$C142)/($B$7/$C$7)</f>
        <v/>
      </c>
      <c r="E142" s="17">
        <f>'JGBCurve'!$E$559</f>
        <v/>
      </c>
    </row>
    <row r="143">
      <c r="A143" s="11" t="n">
        <v>40403</v>
      </c>
      <c r="B143" s="24" t="n">
        <v>78.03749999999999</v>
      </c>
      <c r="C143" s="24" t="n">
        <v>9253.459999999999</v>
      </c>
      <c r="D143" s="13">
        <f>100*($B143/$C143)/($B$7/$C$7)</f>
        <v/>
      </c>
      <c r="E143" s="17">
        <f>'JGBCurve'!$E$560</f>
        <v/>
      </c>
    </row>
    <row r="144">
      <c r="A144" s="11" t="n">
        <v>40410</v>
      </c>
      <c r="B144" s="24" t="n">
        <v>78.6771</v>
      </c>
      <c r="C144" s="24" t="n">
        <v>9179.3799</v>
      </c>
      <c r="D144" s="13">
        <f>100*($B144/$C144)/($B$7/$C$7)</f>
        <v/>
      </c>
      <c r="E144" s="17">
        <f>'JGBCurve'!$E$561</f>
        <v/>
      </c>
    </row>
    <row r="145">
      <c r="A145" s="11" t="n">
        <v>40417</v>
      </c>
      <c r="B145" s="24" t="n">
        <v>77.3978</v>
      </c>
      <c r="C145" s="24" t="n">
        <v>8991.059600000001</v>
      </c>
      <c r="D145" s="13">
        <f>100*($B145/$C145)/($B$7/$C$7)</f>
        <v/>
      </c>
      <c r="E145" s="17">
        <f>'JGBCurve'!$E$562</f>
        <v/>
      </c>
    </row>
    <row r="146">
      <c r="A146" s="11" t="n">
        <v>40424</v>
      </c>
      <c r="B146" s="24" t="n">
        <v>76.7582</v>
      </c>
      <c r="C146" s="24" t="n">
        <v>9114.1299</v>
      </c>
      <c r="D146" s="13">
        <f>100*($B146/$C146)/($B$7/$C$7)</f>
        <v/>
      </c>
      <c r="E146" s="17">
        <f>'JGBCurve'!$E$563</f>
        <v/>
      </c>
    </row>
    <row r="147">
      <c r="A147" s="11" t="n">
        <v>40431</v>
      </c>
      <c r="B147" s="24" t="n">
        <v>76.7582</v>
      </c>
      <c r="C147" s="24" t="n">
        <v>9239.169900000001</v>
      </c>
      <c r="D147" s="13">
        <f>100*($B147/$C147)/($B$7/$C$7)</f>
        <v/>
      </c>
      <c r="E147" s="17">
        <f>'JGBCurve'!$E$564</f>
        <v/>
      </c>
    </row>
    <row r="148">
      <c r="A148" s="11" t="n">
        <v>40438</v>
      </c>
      <c r="B148" s="24" t="n">
        <v>77.3978</v>
      </c>
      <c r="C148" s="24" t="n">
        <v>9626.0898</v>
      </c>
      <c r="D148" s="13">
        <f>100*($B148/$C148)/($B$7/$C$7)</f>
        <v/>
      </c>
      <c r="E148" s="17">
        <f>'JGBCurve'!$E$565</f>
        <v/>
      </c>
    </row>
    <row r="149">
      <c r="A149" s="11" t="n">
        <v>40445</v>
      </c>
      <c r="B149" s="24" t="n">
        <v>75.4789</v>
      </c>
      <c r="C149" s="24" t="n">
        <v>9471.669900000001</v>
      </c>
      <c r="D149" s="13">
        <f>100*($B149/$C149)/($B$7/$C$7)</f>
        <v/>
      </c>
      <c r="E149" s="17">
        <f>'JGBCurve'!$E$566</f>
        <v/>
      </c>
    </row>
    <row r="150">
      <c r="A150" s="11" t="n">
        <v>40452</v>
      </c>
      <c r="B150" s="24" t="n">
        <v>74.83920000000001</v>
      </c>
      <c r="C150" s="24" t="n">
        <v>9404.2305</v>
      </c>
      <c r="D150" s="13">
        <f>100*($B150/$C150)/($B$7/$C$7)</f>
        <v/>
      </c>
      <c r="E150" s="17">
        <f>'JGBCurve'!$E$567</f>
        <v/>
      </c>
    </row>
    <row r="151">
      <c r="A151" s="11" t="n">
        <v>40459</v>
      </c>
      <c r="B151" s="24" t="n">
        <v>76.7582</v>
      </c>
      <c r="C151" s="24" t="n">
        <v>9588.8799</v>
      </c>
      <c r="D151" s="13">
        <f>100*($B151/$C151)/($B$7/$C$7)</f>
        <v/>
      </c>
      <c r="E151" s="17">
        <f>'JGBCurve'!$E$568</f>
        <v/>
      </c>
    </row>
    <row r="152">
      <c r="A152" s="11" t="n">
        <v>40466</v>
      </c>
      <c r="B152" s="24" t="n">
        <v>72.9203</v>
      </c>
      <c r="C152" s="24" t="n">
        <v>9500.25</v>
      </c>
      <c r="D152" s="13">
        <f>100*($B152/$C152)/($B$7/$C$7)</f>
        <v/>
      </c>
      <c r="E152" s="17">
        <f>'JGBCurve'!$E$569</f>
        <v/>
      </c>
    </row>
    <row r="153">
      <c r="A153" s="11" t="n">
        <v>40473</v>
      </c>
      <c r="B153" s="24" t="n">
        <v>73.5599</v>
      </c>
      <c r="C153" s="24" t="n">
        <v>9426.709999999999</v>
      </c>
      <c r="D153" s="13">
        <f>100*($B153/$C153)/($B$7/$C$7)</f>
        <v/>
      </c>
      <c r="E153" s="17">
        <f>'JGBCurve'!$E$570</f>
        <v/>
      </c>
    </row>
    <row r="154">
      <c r="A154" s="11" t="n">
        <v>40480</v>
      </c>
      <c r="B154" s="24" t="n">
        <v>72.28060000000001</v>
      </c>
      <c r="C154" s="24" t="n">
        <v>9202.450199999999</v>
      </c>
      <c r="D154" s="13">
        <f>100*($B154/$C154)/($B$7/$C$7)</f>
        <v/>
      </c>
      <c r="E154" s="17">
        <f>'JGBCurve'!$E$571</f>
        <v/>
      </c>
    </row>
    <row r="155">
      <c r="A155" s="11" t="n">
        <v>40487</v>
      </c>
      <c r="B155" s="24" t="n">
        <v>72.28060000000001</v>
      </c>
      <c r="C155" s="24" t="n">
        <v>9625.9902</v>
      </c>
      <c r="D155" s="13">
        <f>100*($B155/$C155)/($B$7/$C$7)</f>
        <v/>
      </c>
      <c r="E155" s="17">
        <f>'JGBCurve'!$E$572</f>
        <v/>
      </c>
    </row>
    <row r="156">
      <c r="A156" s="11" t="n">
        <v>40494</v>
      </c>
      <c r="B156" s="24" t="n">
        <v>74.83920000000001</v>
      </c>
      <c r="C156" s="24" t="n">
        <v>9724.809600000001</v>
      </c>
      <c r="D156" s="13">
        <f>100*($B156/$C156)/($B$7/$C$7)</f>
        <v/>
      </c>
      <c r="E156" s="17">
        <f>'JGBCurve'!$E$573</f>
        <v/>
      </c>
    </row>
    <row r="157">
      <c r="A157" s="11" t="n">
        <v>40501</v>
      </c>
      <c r="B157" s="24" t="n">
        <v>78.6771</v>
      </c>
      <c r="C157" s="24" t="n">
        <v>10022.3896</v>
      </c>
      <c r="D157" s="13">
        <f>100*($B157/$C157)/($B$7/$C$7)</f>
        <v/>
      </c>
      <c r="E157" s="17">
        <f>'JGBCurve'!$E$574</f>
        <v/>
      </c>
    </row>
    <row r="158">
      <c r="A158" s="11" t="n">
        <v>40508</v>
      </c>
      <c r="B158" s="24" t="n">
        <v>76.7582</v>
      </c>
      <c r="C158" s="24" t="n">
        <v>10039.5596</v>
      </c>
      <c r="D158" s="13">
        <f>100*($B158/$C158)/($B$7/$C$7)</f>
        <v/>
      </c>
      <c r="E158" s="17">
        <f>'JGBCurve'!$E$575</f>
        <v/>
      </c>
    </row>
    <row r="159">
      <c r="A159" s="11" t="n">
        <v>40515</v>
      </c>
      <c r="B159" s="24" t="n">
        <v>77.3978</v>
      </c>
      <c r="C159" s="24" t="n">
        <v>10178.3203</v>
      </c>
      <c r="D159" s="13">
        <f>100*($B159/$C159)/($B$7/$C$7)</f>
        <v/>
      </c>
      <c r="E159" s="17">
        <f>'JGBCurve'!$E$576</f>
        <v/>
      </c>
    </row>
    <row r="160">
      <c r="A160" s="11" t="n">
        <v>40522</v>
      </c>
      <c r="B160" s="24" t="n">
        <v>79.9564</v>
      </c>
      <c r="C160" s="24" t="n">
        <v>10211.9502</v>
      </c>
      <c r="D160" s="13">
        <f>100*($B160/$C160)/($B$7/$C$7)</f>
        <v/>
      </c>
      <c r="E160" s="17">
        <f>'JGBCurve'!$E$577</f>
        <v/>
      </c>
    </row>
    <row r="161">
      <c r="A161" s="11" t="n">
        <v>40529</v>
      </c>
      <c r="B161" s="24" t="n">
        <v>84.434</v>
      </c>
      <c r="C161" s="24" t="n">
        <v>10303.8301</v>
      </c>
      <c r="D161" s="13">
        <f>100*($B161/$C161)/($B$7/$C$7)</f>
        <v/>
      </c>
      <c r="E161" s="17">
        <f>'JGBCurve'!$E$578</f>
        <v/>
      </c>
    </row>
    <row r="162">
      <c r="A162" s="11" t="n">
        <v>40536</v>
      </c>
      <c r="B162" s="24" t="n">
        <v>83.79430000000001</v>
      </c>
      <c r="C162" s="24" t="n">
        <v>10279.1904</v>
      </c>
      <c r="D162" s="13">
        <f>100*($B162/$C162)/($B$7/$C$7)</f>
        <v/>
      </c>
      <c r="E162" s="17">
        <f>'JGBCurve'!$E$579</f>
        <v/>
      </c>
    </row>
    <row r="163">
      <c r="A163" s="11" t="n">
        <v>40543</v>
      </c>
      <c r="B163" s="24" t="n">
        <v>83.15470000000001</v>
      </c>
      <c r="C163" s="24" t="n">
        <v>10228.9199</v>
      </c>
      <c r="D163" s="13">
        <f>100*($B163/$C163)/($B$7/$C$7)</f>
        <v/>
      </c>
      <c r="E163" s="17">
        <f>'JGBCurve'!$E$580</f>
        <v/>
      </c>
    </row>
    <row r="164">
      <c r="A164" s="11" t="n">
        <v>40550</v>
      </c>
      <c r="B164" s="24" t="n">
        <v>85.7133</v>
      </c>
      <c r="C164" s="24" t="n">
        <v>10541.04</v>
      </c>
      <c r="D164" s="13">
        <f>100*($B164/$C164)/($B$7/$C$7)</f>
        <v/>
      </c>
      <c r="E164" s="17">
        <f>'JGBCurve'!$E$581</f>
        <v/>
      </c>
    </row>
    <row r="165">
      <c r="A165" s="11" t="n">
        <v>40557</v>
      </c>
      <c r="B165" s="24" t="n">
        <v>89.55119999999999</v>
      </c>
      <c r="C165" s="24" t="n">
        <v>10499.04</v>
      </c>
      <c r="D165" s="13">
        <f>100*($B165/$C165)/($B$7/$C$7)</f>
        <v/>
      </c>
      <c r="E165" s="17">
        <f>'JGBCurve'!$E$582</f>
        <v/>
      </c>
    </row>
    <row r="166">
      <c r="A166" s="11" t="n">
        <v>40564</v>
      </c>
      <c r="B166" s="24" t="n">
        <v>85.0737</v>
      </c>
      <c r="C166" s="24" t="n">
        <v>10274.5195</v>
      </c>
      <c r="D166" s="13">
        <f>100*($B166/$C166)/($B$7/$C$7)</f>
        <v/>
      </c>
      <c r="E166" s="17">
        <f>'JGBCurve'!$E$583</f>
        <v/>
      </c>
    </row>
    <row r="167">
      <c r="A167" s="11" t="n">
        <v>40571</v>
      </c>
      <c r="B167" s="24" t="n">
        <v>83.79430000000001</v>
      </c>
      <c r="C167" s="24" t="n">
        <v>10360.3398</v>
      </c>
      <c r="D167" s="13">
        <f>100*($B167/$C167)/($B$7/$C$7)</f>
        <v/>
      </c>
      <c r="E167" s="17">
        <f>'JGBCurve'!$E$584</f>
        <v/>
      </c>
    </row>
    <row r="168">
      <c r="A168" s="11" t="n">
        <v>40578</v>
      </c>
      <c r="B168" s="24" t="n">
        <v>85.7133</v>
      </c>
      <c r="C168" s="24" t="n">
        <v>10543.5195</v>
      </c>
      <c r="D168" s="13">
        <f>100*($B168/$C168)/($B$7/$C$7)</f>
        <v/>
      </c>
      <c r="E168" s="17">
        <f>'JGBCurve'!$E$585</f>
        <v/>
      </c>
    </row>
    <row r="169">
      <c r="A169" s="11" t="n">
        <v>40585</v>
      </c>
      <c r="B169" s="24" t="n">
        <v>87.6322</v>
      </c>
      <c r="C169" s="24" t="n">
        <v>10605.6504</v>
      </c>
      <c r="D169" s="13">
        <f>100*($B169/$C169)/($B$7/$C$7)</f>
        <v/>
      </c>
      <c r="E169" s="17">
        <f>'JGBCurve'!$E$586</f>
        <v/>
      </c>
    </row>
    <row r="170">
      <c r="A170" s="11" t="n">
        <v>40592</v>
      </c>
      <c r="B170" s="24" t="n">
        <v>90.1909</v>
      </c>
      <c r="C170" s="24" t="n">
        <v>10842.7998</v>
      </c>
      <c r="D170" s="13">
        <f>100*($B170/$C170)/($B$7/$C$7)</f>
        <v/>
      </c>
      <c r="E170" s="17">
        <f>'JGBCurve'!$E$587</f>
        <v/>
      </c>
    </row>
    <row r="171">
      <c r="A171" s="11" t="n">
        <v>40599</v>
      </c>
      <c r="B171" s="24" t="n">
        <v>87.6322</v>
      </c>
      <c r="C171" s="24" t="n">
        <v>10526.7598</v>
      </c>
      <c r="D171" s="13">
        <f>100*($B171/$C171)/($B$7/$C$7)</f>
        <v/>
      </c>
      <c r="E171" s="17">
        <f>'JGBCurve'!$E$588</f>
        <v/>
      </c>
    </row>
    <row r="172">
      <c r="A172" s="11" t="n">
        <v>40606</v>
      </c>
      <c r="B172" s="24" t="n">
        <v>88.2719</v>
      </c>
      <c r="C172" s="24" t="n">
        <v>10693.6602</v>
      </c>
      <c r="D172" s="13">
        <f>100*($B172/$C172)/($B$7/$C$7)</f>
        <v/>
      </c>
      <c r="E172" s="17">
        <f>'JGBCurve'!$E$589</f>
        <v/>
      </c>
    </row>
    <row r="173">
      <c r="A173" s="11" t="n">
        <v>40613</v>
      </c>
      <c r="B173" s="24" t="n">
        <v>84.434</v>
      </c>
      <c r="C173" s="24" t="n">
        <v>10254.4297</v>
      </c>
      <c r="D173" s="13">
        <f>100*($B173/$C173)/($B$7/$C$7)</f>
        <v/>
      </c>
      <c r="E173" s="17">
        <f>'JGBCurve'!$E$590</f>
        <v/>
      </c>
    </row>
    <row r="174">
      <c r="A174" s="11" t="n">
        <v>40620</v>
      </c>
      <c r="B174" s="24" t="n">
        <v>72.9203</v>
      </c>
      <c r="C174" s="24" t="n">
        <v>9206.75</v>
      </c>
      <c r="D174" s="13">
        <f>100*($B174/$C174)/($B$7/$C$7)</f>
        <v/>
      </c>
      <c r="E174" s="17">
        <f>'JGBCurve'!$E$591</f>
        <v/>
      </c>
    </row>
    <row r="175">
      <c r="A175" s="11" t="n">
        <v>40627</v>
      </c>
      <c r="B175" s="24" t="n">
        <v>76.7582</v>
      </c>
      <c r="C175" s="24" t="n">
        <v>9536.1299</v>
      </c>
      <c r="D175" s="13">
        <f>100*($B175/$C175)/($B$7/$C$7)</f>
        <v/>
      </c>
      <c r="E175" s="17">
        <f>'JGBCurve'!$E$592</f>
        <v/>
      </c>
    </row>
    <row r="176">
      <c r="A176" s="11" t="n">
        <v>40634</v>
      </c>
      <c r="B176" s="24" t="n">
        <v>77.3978</v>
      </c>
      <c r="C176" s="24" t="n">
        <v>9708.3896</v>
      </c>
      <c r="D176" s="13">
        <f>100*($B176/$C176)/($B$7/$C$7)</f>
        <v/>
      </c>
      <c r="E176" s="17">
        <f>'JGBCurve'!$E$593</f>
        <v/>
      </c>
    </row>
    <row r="177">
      <c r="A177" s="11" t="n">
        <v>40641</v>
      </c>
      <c r="B177" s="24" t="n">
        <v>76.7582</v>
      </c>
      <c r="C177" s="24" t="n">
        <v>9768.080099999999</v>
      </c>
      <c r="D177" s="13">
        <f>100*($B177/$C177)/($B$7/$C$7)</f>
        <v/>
      </c>
      <c r="E177" s="17">
        <f>'JGBCurve'!$E$594</f>
        <v/>
      </c>
    </row>
    <row r="178">
      <c r="A178" s="11" t="n">
        <v>40648</v>
      </c>
      <c r="B178" s="24" t="n">
        <v>76.1185</v>
      </c>
      <c r="C178" s="24" t="n">
        <v>9591.5195</v>
      </c>
      <c r="D178" s="13">
        <f>100*($B178/$C178)/($B$7/$C$7)</f>
        <v/>
      </c>
      <c r="E178" s="17">
        <f>'JGBCurve'!$E$595</f>
        <v/>
      </c>
    </row>
    <row r="179">
      <c r="A179" s="11" t="n">
        <v>40655</v>
      </c>
      <c r="B179" s="24" t="n">
        <v>74.1996</v>
      </c>
      <c r="C179" s="24" t="n">
        <v>9682.209999999999</v>
      </c>
      <c r="D179" s="13">
        <f>100*($B179/$C179)/($B$7/$C$7)</f>
        <v/>
      </c>
      <c r="E179" s="17">
        <f>'JGBCurve'!$E$596</f>
        <v/>
      </c>
    </row>
    <row r="180">
      <c r="A180" s="11" t="n">
        <v>40662</v>
      </c>
      <c r="B180" s="24" t="n">
        <v>74.83920000000001</v>
      </c>
      <c r="C180" s="24" t="n">
        <v>9849.7402</v>
      </c>
      <c r="D180" s="13">
        <f>100*($B180/$C180)/($B$7/$C$7)</f>
        <v/>
      </c>
      <c r="E180" s="17">
        <f>'JGBCurve'!$E$597</f>
        <v/>
      </c>
    </row>
    <row r="181">
      <c r="A181" s="11" t="n">
        <v>40669</v>
      </c>
      <c r="B181" s="24" t="n">
        <v>76.7582</v>
      </c>
      <c r="C181" s="24" t="n">
        <v>9859.200199999999</v>
      </c>
      <c r="D181" s="13">
        <f>100*($B181/$C181)/($B$7/$C$7)</f>
        <v/>
      </c>
      <c r="E181" s="17">
        <f>'JGBCurve'!$E$598</f>
        <v/>
      </c>
    </row>
    <row r="182">
      <c r="A182" s="11" t="n">
        <v>40676</v>
      </c>
      <c r="B182" s="24" t="n">
        <v>74.83920000000001</v>
      </c>
      <c r="C182" s="24" t="n">
        <v>9648.7695</v>
      </c>
      <c r="D182" s="13">
        <f>100*($B182/$C182)/($B$7/$C$7)</f>
        <v/>
      </c>
      <c r="E182" s="17">
        <f>'JGBCurve'!$E$599</f>
        <v/>
      </c>
    </row>
    <row r="183">
      <c r="A183" s="11" t="n">
        <v>40683</v>
      </c>
      <c r="B183" s="24" t="n">
        <v>73.5599</v>
      </c>
      <c r="C183" s="24" t="n">
        <v>9607.080099999999</v>
      </c>
      <c r="D183" s="13">
        <f>100*($B183/$C183)/($B$7/$C$7)</f>
        <v/>
      </c>
      <c r="E183" s="17">
        <f>'JGBCurve'!$E$600</f>
        <v/>
      </c>
    </row>
    <row r="184">
      <c r="A184" s="11" t="n">
        <v>40690</v>
      </c>
      <c r="B184" s="24" t="n">
        <v>72.9203</v>
      </c>
      <c r="C184" s="24" t="n">
        <v>9521.940399999999</v>
      </c>
      <c r="D184" s="13">
        <f>100*($B184/$C184)/($B$7/$C$7)</f>
        <v/>
      </c>
      <c r="E184" s="17">
        <f>'JGBCurve'!$E$601</f>
        <v/>
      </c>
    </row>
    <row r="185">
      <c r="A185" s="11" t="n">
        <v>40697</v>
      </c>
      <c r="B185" s="24" t="n">
        <v>71.0013</v>
      </c>
      <c r="C185" s="24" t="n">
        <v>9492.209999999999</v>
      </c>
      <c r="D185" s="13">
        <f>100*($B185/$C185)/($B$7/$C$7)</f>
        <v/>
      </c>
      <c r="E185" s="17">
        <f>'JGBCurve'!$E$602</f>
        <v/>
      </c>
    </row>
    <row r="186">
      <c r="A186" s="11" t="n">
        <v>40704</v>
      </c>
      <c r="B186" s="24" t="n">
        <v>71.0013</v>
      </c>
      <c r="C186" s="24" t="n">
        <v>9514.440399999999</v>
      </c>
      <c r="D186" s="13">
        <f>100*($B186/$C186)/($B$7/$C$7)</f>
        <v/>
      </c>
      <c r="E186" s="17">
        <f>'JGBCurve'!$E$603</f>
        <v/>
      </c>
    </row>
    <row r="187">
      <c r="A187" s="11" t="n">
        <v>40711</v>
      </c>
      <c r="B187" s="24" t="n">
        <v>71.0013</v>
      </c>
      <c r="C187" s="24" t="n">
        <v>9351.4004</v>
      </c>
      <c r="D187" s="13">
        <f>100*($B187/$C187)/($B$7/$C$7)</f>
        <v/>
      </c>
      <c r="E187" s="17">
        <f>'JGBCurve'!$E$604</f>
        <v/>
      </c>
    </row>
    <row r="188">
      <c r="A188" s="11" t="n">
        <v>40718</v>
      </c>
      <c r="B188" s="24" t="n">
        <v>74.1996</v>
      </c>
      <c r="C188" s="24" t="n">
        <v>9678.709999999999</v>
      </c>
      <c r="D188" s="13">
        <f>100*($B188/$C188)/($B$7/$C$7)</f>
        <v/>
      </c>
      <c r="E188" s="17">
        <f>'JGBCurve'!$E$605</f>
        <v/>
      </c>
    </row>
    <row r="189">
      <c r="A189" s="11" t="n">
        <v>40725</v>
      </c>
      <c r="B189" s="24" t="n">
        <v>76.1185</v>
      </c>
      <c r="C189" s="24" t="n">
        <v>9868.070299999999</v>
      </c>
      <c r="D189" s="13">
        <f>100*($B189/$C189)/($B$7/$C$7)</f>
        <v/>
      </c>
      <c r="E189" s="17">
        <f>'JGBCurve'!$E$606</f>
        <v/>
      </c>
    </row>
    <row r="190">
      <c r="A190" s="11" t="n">
        <v>40732</v>
      </c>
      <c r="B190" s="24" t="n">
        <v>78.6771</v>
      </c>
      <c r="C190" s="24" t="n">
        <v>10137.7305</v>
      </c>
      <c r="D190" s="13">
        <f>100*($B190/$C190)/($B$7/$C$7)</f>
        <v/>
      </c>
      <c r="E190" s="17">
        <f>'JGBCurve'!$E$607</f>
        <v/>
      </c>
    </row>
    <row r="191">
      <c r="A191" s="11" t="n">
        <v>40739</v>
      </c>
      <c r="B191" s="24" t="n">
        <v>74.1996</v>
      </c>
      <c r="C191" s="24" t="n">
        <v>9974.4697</v>
      </c>
      <c r="D191" s="13">
        <f>100*($B191/$C191)/($B$7/$C$7)</f>
        <v/>
      </c>
      <c r="E191" s="17">
        <f>'JGBCurve'!$E$608</f>
        <v/>
      </c>
    </row>
    <row r="192">
      <c r="A192" s="11" t="n">
        <v>40746</v>
      </c>
      <c r="B192" s="24" t="n">
        <v>76.1185</v>
      </c>
      <c r="C192" s="24" t="n">
        <v>10132.1104</v>
      </c>
      <c r="D192" s="13">
        <f>100*($B192/$C192)/($B$7/$C$7)</f>
        <v/>
      </c>
      <c r="E192" s="17">
        <f>'JGBCurve'!$E$609</f>
        <v/>
      </c>
    </row>
    <row r="193">
      <c r="A193" s="11" t="n">
        <v>40753</v>
      </c>
      <c r="B193" s="24" t="n">
        <v>73.5599</v>
      </c>
      <c r="C193" s="24" t="n">
        <v>9833.0303</v>
      </c>
      <c r="D193" s="13">
        <f>100*($B193/$C193)/($B$7/$C$7)</f>
        <v/>
      </c>
      <c r="E193" s="17">
        <f>'JGBCurve'!$E$610</f>
        <v/>
      </c>
    </row>
    <row r="194">
      <c r="A194" s="11" t="n">
        <v>40760</v>
      </c>
      <c r="B194" s="24" t="n">
        <v>71.0013</v>
      </c>
      <c r="C194" s="24" t="n">
        <v>9299.8799</v>
      </c>
      <c r="D194" s="13">
        <f>100*($B194/$C194)/($B$7/$C$7)</f>
        <v/>
      </c>
      <c r="E194" s="17">
        <f>'JGBCurve'!$E$611</f>
        <v/>
      </c>
    </row>
    <row r="195">
      <c r="A195" s="11" t="n">
        <v>40767</v>
      </c>
      <c r="B195" s="24" t="n">
        <v>67.8031</v>
      </c>
      <c r="C195" s="24" t="n">
        <v>8963.7197</v>
      </c>
      <c r="D195" s="13">
        <f>100*($B195/$C195)/($B$7/$C$7)</f>
        <v/>
      </c>
      <c r="E195" s="17">
        <f>'JGBCurve'!$E$612</f>
        <v/>
      </c>
    </row>
    <row r="196">
      <c r="A196" s="11" t="n">
        <v>40774</v>
      </c>
      <c r="B196" s="24" t="n">
        <v>67.1634</v>
      </c>
      <c r="C196" s="24" t="n">
        <v>8719.2402</v>
      </c>
      <c r="D196" s="13">
        <f>100*($B196/$C196)/($B$7/$C$7)</f>
        <v/>
      </c>
      <c r="E196" s="17">
        <f>'JGBCurve'!$E$613</f>
        <v/>
      </c>
    </row>
    <row r="197">
      <c r="A197" s="11" t="n">
        <v>40781</v>
      </c>
      <c r="B197" s="24" t="n">
        <v>66.52379999999999</v>
      </c>
      <c r="C197" s="24" t="n">
        <v>8797.7803</v>
      </c>
      <c r="D197" s="13">
        <f>100*($B197/$C197)/($B$7/$C$7)</f>
        <v/>
      </c>
      <c r="E197" s="17">
        <f>'JGBCurve'!$E$614</f>
        <v/>
      </c>
    </row>
    <row r="198">
      <c r="A198" s="11" t="n">
        <v>40788</v>
      </c>
      <c r="B198" s="24" t="n">
        <v>67.8031</v>
      </c>
      <c r="C198" s="24" t="n">
        <v>8950.7402</v>
      </c>
      <c r="D198" s="13">
        <f>100*($B198/$C198)/($B$7/$C$7)</f>
        <v/>
      </c>
      <c r="E198" s="17">
        <f>'JGBCurve'!$E$615</f>
        <v/>
      </c>
    </row>
    <row r="199">
      <c r="A199" s="11" t="n">
        <v>40795</v>
      </c>
      <c r="B199" s="24" t="n">
        <v>65.8841</v>
      </c>
      <c r="C199" s="24" t="n">
        <v>8737.6602</v>
      </c>
      <c r="D199" s="13">
        <f>100*($B199/$C199)/($B$7/$C$7)</f>
        <v/>
      </c>
      <c r="E199" s="17">
        <f>'JGBCurve'!$E$616</f>
        <v/>
      </c>
    </row>
    <row r="200">
      <c r="A200" s="11" t="n">
        <v>40802</v>
      </c>
      <c r="B200" s="24" t="n">
        <v>67.8031</v>
      </c>
      <c r="C200" s="24" t="n">
        <v>8864.1602</v>
      </c>
      <c r="D200" s="13">
        <f>100*($B200/$C200)/($B$7/$C$7)</f>
        <v/>
      </c>
      <c r="E200" s="17">
        <f>'JGBCurve'!$E$617</f>
        <v/>
      </c>
    </row>
    <row r="201">
      <c r="A201" s="11" t="n">
        <v>40809</v>
      </c>
      <c r="B201" s="24" t="n">
        <v>65.8841</v>
      </c>
      <c r="C201" s="24" t="n">
        <v>8560.2598</v>
      </c>
      <c r="D201" s="13">
        <f>100*($B201/$C201)/($B$7/$C$7)</f>
        <v/>
      </c>
      <c r="E201" s="17">
        <f>'JGBCurve'!$E$618</f>
        <v/>
      </c>
    </row>
    <row r="202">
      <c r="A202" s="11" t="n">
        <v>40816</v>
      </c>
      <c r="B202" s="24" t="n">
        <v>69.72199999999999</v>
      </c>
      <c r="C202" s="24" t="n">
        <v>8700.290000000001</v>
      </c>
      <c r="D202" s="13">
        <f>100*($B202/$C202)/($B$7/$C$7)</f>
        <v/>
      </c>
      <c r="E202" s="17">
        <f>'JGBCurve'!$E$619</f>
        <v/>
      </c>
    </row>
    <row r="203">
      <c r="A203" s="11" t="n">
        <v>40823</v>
      </c>
      <c r="B203" s="24" t="n">
        <v>66.52379999999999</v>
      </c>
      <c r="C203" s="24" t="n">
        <v>8605.6201</v>
      </c>
      <c r="D203" s="13">
        <f>100*($B203/$C203)/($B$7/$C$7)</f>
        <v/>
      </c>
      <c r="E203" s="17">
        <f>'JGBCurve'!$E$620</f>
        <v/>
      </c>
    </row>
    <row r="204">
      <c r="A204" s="11" t="n">
        <v>40830</v>
      </c>
      <c r="B204" s="24" t="n">
        <v>67.1634</v>
      </c>
      <c r="C204" s="24" t="n">
        <v>8747.959999999999</v>
      </c>
      <c r="D204" s="13">
        <f>100*($B204/$C204)/($B$7/$C$7)</f>
        <v/>
      </c>
      <c r="E204" s="17">
        <f>'JGBCurve'!$E$621</f>
        <v/>
      </c>
    </row>
    <row r="205">
      <c r="A205" s="11" t="n">
        <v>40837</v>
      </c>
      <c r="B205" s="24" t="n">
        <v>67.1634</v>
      </c>
      <c r="C205" s="24" t="n">
        <v>8678.8896</v>
      </c>
      <c r="D205" s="13">
        <f>100*($B205/$C205)/($B$7/$C$7)</f>
        <v/>
      </c>
      <c r="E205" s="17">
        <f>'JGBCurve'!$E$622</f>
        <v/>
      </c>
    </row>
    <row r="206">
      <c r="A206" s="11" t="n">
        <v>40844</v>
      </c>
      <c r="B206" s="24" t="n">
        <v>69.08240000000001</v>
      </c>
      <c r="C206" s="24" t="n">
        <v>9050.4697</v>
      </c>
      <c r="D206" s="13">
        <f>100*($B206/$C206)/($B$7/$C$7)</f>
        <v/>
      </c>
      <c r="E206" s="17">
        <f>'JGBCurve'!$E$623</f>
        <v/>
      </c>
    </row>
    <row r="207">
      <c r="A207" s="11" t="n">
        <v>40851</v>
      </c>
      <c r="B207" s="24" t="n">
        <v>67.8031</v>
      </c>
      <c r="C207" s="24" t="n">
        <v>8801.4004</v>
      </c>
      <c r="D207" s="13">
        <f>100*($B207/$C207)/($B$7/$C$7)</f>
        <v/>
      </c>
      <c r="E207" s="17">
        <f>'JGBCurve'!$E$624</f>
        <v/>
      </c>
    </row>
    <row r="208">
      <c r="A208" s="11" t="n">
        <v>40858</v>
      </c>
      <c r="B208" s="24" t="n">
        <v>65.8841</v>
      </c>
      <c r="C208" s="24" t="n">
        <v>8514.4697</v>
      </c>
      <c r="D208" s="13">
        <f>100*($B208/$C208)/($B$7/$C$7)</f>
        <v/>
      </c>
      <c r="E208" s="17">
        <f>'JGBCurve'!$E$625</f>
        <v/>
      </c>
    </row>
    <row r="209">
      <c r="A209" s="11" t="n">
        <v>40865</v>
      </c>
      <c r="B209" s="24" t="n">
        <v>65.8841</v>
      </c>
      <c r="C209" s="24" t="n">
        <v>8374.9102</v>
      </c>
      <c r="D209" s="13">
        <f>100*($B209/$C209)/($B$7/$C$7)</f>
        <v/>
      </c>
      <c r="E209" s="17">
        <f>'JGBCurve'!$E$626</f>
        <v/>
      </c>
    </row>
    <row r="210">
      <c r="A210" s="11" t="n">
        <v>40872</v>
      </c>
      <c r="B210" s="24" t="n">
        <v>65.2445</v>
      </c>
      <c r="C210" s="24" t="n">
        <v>8160.0098</v>
      </c>
      <c r="D210" s="13">
        <f>100*($B210/$C210)/($B$7/$C$7)</f>
        <v/>
      </c>
      <c r="E210" s="17">
        <f>'JGBCurve'!$E$627</f>
        <v/>
      </c>
    </row>
    <row r="211">
      <c r="A211" s="11" t="n">
        <v>40879</v>
      </c>
      <c r="B211" s="24" t="n">
        <v>67.1634</v>
      </c>
      <c r="C211" s="24" t="n">
        <v>8643.75</v>
      </c>
      <c r="D211" s="13">
        <f>100*($B211/$C211)/($B$7/$C$7)</f>
        <v/>
      </c>
      <c r="E211" s="17">
        <f>'JGBCurve'!$E$628</f>
        <v/>
      </c>
    </row>
    <row r="212">
      <c r="A212" s="11" t="n">
        <v>40886</v>
      </c>
      <c r="B212" s="24" t="n">
        <v>67.1634</v>
      </c>
      <c r="C212" s="24" t="n">
        <v>8536.459999999999</v>
      </c>
      <c r="D212" s="13">
        <f>100*($B212/$C212)/($B$7/$C$7)</f>
        <v/>
      </c>
      <c r="E212" s="17">
        <f>'JGBCurve'!$E$629</f>
        <v/>
      </c>
    </row>
    <row r="213">
      <c r="A213" s="11" t="n">
        <v>40893</v>
      </c>
      <c r="B213" s="24" t="n">
        <v>66.52379999999999</v>
      </c>
      <c r="C213" s="24" t="n">
        <v>8401.7197</v>
      </c>
      <c r="D213" s="13">
        <f>100*($B213/$C213)/($B$7/$C$7)</f>
        <v/>
      </c>
      <c r="E213" s="17">
        <f>'JGBCurve'!$E$630</f>
        <v/>
      </c>
    </row>
    <row r="214">
      <c r="A214" s="11" t="n">
        <v>40900</v>
      </c>
      <c r="B214" s="24" t="n">
        <v>65.2445</v>
      </c>
      <c r="C214" s="24" t="n">
        <v>8395.1602</v>
      </c>
      <c r="D214" s="13">
        <f>100*($B214/$C214)/($B$7/$C$7)</f>
        <v/>
      </c>
      <c r="E214" s="17">
        <f>'JGBCurve'!$E$631</f>
        <v/>
      </c>
    </row>
    <row r="215">
      <c r="A215" s="11" t="n">
        <v>40907</v>
      </c>
      <c r="B215" s="24" t="n">
        <v>65.8841</v>
      </c>
      <c r="C215" s="24" t="n">
        <v>8455.3496</v>
      </c>
      <c r="D215" s="13">
        <f>100*($B215/$C215)/($B$7/$C$7)</f>
        <v/>
      </c>
      <c r="E215" s="17">
        <f>'JGBCurve'!$E$632</f>
        <v/>
      </c>
    </row>
    <row r="216">
      <c r="A216" s="11" t="n">
        <v>40914</v>
      </c>
      <c r="B216" s="24" t="n">
        <v>66.52379999999999</v>
      </c>
      <c r="C216" s="24" t="n">
        <v>8390.3496</v>
      </c>
      <c r="D216" s="13">
        <f>100*($B216/$C216)/($B$7/$C$7)</f>
        <v/>
      </c>
      <c r="E216" s="17">
        <f>'JGBCurve'!$E$633</f>
        <v/>
      </c>
    </row>
    <row r="217">
      <c r="A217" s="11" t="n">
        <v>40921</v>
      </c>
      <c r="B217" s="24" t="n">
        <v>66.52379999999999</v>
      </c>
      <c r="C217" s="24" t="n">
        <v>8500.0195</v>
      </c>
      <c r="D217" s="13">
        <f>100*($B217/$C217)/($B$7/$C$7)</f>
        <v/>
      </c>
      <c r="E217" s="17">
        <f>'JGBCurve'!$E$634</f>
        <v/>
      </c>
    </row>
    <row r="218">
      <c r="A218" s="11" t="n">
        <v>40928</v>
      </c>
      <c r="B218" s="24" t="n">
        <v>69.72199999999999</v>
      </c>
      <c r="C218" s="24" t="n">
        <v>8766.3604</v>
      </c>
      <c r="D218" s="13">
        <f>100*($B218/$C218)/($B$7/$C$7)</f>
        <v/>
      </c>
      <c r="E218" s="17">
        <f>'JGBCurve'!$E$635</f>
        <v/>
      </c>
    </row>
    <row r="219">
      <c r="A219" s="11" t="n">
        <v>40935</v>
      </c>
      <c r="B219" s="24" t="n">
        <v>70.3617</v>
      </c>
      <c r="C219" s="24" t="n">
        <v>8841.2197</v>
      </c>
      <c r="D219" s="13">
        <f>100*($B219/$C219)/($B$7/$C$7)</f>
        <v/>
      </c>
      <c r="E219" s="17">
        <f>'JGBCurve'!$E$636</f>
        <v/>
      </c>
    </row>
    <row r="220">
      <c r="A220" s="11" t="n">
        <v>40942</v>
      </c>
      <c r="B220" s="24" t="n">
        <v>71.0013</v>
      </c>
      <c r="C220" s="24" t="n">
        <v>8831.929700000001</v>
      </c>
      <c r="D220" s="13">
        <f>100*($B220/$C220)/($B$7/$C$7)</f>
        <v/>
      </c>
      <c r="E220" s="17">
        <f>'JGBCurve'!$E$637</f>
        <v/>
      </c>
    </row>
    <row r="221">
      <c r="A221" s="11" t="n">
        <v>40949</v>
      </c>
      <c r="B221" s="24" t="n">
        <v>72.9203</v>
      </c>
      <c r="C221" s="24" t="n">
        <v>8947.169900000001</v>
      </c>
      <c r="D221" s="13">
        <f>100*($B221/$C221)/($B$7/$C$7)</f>
        <v/>
      </c>
      <c r="E221" s="17">
        <f>'JGBCurve'!$E$638</f>
        <v/>
      </c>
    </row>
    <row r="222">
      <c r="A222" s="11" t="n">
        <v>40956</v>
      </c>
      <c r="B222" s="24" t="n">
        <v>76.1185</v>
      </c>
      <c r="C222" s="24" t="n">
        <v>9384.169900000001</v>
      </c>
      <c r="D222" s="13">
        <f>100*($B222/$C222)/($B$7/$C$7)</f>
        <v/>
      </c>
      <c r="E222" s="17">
        <f>'JGBCurve'!$E$639</f>
        <v/>
      </c>
    </row>
    <row r="223">
      <c r="A223" s="11" t="n">
        <v>40963</v>
      </c>
      <c r="B223" s="24" t="n">
        <v>78.6771</v>
      </c>
      <c r="C223" s="24" t="n">
        <v>9647.3799</v>
      </c>
      <c r="D223" s="13">
        <f>100*($B223/$C223)/($B$7/$C$7)</f>
        <v/>
      </c>
      <c r="E223" s="17">
        <f>'JGBCurve'!$E$640</f>
        <v/>
      </c>
    </row>
    <row r="224">
      <c r="A224" s="11" t="n">
        <v>40970</v>
      </c>
      <c r="B224" s="24" t="n">
        <v>79.9564</v>
      </c>
      <c r="C224" s="24" t="n">
        <v>9777.0303</v>
      </c>
      <c r="D224" s="13">
        <f>100*($B224/$C224)/($B$7/$C$7)</f>
        <v/>
      </c>
      <c r="E224" s="17">
        <f>'JGBCurve'!$E$641</f>
        <v/>
      </c>
    </row>
    <row r="225">
      <c r="A225" s="11" t="n">
        <v>40977</v>
      </c>
      <c r="B225" s="24" t="n">
        <v>80.59610000000001</v>
      </c>
      <c r="C225" s="24" t="n">
        <v>9929.7402</v>
      </c>
      <c r="D225" s="13">
        <f>100*($B225/$C225)/($B$7/$C$7)</f>
        <v/>
      </c>
      <c r="E225" s="17">
        <f>'JGBCurve'!$E$642</f>
        <v/>
      </c>
    </row>
    <row r="226">
      <c r="A226" s="11" t="n">
        <v>40984</v>
      </c>
      <c r="B226" s="24" t="n">
        <v>82.5151</v>
      </c>
      <c r="C226" s="24" t="n">
        <v>10129.8301</v>
      </c>
      <c r="D226" s="13">
        <f>100*($B226/$C226)/($B$7/$C$7)</f>
        <v/>
      </c>
      <c r="E226" s="17">
        <f>'JGBCurve'!$E$643</f>
        <v/>
      </c>
    </row>
    <row r="227">
      <c r="A227" s="11" t="n">
        <v>40991</v>
      </c>
      <c r="B227" s="24" t="n">
        <v>81.8754</v>
      </c>
      <c r="C227" s="24" t="n">
        <v>10011.4697</v>
      </c>
      <c r="D227" s="13">
        <f>100*($B227/$C227)/($B$7/$C$7)</f>
        <v/>
      </c>
      <c r="E227" s="17">
        <f>'JGBCurve'!$E$644</f>
        <v/>
      </c>
    </row>
    <row r="228">
      <c r="A228" s="11" t="n">
        <v>40998</v>
      </c>
      <c r="B228" s="24" t="n">
        <v>80.59610000000001</v>
      </c>
      <c r="C228" s="24" t="n">
        <v>10083.5596</v>
      </c>
      <c r="D228" s="13">
        <f>100*($B228/$C228)/($B$7/$C$7)</f>
        <v/>
      </c>
      <c r="E228" s="17">
        <f>'JGBCurve'!$E$645</f>
        <v/>
      </c>
    </row>
    <row r="229">
      <c r="A229" s="11" t="n">
        <v>41005</v>
      </c>
      <c r="B229" s="24" t="n">
        <v>77.3978</v>
      </c>
      <c r="C229" s="24" t="n">
        <v>9688.450199999999</v>
      </c>
      <c r="D229" s="13">
        <f>100*($B229/$C229)/($B$7/$C$7)</f>
        <v/>
      </c>
      <c r="E229" s="17">
        <f>'JGBCurve'!$E$646</f>
        <v/>
      </c>
    </row>
    <row r="230">
      <c r="A230" s="11" t="n">
        <v>41012</v>
      </c>
      <c r="B230" s="24" t="n">
        <v>78.03749999999999</v>
      </c>
      <c r="C230" s="24" t="n">
        <v>9637.9902</v>
      </c>
      <c r="D230" s="13">
        <f>100*($B230/$C230)/($B$7/$C$7)</f>
        <v/>
      </c>
      <c r="E230" s="17">
        <f>'JGBCurve'!$E$647</f>
        <v/>
      </c>
    </row>
    <row r="231">
      <c r="A231" s="11" t="n">
        <v>41019</v>
      </c>
      <c r="B231" s="24" t="n">
        <v>76.7582</v>
      </c>
      <c r="C231" s="24" t="n">
        <v>9561.3604</v>
      </c>
      <c r="D231" s="13">
        <f>100*($B231/$C231)/($B$7/$C$7)</f>
        <v/>
      </c>
      <c r="E231" s="17">
        <f>'JGBCurve'!$E$648</f>
        <v/>
      </c>
    </row>
    <row r="232">
      <c r="A232" s="11" t="n">
        <v>41026</v>
      </c>
      <c r="B232" s="24" t="n">
        <v>74.83920000000001</v>
      </c>
      <c r="C232" s="24" t="n">
        <v>9520.8896</v>
      </c>
      <c r="D232" s="13">
        <f>100*($B232/$C232)/($B$7/$C$7)</f>
        <v/>
      </c>
      <c r="E232" s="17">
        <f>'JGBCurve'!$E$649</f>
        <v/>
      </c>
    </row>
    <row r="233">
      <c r="A233" s="11" t="n">
        <v>41033</v>
      </c>
      <c r="B233" s="24" t="n">
        <v>73.5599</v>
      </c>
      <c r="C233" s="24" t="n">
        <v>9380.25</v>
      </c>
      <c r="D233" s="13">
        <f>100*($B233/$C233)/($B$7/$C$7)</f>
        <v/>
      </c>
      <c r="E233" s="17">
        <f>'JGBCurve'!$E$650</f>
        <v/>
      </c>
    </row>
    <row r="234">
      <c r="A234" s="11" t="n">
        <v>41040</v>
      </c>
      <c r="B234" s="24" t="n">
        <v>69.08240000000001</v>
      </c>
      <c r="C234" s="24" t="n">
        <v>8953.309600000001</v>
      </c>
      <c r="D234" s="13">
        <f>100*($B234/$C234)/($B$7/$C$7)</f>
        <v/>
      </c>
      <c r="E234" s="17">
        <f>'JGBCurve'!$E$651</f>
        <v/>
      </c>
    </row>
    <row r="235">
      <c r="A235" s="11" t="n">
        <v>41047</v>
      </c>
      <c r="B235" s="24" t="n">
        <v>67.1634</v>
      </c>
      <c r="C235" s="24" t="n">
        <v>8611.309600000001</v>
      </c>
      <c r="D235" s="13">
        <f>100*($B235/$C235)/($B$7/$C$7)</f>
        <v/>
      </c>
      <c r="E235" s="17">
        <f>'JGBCurve'!$E$652</f>
        <v/>
      </c>
    </row>
    <row r="236">
      <c r="A236" s="11" t="n">
        <v>41054</v>
      </c>
      <c r="B236" s="24" t="n">
        <v>67.1634</v>
      </c>
      <c r="C236" s="24" t="n">
        <v>8580.3896</v>
      </c>
      <c r="D236" s="13">
        <f>100*($B236/$C236)/($B$7/$C$7)</f>
        <v/>
      </c>
      <c r="E236" s="17">
        <f>'JGBCurve'!$E$653</f>
        <v/>
      </c>
    </row>
    <row r="237">
      <c r="A237" s="11" t="n">
        <v>41061</v>
      </c>
      <c r="B237" s="24" t="n">
        <v>66.52379999999999</v>
      </c>
      <c r="C237" s="24" t="n">
        <v>8440.25</v>
      </c>
      <c r="D237" s="13">
        <f>100*($B237/$C237)/($B$7/$C$7)</f>
        <v/>
      </c>
      <c r="E237" s="17">
        <f>'JGBCurve'!$E$654</f>
        <v/>
      </c>
    </row>
    <row r="238">
      <c r="A238" s="11" t="n">
        <v>41068</v>
      </c>
      <c r="B238" s="24" t="n">
        <v>67.8031</v>
      </c>
      <c r="C238" s="24" t="n">
        <v>8459.2598</v>
      </c>
      <c r="D238" s="13">
        <f>100*($B238/$C238)/($B$7/$C$7)</f>
        <v/>
      </c>
      <c r="E238" s="17">
        <f>'JGBCurve'!$E$655</f>
        <v/>
      </c>
    </row>
    <row r="239">
      <c r="A239" s="11" t="n">
        <v>41075</v>
      </c>
      <c r="B239" s="24" t="n">
        <v>69.72199999999999</v>
      </c>
      <c r="C239" s="24" t="n">
        <v>8569.320299999999</v>
      </c>
      <c r="D239" s="13">
        <f>100*($B239/$C239)/($B$7/$C$7)</f>
        <v/>
      </c>
      <c r="E239" s="17">
        <f>'JGBCurve'!$E$656</f>
        <v/>
      </c>
    </row>
    <row r="240">
      <c r="A240" s="11" t="n">
        <v>41082</v>
      </c>
      <c r="B240" s="24" t="n">
        <v>71.0013</v>
      </c>
      <c r="C240" s="24" t="n">
        <v>8798.3496</v>
      </c>
      <c r="D240" s="13">
        <f>100*($B240/$C240)/($B$7/$C$7)</f>
        <v/>
      </c>
      <c r="E240" s="17">
        <f>'JGBCurve'!$E$657</f>
        <v/>
      </c>
    </row>
    <row r="241">
      <c r="A241" s="11" t="n">
        <v>41089</v>
      </c>
      <c r="B241" s="24" t="n">
        <v>73.5599</v>
      </c>
      <c r="C241" s="24" t="n">
        <v>9006.7803</v>
      </c>
      <c r="D241" s="13">
        <f>100*($B241/$C241)/($B$7/$C$7)</f>
        <v/>
      </c>
      <c r="E241" s="17">
        <f>'JGBCurve'!$E$658</f>
        <v/>
      </c>
    </row>
    <row r="242">
      <c r="A242" s="11" t="n">
        <v>41096</v>
      </c>
      <c r="B242" s="24" t="n">
        <v>74.83920000000001</v>
      </c>
      <c r="C242" s="24" t="n">
        <v>9020.75</v>
      </c>
      <c r="D242" s="13">
        <f>100*($B242/$C242)/($B$7/$C$7)</f>
        <v/>
      </c>
      <c r="E242" s="17">
        <f>'JGBCurve'!$E$659</f>
        <v/>
      </c>
    </row>
    <row r="243">
      <c r="A243" s="11" t="n">
        <v>41103</v>
      </c>
      <c r="B243" s="24" t="n">
        <v>71.0013</v>
      </c>
      <c r="C243" s="24" t="n">
        <v>8724.1201</v>
      </c>
      <c r="D243" s="13">
        <f>100*($B243/$C243)/($B$7/$C$7)</f>
        <v/>
      </c>
      <c r="E243" s="17">
        <f>'JGBCurve'!$E$660</f>
        <v/>
      </c>
    </row>
    <row r="244">
      <c r="A244" s="11" t="n">
        <v>41110</v>
      </c>
      <c r="B244" s="24" t="n">
        <v>67.8031</v>
      </c>
      <c r="C244" s="24" t="n">
        <v>8669.8701</v>
      </c>
      <c r="D244" s="13">
        <f>100*($B244/$C244)/($B$7/$C$7)</f>
        <v/>
      </c>
      <c r="E244" s="17">
        <f>'JGBCurve'!$E$661</f>
        <v/>
      </c>
    </row>
    <row r="245">
      <c r="A245" s="11" t="n">
        <v>41117</v>
      </c>
      <c r="B245" s="24" t="n">
        <v>69.08240000000001</v>
      </c>
      <c r="C245" s="24" t="n">
        <v>8566.6396</v>
      </c>
      <c r="D245" s="13">
        <f>100*($B245/$C245)/($B$7/$C$7)</f>
        <v/>
      </c>
      <c r="E245" s="17">
        <f>'JGBCurve'!$E$662</f>
        <v/>
      </c>
    </row>
    <row r="246">
      <c r="A246" s="11" t="n">
        <v>41124</v>
      </c>
      <c r="B246" s="24" t="n">
        <v>69.08240000000001</v>
      </c>
      <c r="C246" s="24" t="n">
        <v>8555.1104</v>
      </c>
      <c r="D246" s="13">
        <f>100*($B246/$C246)/($B$7/$C$7)</f>
        <v/>
      </c>
      <c r="E246" s="17">
        <f>'JGBCurve'!$E$663</f>
        <v/>
      </c>
    </row>
    <row r="247">
      <c r="A247" s="11" t="n">
        <v>41131</v>
      </c>
      <c r="B247" s="24" t="n">
        <v>69.72199999999999</v>
      </c>
      <c r="C247" s="24" t="n">
        <v>8891.440399999999</v>
      </c>
      <c r="D247" s="13">
        <f>100*($B247/$C247)/($B$7/$C$7)</f>
        <v/>
      </c>
      <c r="E247" s="17">
        <f>'JGBCurve'!$E$664</f>
        <v/>
      </c>
    </row>
    <row r="248">
      <c r="A248" s="11" t="n">
        <v>41138</v>
      </c>
      <c r="B248" s="24" t="n">
        <v>71.0013</v>
      </c>
      <c r="C248" s="24" t="n">
        <v>9162.5</v>
      </c>
      <c r="D248" s="13">
        <f>100*($B248/$C248)/($B$7/$C$7)</f>
        <v/>
      </c>
      <c r="E248" s="17">
        <f>'JGBCurve'!$E$665</f>
        <v/>
      </c>
    </row>
    <row r="249">
      <c r="A249" s="11" t="n">
        <v>41145</v>
      </c>
      <c r="B249" s="24" t="n">
        <v>70.3617</v>
      </c>
      <c r="C249" s="24" t="n">
        <v>9070.7598</v>
      </c>
      <c r="D249" s="13">
        <f>100*($B249/$C249)/($B$7/$C$7)</f>
        <v/>
      </c>
      <c r="E249" s="17">
        <f>'JGBCurve'!$E$666</f>
        <v/>
      </c>
    </row>
    <row r="250">
      <c r="A250" s="11" t="n">
        <v>41152</v>
      </c>
      <c r="B250" s="24" t="n">
        <v>68.4427</v>
      </c>
      <c r="C250" s="24" t="n">
        <v>8839.9102</v>
      </c>
      <c r="D250" s="13">
        <f>100*($B250/$C250)/($B$7/$C$7)</f>
        <v/>
      </c>
      <c r="E250" s="17">
        <f>'JGBCurve'!$E$667</f>
        <v/>
      </c>
    </row>
    <row r="251">
      <c r="A251" s="11" t="n">
        <v>41159</v>
      </c>
      <c r="B251" s="24" t="n">
        <v>69.72199999999999</v>
      </c>
      <c r="C251" s="24" t="n">
        <v>8871.6504</v>
      </c>
      <c r="D251" s="13">
        <f>100*($B251/$C251)/($B$7/$C$7)</f>
        <v/>
      </c>
      <c r="E251" s="17">
        <f>'JGBCurve'!$E$668</f>
        <v/>
      </c>
    </row>
    <row r="252">
      <c r="A252" s="11" t="n">
        <v>41166</v>
      </c>
      <c r="B252" s="24" t="n">
        <v>71.64100000000001</v>
      </c>
      <c r="C252" s="24" t="n">
        <v>9159.3896</v>
      </c>
      <c r="D252" s="13">
        <f>100*($B252/$C252)/($B$7/$C$7)</f>
        <v/>
      </c>
      <c r="E252" s="17">
        <f>'JGBCurve'!$E$669</f>
        <v/>
      </c>
    </row>
    <row r="253">
      <c r="A253" s="11" t="n">
        <v>41173</v>
      </c>
      <c r="B253" s="24" t="n">
        <v>72.28060000000001</v>
      </c>
      <c r="C253" s="24" t="n">
        <v>9110</v>
      </c>
      <c r="D253" s="13">
        <f>100*($B253/$C253)/($B$7/$C$7)</f>
        <v/>
      </c>
      <c r="E253" s="17">
        <f>'JGBCurve'!$E$670</f>
        <v/>
      </c>
    </row>
    <row r="254">
      <c r="A254" s="11" t="n">
        <v>41180</v>
      </c>
      <c r="B254" s="24" t="n">
        <v>71.0013</v>
      </c>
      <c r="C254" s="24" t="n">
        <v>8870.1602</v>
      </c>
      <c r="D254" s="13">
        <f>100*($B254/$C254)/($B$7/$C$7)</f>
        <v/>
      </c>
      <c r="E254" s="17">
        <f>'JGBCurve'!$E$671</f>
        <v/>
      </c>
    </row>
    <row r="255">
      <c r="A255" s="11" t="n">
        <v>41187</v>
      </c>
      <c r="B255" s="24" t="n">
        <v>70.3617</v>
      </c>
      <c r="C255" s="24" t="n">
        <v>8863.299800000001</v>
      </c>
      <c r="D255" s="13">
        <f>100*($B255/$C255)/($B$7/$C$7)</f>
        <v/>
      </c>
      <c r="E255" s="17">
        <f>'JGBCurve'!$E$672</f>
        <v/>
      </c>
    </row>
    <row r="256">
      <c r="A256" s="11" t="n">
        <v>41194</v>
      </c>
      <c r="B256" s="24" t="n">
        <v>69.08240000000001</v>
      </c>
      <c r="C256" s="24" t="n">
        <v>8534.1201</v>
      </c>
      <c r="D256" s="13">
        <f>100*($B256/$C256)/($B$7/$C$7)</f>
        <v/>
      </c>
      <c r="E256" s="17">
        <f>'JGBCurve'!$E$673</f>
        <v/>
      </c>
    </row>
    <row r="257">
      <c r="A257" s="11" t="n">
        <v>41201</v>
      </c>
      <c r="B257" s="24" t="n">
        <v>71.64100000000001</v>
      </c>
      <c r="C257" s="24" t="n">
        <v>9002.679700000001</v>
      </c>
      <c r="D257" s="13">
        <f>100*($B257/$C257)/($B$7/$C$7)</f>
        <v/>
      </c>
      <c r="E257" s="17">
        <f>'JGBCurve'!$E$674</f>
        <v/>
      </c>
    </row>
    <row r="258">
      <c r="A258" s="11" t="n">
        <v>41208</v>
      </c>
      <c r="B258" s="24" t="n">
        <v>70.3617</v>
      </c>
      <c r="C258" s="24" t="n">
        <v>8933.059600000001</v>
      </c>
      <c r="D258" s="13">
        <f>100*($B258/$C258)/($B$7/$C$7)</f>
        <v/>
      </c>
      <c r="E258" s="17">
        <f>'JGBCurve'!$E$675</f>
        <v/>
      </c>
    </row>
    <row r="259">
      <c r="A259" s="11" t="n">
        <v>41215</v>
      </c>
      <c r="B259" s="24" t="n">
        <v>71.0013</v>
      </c>
      <c r="C259" s="24" t="n">
        <v>9051.2197</v>
      </c>
      <c r="D259" s="13">
        <f>100*($B259/$C259)/($B$7/$C$7)</f>
        <v/>
      </c>
      <c r="E259" s="17">
        <f>'JGBCurve'!$E$676</f>
        <v/>
      </c>
    </row>
    <row r="260">
      <c r="A260" s="11" t="n">
        <v>41222</v>
      </c>
      <c r="B260" s="24" t="n">
        <v>69.72199999999999</v>
      </c>
      <c r="C260" s="24" t="n">
        <v>8757.5996</v>
      </c>
      <c r="D260" s="13">
        <f>100*($B260/$C260)/($B$7/$C$7)</f>
        <v/>
      </c>
      <c r="E260" s="17">
        <f>'JGBCurve'!$E$677</f>
        <v/>
      </c>
    </row>
    <row r="261">
      <c r="A261" s="11" t="n">
        <v>41229</v>
      </c>
      <c r="B261" s="24" t="n">
        <v>72.9203</v>
      </c>
      <c r="C261" s="24" t="n">
        <v>9024.1602</v>
      </c>
      <c r="D261" s="13">
        <f>100*($B261/$C261)/($B$7/$C$7)</f>
        <v/>
      </c>
      <c r="E261" s="17">
        <f>'JGBCurve'!$E$678</f>
        <v/>
      </c>
    </row>
    <row r="262">
      <c r="A262" s="11" t="n">
        <v>41236</v>
      </c>
      <c r="B262" s="24" t="n">
        <v>74.83920000000001</v>
      </c>
      <c r="C262" s="24" t="n">
        <v>9366.799800000001</v>
      </c>
      <c r="D262" s="13">
        <f>100*($B262/$C262)/($B$7/$C$7)</f>
        <v/>
      </c>
      <c r="E262" s="17">
        <f>'JGBCurve'!$E$679</f>
        <v/>
      </c>
    </row>
    <row r="263">
      <c r="A263" s="11" t="n">
        <v>41243</v>
      </c>
      <c r="B263" s="24" t="n">
        <v>74.1996</v>
      </c>
      <c r="C263" s="24" t="n">
        <v>9446.0098</v>
      </c>
      <c r="D263" s="13">
        <f>100*($B263/$C263)/($B$7/$C$7)</f>
        <v/>
      </c>
      <c r="E263" s="17">
        <f>'JGBCurve'!$E$680</f>
        <v/>
      </c>
    </row>
    <row r="264">
      <c r="A264" s="11" t="n">
        <v>41250</v>
      </c>
      <c r="B264" s="24" t="n">
        <v>75.4789</v>
      </c>
      <c r="C264" s="24" t="n">
        <v>9527.3896</v>
      </c>
      <c r="D264" s="13">
        <f>100*($B264/$C264)/($B$7/$C$7)</f>
        <v/>
      </c>
      <c r="E264" s="17">
        <f>'JGBCurve'!$E$681</f>
        <v/>
      </c>
    </row>
    <row r="265">
      <c r="A265" s="11" t="n">
        <v>41257</v>
      </c>
      <c r="B265" s="24" t="n">
        <v>76.7582</v>
      </c>
      <c r="C265" s="24" t="n">
        <v>9737.559600000001</v>
      </c>
      <c r="D265" s="13">
        <f>100*($B265/$C265)/($B$7/$C$7)</f>
        <v/>
      </c>
      <c r="E265" s="17">
        <f>'JGBCurve'!$E$682</f>
        <v/>
      </c>
    </row>
    <row r="266">
      <c r="A266" s="11" t="n">
        <v>41264</v>
      </c>
      <c r="B266" s="24" t="n">
        <v>82.5151</v>
      </c>
      <c r="C266" s="24" t="n">
        <v>9940.059600000001</v>
      </c>
      <c r="D266" s="13">
        <f>100*($B266/$C266)/($B$7/$C$7)</f>
        <v/>
      </c>
      <c r="E266" s="17">
        <f>'JGBCurve'!$E$683</f>
        <v/>
      </c>
    </row>
    <row r="267">
      <c r="A267" s="11" t="n">
        <v>41271</v>
      </c>
      <c r="B267" s="24" t="n">
        <v>85.0737</v>
      </c>
      <c r="C267" s="24" t="n">
        <v>10395.1797</v>
      </c>
      <c r="D267" s="13">
        <f>100*($B267/$C267)/($B$7/$C$7)</f>
        <v/>
      </c>
      <c r="E267" s="17">
        <f>'JGBCurve'!$E$684</f>
        <v/>
      </c>
    </row>
    <row r="268">
      <c r="A268" s="11" t="n">
        <v>41278</v>
      </c>
      <c r="B268" s="24" t="n">
        <v>89.55119999999999</v>
      </c>
      <c r="C268" s="24" t="n">
        <v>10688.1104</v>
      </c>
      <c r="D268" s="13">
        <f>100*($B268/$C268)/($B$7/$C$7)</f>
        <v/>
      </c>
      <c r="E268" s="17">
        <f>'JGBCurve'!$E$685</f>
        <v/>
      </c>
    </row>
    <row r="269">
      <c r="A269" s="11" t="n">
        <v>41285</v>
      </c>
      <c r="B269" s="24" t="n">
        <v>90.8305</v>
      </c>
      <c r="C269" s="24" t="n">
        <v>10801.5703</v>
      </c>
      <c r="D269" s="13">
        <f>100*($B269/$C269)/($B$7/$C$7)</f>
        <v/>
      </c>
      <c r="E269" s="17">
        <f>'JGBCurve'!$E$686</f>
        <v/>
      </c>
    </row>
    <row r="270">
      <c r="A270" s="11" t="n">
        <v>41292</v>
      </c>
      <c r="B270" s="24" t="n">
        <v>91.47020000000001</v>
      </c>
      <c r="C270" s="24" t="n">
        <v>10913.2998</v>
      </c>
      <c r="D270" s="13">
        <f>100*($B270/$C270)/($B$7/$C$7)</f>
        <v/>
      </c>
      <c r="E270" s="17">
        <f>'JGBCurve'!$E$687</f>
        <v/>
      </c>
    </row>
    <row r="271">
      <c r="A271" s="11" t="n">
        <v>41299</v>
      </c>
      <c r="B271" s="24" t="n">
        <v>90.8305</v>
      </c>
      <c r="C271" s="24" t="n">
        <v>10926.6504</v>
      </c>
      <c r="D271" s="13">
        <f>100*($B271/$C271)/($B$7/$C$7)</f>
        <v/>
      </c>
      <c r="E271" s="17">
        <f>'JGBCurve'!$E$688</f>
        <v/>
      </c>
    </row>
    <row r="272">
      <c r="A272" s="11" t="n">
        <v>41306</v>
      </c>
      <c r="B272" s="24" t="n">
        <v>95.9477</v>
      </c>
      <c r="C272" s="24" t="n">
        <v>11191.3398</v>
      </c>
      <c r="D272" s="13">
        <f>100*($B272/$C272)/($B$7/$C$7)</f>
        <v/>
      </c>
      <c r="E272" s="17">
        <f>'JGBCurve'!$E$689</f>
        <v/>
      </c>
    </row>
    <row r="273">
      <c r="A273" s="11" t="n">
        <v>41313</v>
      </c>
      <c r="B273" s="24" t="n">
        <v>99.7856</v>
      </c>
      <c r="C273" s="24" t="n">
        <v>11153.1602</v>
      </c>
      <c r="D273" s="13">
        <f>100*($B273/$C273)/($B$7/$C$7)</f>
        <v/>
      </c>
      <c r="E273" s="17">
        <f>'JGBCurve'!$E$690</f>
        <v/>
      </c>
    </row>
    <row r="274">
      <c r="A274" s="11" t="n">
        <v>41320</v>
      </c>
      <c r="B274" s="24" t="n">
        <v>97.227</v>
      </c>
      <c r="C274" s="24" t="n">
        <v>11173.8301</v>
      </c>
      <c r="D274" s="13">
        <f>100*($B274/$C274)/($B$7/$C$7)</f>
        <v/>
      </c>
      <c r="E274" s="17">
        <f>'JGBCurve'!$E$691</f>
        <v/>
      </c>
    </row>
    <row r="275">
      <c r="A275" s="11" t="n">
        <v>41327</v>
      </c>
      <c r="B275" s="24" t="n">
        <v>99.7856</v>
      </c>
      <c r="C275" s="24" t="n">
        <v>11385.9404</v>
      </c>
      <c r="D275" s="13">
        <f>100*($B275/$C275)/($B$7/$C$7)</f>
        <v/>
      </c>
      <c r="E275" s="17">
        <f>'JGBCurve'!$E$692</f>
        <v/>
      </c>
    </row>
    <row r="276">
      <c r="A276" s="11" t="n">
        <v>41334</v>
      </c>
      <c r="B276" s="24" t="n">
        <v>101.7046</v>
      </c>
      <c r="C276" s="24" t="n">
        <v>11606.3799</v>
      </c>
      <c r="D276" s="13">
        <f>100*($B276/$C276)/($B$7/$C$7)</f>
        <v/>
      </c>
      <c r="E276" s="17">
        <f>'JGBCurve'!$E$693</f>
        <v/>
      </c>
    </row>
    <row r="277">
      <c r="A277" s="11" t="n">
        <v>41341</v>
      </c>
      <c r="B277" s="24" t="n">
        <v>105.5425</v>
      </c>
      <c r="C277" s="24" t="n">
        <v>12283.6201</v>
      </c>
      <c r="D277" s="13">
        <f>100*($B277/$C277)/($B$7/$C$7)</f>
        <v/>
      </c>
      <c r="E277" s="17">
        <f>'JGBCurve'!$E$694</f>
        <v/>
      </c>
    </row>
    <row r="278">
      <c r="A278" s="11" t="n">
        <v>41348</v>
      </c>
      <c r="B278" s="24" t="n">
        <v>110.6597</v>
      </c>
      <c r="C278" s="24" t="n">
        <v>12560.9502</v>
      </c>
      <c r="D278" s="13">
        <f>100*($B278/$C278)/($B$7/$C$7)</f>
        <v/>
      </c>
      <c r="E278" s="17">
        <f>'JGBCurve'!$E$695</f>
        <v/>
      </c>
    </row>
    <row r="279">
      <c r="A279" s="11" t="n">
        <v>41355</v>
      </c>
      <c r="B279" s="24" t="n">
        <v>108.7408</v>
      </c>
      <c r="C279" s="24" t="n">
        <v>12338.5303</v>
      </c>
      <c r="D279" s="13">
        <f>100*($B279/$C279)/($B$7/$C$7)</f>
        <v/>
      </c>
      <c r="E279" s="17">
        <f>'JGBCurve'!$E$696</f>
        <v/>
      </c>
    </row>
    <row r="280">
      <c r="A280" s="11" t="n">
        <v>41362</v>
      </c>
      <c r="B280" s="24" t="n">
        <v>108.7408</v>
      </c>
      <c r="C280" s="24" t="n">
        <v>12397.9102</v>
      </c>
      <c r="D280" s="13">
        <f>100*($B280/$C280)/($B$7/$C$7)</f>
        <v/>
      </c>
      <c r="E280" s="17">
        <f>'JGBCurve'!$E$697</f>
        <v/>
      </c>
    </row>
    <row r="281">
      <c r="A281" s="11" t="n">
        <v>41369</v>
      </c>
      <c r="B281" s="24" t="n">
        <v>117.0562</v>
      </c>
      <c r="C281" s="24" t="n">
        <v>12833.6396</v>
      </c>
      <c r="D281" s="13">
        <f>100*($B281/$C281)/($B$7/$C$7)</f>
        <v/>
      </c>
      <c r="E281" s="17">
        <f>'JGBCurve'!$E$698</f>
        <v/>
      </c>
    </row>
    <row r="282">
      <c r="A282" s="11" t="n">
        <v>41376</v>
      </c>
      <c r="B282" s="24" t="n">
        <v>125.3717</v>
      </c>
      <c r="C282" s="24" t="n">
        <v>13485.1396</v>
      </c>
      <c r="D282" s="13">
        <f>100*($B282/$C282)/($B$7/$C$7)</f>
        <v/>
      </c>
      <c r="E282" s="17">
        <f>'JGBCurve'!$E$699</f>
        <v/>
      </c>
    </row>
    <row r="283">
      <c r="A283" s="11" t="n">
        <v>41383</v>
      </c>
      <c r="B283" s="24" t="n">
        <v>120.8941</v>
      </c>
      <c r="C283" s="24" t="n">
        <v>13316.4805</v>
      </c>
      <c r="D283" s="13">
        <f>100*($B283/$C283)/($B$7/$C$7)</f>
        <v/>
      </c>
      <c r="E283" s="17">
        <f>'JGBCurve'!$E$700</f>
        <v/>
      </c>
    </row>
    <row r="284">
      <c r="A284" s="11" t="n">
        <v>41390</v>
      </c>
      <c r="B284" s="24" t="n">
        <v>122.8131</v>
      </c>
      <c r="C284" s="24" t="n">
        <v>13884.1299</v>
      </c>
      <c r="D284" s="13">
        <f>100*($B284/$C284)/($B$7/$C$7)</f>
        <v/>
      </c>
      <c r="E284" s="17">
        <f>'JGBCurve'!$E$701</f>
        <v/>
      </c>
    </row>
    <row r="285">
      <c r="A285" s="11" t="n">
        <v>41397</v>
      </c>
      <c r="B285" s="24" t="n">
        <v>122.8131</v>
      </c>
      <c r="C285" s="24" t="n">
        <v>13694.04</v>
      </c>
      <c r="D285" s="13">
        <f>100*($B285/$C285)/($B$7/$C$7)</f>
        <v/>
      </c>
      <c r="E285" s="17">
        <f>'JGBCurve'!$E$702</f>
        <v/>
      </c>
    </row>
    <row r="286">
      <c r="A286" s="11" t="n">
        <v>41404</v>
      </c>
      <c r="B286" s="24" t="n">
        <v>127.2906</v>
      </c>
      <c r="C286" s="24" t="n">
        <v>14607.54</v>
      </c>
      <c r="D286" s="13">
        <f>100*($B286/$C286)/($B$7/$C$7)</f>
        <v/>
      </c>
      <c r="E286" s="17">
        <f>'JGBCurve'!$E$703</f>
        <v/>
      </c>
    </row>
    <row r="287">
      <c r="A287" s="11" t="n">
        <v>41411</v>
      </c>
      <c r="B287" s="24" t="n">
        <v>127.9303</v>
      </c>
      <c r="C287" s="24" t="n">
        <v>15138.1201</v>
      </c>
      <c r="D287" s="13">
        <f>100*($B287/$C287)/($B$7/$C$7)</f>
        <v/>
      </c>
      <c r="E287" s="17">
        <f>'JGBCurve'!$E$704</f>
        <v/>
      </c>
    </row>
    <row r="288">
      <c r="A288" s="11" t="n">
        <v>41418</v>
      </c>
      <c r="B288" s="24" t="n">
        <v>114.4976</v>
      </c>
      <c r="C288" s="24" t="n">
        <v>14612.4502</v>
      </c>
      <c r="D288" s="13">
        <f>100*($B288/$C288)/($B$7/$C$7)</f>
        <v/>
      </c>
      <c r="E288" s="17">
        <f>'JGBCurve'!$E$705</f>
        <v/>
      </c>
    </row>
    <row r="289">
      <c r="A289" s="11" t="n">
        <v>41425</v>
      </c>
      <c r="B289" s="24" t="n">
        <v>110.6597</v>
      </c>
      <c r="C289" s="24" t="n">
        <v>13774.54</v>
      </c>
      <c r="D289" s="13">
        <f>100*($B289/$C289)/($B$7/$C$7)</f>
        <v/>
      </c>
      <c r="E289" s="17">
        <f>'JGBCurve'!$E$706</f>
        <v/>
      </c>
    </row>
    <row r="290">
      <c r="A290" s="11" t="n">
        <v>41432</v>
      </c>
      <c r="B290" s="24" t="n">
        <v>104.9029</v>
      </c>
      <c r="C290" s="24" t="n">
        <v>12877.5303</v>
      </c>
      <c r="D290" s="13">
        <f>100*($B290/$C290)/($B$7/$C$7)</f>
        <v/>
      </c>
      <c r="E290" s="17">
        <f>'JGBCurve'!$E$707</f>
        <v/>
      </c>
    </row>
    <row r="291">
      <c r="A291" s="11" t="n">
        <v>41439</v>
      </c>
      <c r="B291" s="24" t="n">
        <v>106.8218</v>
      </c>
      <c r="C291" s="24" t="n">
        <v>12686.5195</v>
      </c>
      <c r="D291" s="13">
        <f>100*($B291/$C291)/($B$7/$C$7)</f>
        <v/>
      </c>
      <c r="E291" s="17">
        <f>'JGBCurve'!$E$708</f>
        <v/>
      </c>
    </row>
    <row r="292">
      <c r="A292" s="11" t="n">
        <v>41446</v>
      </c>
      <c r="B292" s="24" t="n">
        <v>108.1011</v>
      </c>
      <c r="C292" s="24" t="n">
        <v>13230.1299</v>
      </c>
      <c r="D292" s="13">
        <f>100*($B292/$C292)/($B$7/$C$7)</f>
        <v/>
      </c>
      <c r="E292" s="17">
        <f>'JGBCurve'!$E$709</f>
        <v/>
      </c>
    </row>
    <row r="293">
      <c r="A293" s="11" t="n">
        <v>41453</v>
      </c>
      <c r="B293" s="24" t="n">
        <v>115.7769</v>
      </c>
      <c r="C293" s="24" t="n">
        <v>13677.3203</v>
      </c>
      <c r="D293" s="13">
        <f>100*($B293/$C293)/($B$7/$C$7)</f>
        <v/>
      </c>
      <c r="E293" s="17">
        <f>'JGBCurve'!$E$710</f>
        <v/>
      </c>
    </row>
    <row r="294">
      <c r="A294" s="11" t="n">
        <v>41460</v>
      </c>
      <c r="B294" s="24" t="n">
        <v>120.8941</v>
      </c>
      <c r="C294" s="24" t="n">
        <v>14309.9697</v>
      </c>
      <c r="D294" s="13">
        <f>100*($B294/$C294)/($B$7/$C$7)</f>
        <v/>
      </c>
      <c r="E294" s="17">
        <f>'JGBCurve'!$E$711</f>
        <v/>
      </c>
    </row>
    <row r="295">
      <c r="A295" s="11" t="n">
        <v>41467</v>
      </c>
      <c r="B295" s="24" t="n">
        <v>121.2051</v>
      </c>
      <c r="C295" s="24" t="n">
        <v>14506.25</v>
      </c>
      <c r="D295" s="13">
        <f>100*($B295/$C295)/($B$7/$C$7)</f>
        <v/>
      </c>
      <c r="E295" s="17">
        <f>'JGBCurve'!$E$712</f>
        <v/>
      </c>
    </row>
    <row r="296">
      <c r="A296" s="11" t="n">
        <v>41474</v>
      </c>
      <c r="B296" s="24" t="n">
        <v>124.481</v>
      </c>
      <c r="C296" s="24" t="n">
        <v>14589.9102</v>
      </c>
      <c r="D296" s="13">
        <f>100*($B296/$C296)/($B$7/$C$7)</f>
        <v/>
      </c>
      <c r="E296" s="17">
        <f>'JGBCurve'!$E$713</f>
        <v/>
      </c>
    </row>
    <row r="297">
      <c r="A297" s="11" t="n">
        <v>41481</v>
      </c>
      <c r="B297" s="24" t="n">
        <v>117.9293</v>
      </c>
      <c r="C297" s="24" t="n">
        <v>14129.9805</v>
      </c>
      <c r="D297" s="13">
        <f>100*($B297/$C297)/($B$7/$C$7)</f>
        <v/>
      </c>
      <c r="E297" s="17">
        <f>'JGBCurve'!$E$714</f>
        <v/>
      </c>
    </row>
    <row r="298">
      <c r="A298" s="11" t="n">
        <v>41488</v>
      </c>
      <c r="B298" s="24" t="n">
        <v>121.8603</v>
      </c>
      <c r="C298" s="24" t="n">
        <v>14466.1602</v>
      </c>
      <c r="D298" s="13">
        <f>100*($B298/$C298)/($B$7/$C$7)</f>
        <v/>
      </c>
      <c r="E298" s="17">
        <f>'JGBCurve'!$E$715</f>
        <v/>
      </c>
    </row>
    <row r="299">
      <c r="A299" s="11" t="n">
        <v>41495</v>
      </c>
      <c r="B299" s="24" t="n">
        <v>115.9638</v>
      </c>
      <c r="C299" s="24" t="n">
        <v>13615.1904</v>
      </c>
      <c r="D299" s="13">
        <f>100*($B299/$C299)/($B$7/$C$7)</f>
        <v/>
      </c>
      <c r="E299" s="17">
        <f>'JGBCurve'!$E$716</f>
        <v/>
      </c>
    </row>
    <row r="300">
      <c r="A300" s="11" t="n">
        <v>41502</v>
      </c>
      <c r="B300" s="24" t="n">
        <v>114.6535</v>
      </c>
      <c r="C300" s="24" t="n">
        <v>13650.1104</v>
      </c>
      <c r="D300" s="13">
        <f>100*($B300/$C300)/($B$7/$C$7)</f>
        <v/>
      </c>
      <c r="E300" s="17">
        <f>'JGBCurve'!$E$717</f>
        <v/>
      </c>
    </row>
    <row r="301">
      <c r="A301" s="11" t="n">
        <v>41509</v>
      </c>
      <c r="B301" s="24" t="n">
        <v>113.9983</v>
      </c>
      <c r="C301" s="24" t="n">
        <v>13660.5498</v>
      </c>
      <c r="D301" s="13">
        <f>100*($B301/$C301)/($B$7/$C$7)</f>
        <v/>
      </c>
      <c r="E301" s="17">
        <f>'JGBCurve'!$E$718</f>
        <v/>
      </c>
    </row>
    <row r="302">
      <c r="A302" s="11" t="n">
        <v>41516</v>
      </c>
      <c r="B302" s="24" t="n">
        <v>110.7225</v>
      </c>
      <c r="C302" s="24" t="n">
        <v>13388.8604</v>
      </c>
      <c r="D302" s="13">
        <f>100*($B302/$C302)/($B$7/$C$7)</f>
        <v/>
      </c>
      <c r="E302" s="17">
        <f>'JGBCurve'!$E$719</f>
        <v/>
      </c>
    </row>
    <row r="303">
      <c r="A303" s="11" t="n">
        <v>41523</v>
      </c>
      <c r="B303" s="24" t="n">
        <v>113.9983</v>
      </c>
      <c r="C303" s="24" t="n">
        <v>13860.8096</v>
      </c>
      <c r="D303" s="13">
        <f>100*($B303/$C303)/($B$7/$C$7)</f>
        <v/>
      </c>
      <c r="E303" s="17">
        <f>'JGBCurve'!$E$720</f>
        <v/>
      </c>
    </row>
    <row r="304">
      <c r="A304" s="11" t="n">
        <v>41530</v>
      </c>
      <c r="B304" s="24" t="n">
        <v>118.5845</v>
      </c>
      <c r="C304" s="24" t="n">
        <v>14404.6699</v>
      </c>
      <c r="D304" s="13">
        <f>100*($B304/$C304)/($B$7/$C$7)</f>
        <v/>
      </c>
      <c r="E304" s="17">
        <f>'JGBCurve'!$E$721</f>
        <v/>
      </c>
    </row>
    <row r="305">
      <c r="A305" s="11" t="n">
        <v>41537</v>
      </c>
      <c r="B305" s="24" t="n">
        <v>123.1706</v>
      </c>
      <c r="C305" s="24" t="n">
        <v>14742.4199</v>
      </c>
      <c r="D305" s="13">
        <f>100*($B305/$C305)/($B$7/$C$7)</f>
        <v/>
      </c>
      <c r="E305" s="17">
        <f>'JGBCurve'!$E$722</f>
        <v/>
      </c>
    </row>
    <row r="306">
      <c r="A306" s="11" t="n">
        <v>41544</v>
      </c>
      <c r="B306" s="24" t="n">
        <v>123.1706</v>
      </c>
      <c r="C306" s="24" t="n">
        <v>14760.0703</v>
      </c>
      <c r="D306" s="13">
        <f>100*($B306/$C306)/($B$7/$C$7)</f>
        <v/>
      </c>
      <c r="E306" s="17">
        <f>'JGBCurve'!$E$723</f>
        <v/>
      </c>
    </row>
    <row r="307">
      <c r="A307" s="11" t="n">
        <v>41551</v>
      </c>
      <c r="B307" s="24" t="n">
        <v>117.2742</v>
      </c>
      <c r="C307" s="24" t="n">
        <v>14024.3096</v>
      </c>
      <c r="D307" s="13">
        <f>100*($B307/$C307)/($B$7/$C$7)</f>
        <v/>
      </c>
      <c r="E307" s="17">
        <f>'JGBCurve'!$E$724</f>
        <v/>
      </c>
    </row>
    <row r="308">
      <c r="A308" s="11" t="n">
        <v>41558</v>
      </c>
      <c r="B308" s="24" t="n">
        <v>120.55</v>
      </c>
      <c r="C308" s="24" t="n">
        <v>14404.7402</v>
      </c>
      <c r="D308" s="13">
        <f>100*($B308/$C308)/($B$7/$C$7)</f>
        <v/>
      </c>
      <c r="E308" s="17">
        <f>'JGBCurve'!$E$725</f>
        <v/>
      </c>
    </row>
    <row r="309">
      <c r="A309" s="11" t="n">
        <v>41565</v>
      </c>
      <c r="B309" s="24" t="n">
        <v>121.2051</v>
      </c>
      <c r="C309" s="24" t="n">
        <v>14561.54</v>
      </c>
      <c r="D309" s="13">
        <f>100*($B309/$C309)/($B$7/$C$7)</f>
        <v/>
      </c>
      <c r="E309" s="17">
        <f>'JGBCurve'!$E$726</f>
        <v/>
      </c>
    </row>
    <row r="310">
      <c r="A310" s="11" t="n">
        <v>41572</v>
      </c>
      <c r="B310" s="24" t="n">
        <v>117.2742</v>
      </c>
      <c r="C310" s="24" t="n">
        <v>14088.1904</v>
      </c>
      <c r="D310" s="13">
        <f>100*($B310/$C310)/($B$7/$C$7)</f>
        <v/>
      </c>
      <c r="E310" s="17">
        <f>'JGBCurve'!$E$727</f>
        <v/>
      </c>
    </row>
    <row r="311">
      <c r="A311" s="11" t="n">
        <v>41579</v>
      </c>
      <c r="B311" s="24" t="n">
        <v>116.619</v>
      </c>
      <c r="C311" s="24" t="n">
        <v>14201.5703</v>
      </c>
      <c r="D311" s="13">
        <f>100*($B311/$C311)/($B$7/$C$7)</f>
        <v/>
      </c>
      <c r="E311" s="17">
        <f>'JGBCurve'!$E$728</f>
        <v/>
      </c>
    </row>
    <row r="312">
      <c r="A312" s="11" t="n">
        <v>41586</v>
      </c>
      <c r="B312" s="24" t="n">
        <v>115.9638</v>
      </c>
      <c r="C312" s="24" t="n">
        <v>14086.7998</v>
      </c>
      <c r="D312" s="13">
        <f>100*($B312/$C312)/($B$7/$C$7)</f>
        <v/>
      </c>
      <c r="E312" s="17">
        <f>'JGBCurve'!$E$729</f>
        <v/>
      </c>
    </row>
    <row r="313">
      <c r="A313" s="11" t="n">
        <v>41593</v>
      </c>
      <c r="B313" s="24" t="n">
        <v>125.7913</v>
      </c>
      <c r="C313" s="24" t="n">
        <v>15165.9199</v>
      </c>
      <c r="D313" s="13">
        <f>100*($B313/$C313)/($B$7/$C$7)</f>
        <v/>
      </c>
      <c r="E313" s="17">
        <f>'JGBCurve'!$E$730</f>
        <v/>
      </c>
    </row>
    <row r="314">
      <c r="A314" s="11" t="n">
        <v>41600</v>
      </c>
      <c r="B314" s="24" t="n">
        <v>125.1361</v>
      </c>
      <c r="C314" s="24" t="n">
        <v>15381.7197</v>
      </c>
      <c r="D314" s="13">
        <f>100*($B314/$C314)/($B$7/$C$7)</f>
        <v/>
      </c>
      <c r="E314" s="17">
        <f>'JGBCurve'!$E$731</f>
        <v/>
      </c>
    </row>
    <row r="315">
      <c r="A315" s="11" t="n">
        <v>41607</v>
      </c>
      <c r="B315" s="24" t="n">
        <v>123.8258</v>
      </c>
      <c r="C315" s="24" t="n">
        <v>15661.8701</v>
      </c>
      <c r="D315" s="13">
        <f>100*($B315/$C315)/($B$7/$C$7)</f>
        <v/>
      </c>
      <c r="E315" s="17">
        <f>'JGBCurve'!$E$732</f>
        <v/>
      </c>
    </row>
    <row r="316">
      <c r="A316" s="11" t="n">
        <v>41614</v>
      </c>
      <c r="B316" s="24" t="n">
        <v>121.2051</v>
      </c>
      <c r="C316" s="24" t="n">
        <v>15299.8604</v>
      </c>
      <c r="D316" s="13">
        <f>100*($B316/$C316)/($B$7/$C$7)</f>
        <v/>
      </c>
      <c r="E316" s="17">
        <f>'JGBCurve'!$E$733</f>
        <v/>
      </c>
    </row>
    <row r="317">
      <c r="A317" s="11" t="n">
        <v>41621</v>
      </c>
      <c r="B317" s="24" t="n">
        <v>121.2051</v>
      </c>
      <c r="C317" s="24" t="n">
        <v>15403.1104</v>
      </c>
      <c r="D317" s="13">
        <f>100*($B317/$C317)/($B$7/$C$7)</f>
        <v/>
      </c>
      <c r="E317" s="17">
        <f>'JGBCurve'!$E$734</f>
        <v/>
      </c>
    </row>
    <row r="318">
      <c r="A318" s="11" t="n">
        <v>41628</v>
      </c>
      <c r="B318" s="24" t="n">
        <v>125.1361</v>
      </c>
      <c r="C318" s="24" t="n">
        <v>15870.4199</v>
      </c>
      <c r="D318" s="13">
        <f>100*($B318/$C318)/($B$7/$C$7)</f>
        <v/>
      </c>
      <c r="E318" s="17">
        <f>'JGBCurve'!$E$735</f>
        <v/>
      </c>
    </row>
    <row r="319">
      <c r="A319" s="11" t="n">
        <v>41635</v>
      </c>
      <c r="B319" s="24" t="n">
        <v>129.0671</v>
      </c>
      <c r="C319" s="24" t="n">
        <v>16178.9404</v>
      </c>
      <c r="D319" s="13">
        <f>100*($B319/$C319)/($B$7/$C$7)</f>
        <v/>
      </c>
      <c r="E319" s="17">
        <f>'JGBCurve'!$E$736</f>
        <v/>
      </c>
    </row>
    <row r="320">
      <c r="A320" s="11" t="n">
        <v>41642</v>
      </c>
      <c r="B320" s="24" t="n">
        <v>131.0326</v>
      </c>
      <c r="C320" s="24" t="n">
        <v>16291.3096</v>
      </c>
      <c r="D320" s="13">
        <f>100*($B320/$C320)/($B$7/$C$7)</f>
        <v/>
      </c>
      <c r="E320" s="17">
        <f>'JGBCurve'!$E$737</f>
        <v/>
      </c>
    </row>
    <row r="321">
      <c r="A321" s="11" t="n">
        <v>41649</v>
      </c>
      <c r="B321" s="24" t="n">
        <v>131.0326</v>
      </c>
      <c r="C321" s="24" t="n">
        <v>15912.0596</v>
      </c>
      <c r="D321" s="13">
        <f>100*($B321/$C321)/($B$7/$C$7)</f>
        <v/>
      </c>
      <c r="E321" s="17">
        <f>'JGBCurve'!$E$738</f>
        <v/>
      </c>
    </row>
    <row r="322">
      <c r="A322" s="11" t="n">
        <v>41656</v>
      </c>
      <c r="B322" s="24" t="n">
        <v>131.0326</v>
      </c>
      <c r="C322" s="24" t="n">
        <v>15734.46</v>
      </c>
      <c r="D322" s="13">
        <f>100*($B322/$C322)/($B$7/$C$7)</f>
        <v/>
      </c>
      <c r="E322" s="17">
        <f>'JGBCurve'!$E$739</f>
        <v/>
      </c>
    </row>
    <row r="323">
      <c r="A323" s="11" t="n">
        <v>41663</v>
      </c>
      <c r="B323" s="24" t="n">
        <v>125.7913</v>
      </c>
      <c r="C323" s="24" t="n">
        <v>15391.5596</v>
      </c>
      <c r="D323" s="13">
        <f>100*($B323/$C323)/($B$7/$C$7)</f>
        <v/>
      </c>
      <c r="E323" s="17">
        <f>'JGBCurve'!$E$740</f>
        <v/>
      </c>
    </row>
    <row r="324">
      <c r="A324" s="11" t="n">
        <v>41670</v>
      </c>
      <c r="B324" s="24" t="n">
        <v>119.8948</v>
      </c>
      <c r="C324" s="24" t="n">
        <v>14914.5303</v>
      </c>
      <c r="D324" s="13">
        <f>100*($B324/$C324)/($B$7/$C$7)</f>
        <v/>
      </c>
      <c r="E324" s="17">
        <f>'JGBCurve'!$E$741</f>
        <v/>
      </c>
    </row>
    <row r="325">
      <c r="A325" s="11" t="n">
        <v>41677</v>
      </c>
      <c r="B325" s="24" t="n">
        <v>118.5845</v>
      </c>
      <c r="C325" s="24" t="n">
        <v>14462.4102</v>
      </c>
      <c r="D325" s="13">
        <f>100*($B325/$C325)/($B$7/$C$7)</f>
        <v/>
      </c>
      <c r="E325" s="17">
        <f>'JGBCurve'!$E$742</f>
        <v/>
      </c>
    </row>
    <row r="326">
      <c r="A326" s="11" t="n">
        <v>41684</v>
      </c>
      <c r="B326" s="24" t="n">
        <v>115.3087</v>
      </c>
      <c r="C326" s="24" t="n">
        <v>14313.0303</v>
      </c>
      <c r="D326" s="13">
        <f>100*($B326/$C326)/($B$7/$C$7)</f>
        <v/>
      </c>
      <c r="E326" s="17">
        <f>'JGBCurve'!$E$743</f>
        <v/>
      </c>
    </row>
    <row r="327">
      <c r="A327" s="11" t="n">
        <v>41691</v>
      </c>
      <c r="B327" s="24" t="n">
        <v>118.5845</v>
      </c>
      <c r="C327" s="24" t="n">
        <v>14865.6699</v>
      </c>
      <c r="D327" s="13">
        <f>100*($B327/$C327)/($B$7/$C$7)</f>
        <v/>
      </c>
      <c r="E327" s="17">
        <f>'JGBCurve'!$E$744</f>
        <v/>
      </c>
    </row>
    <row r="328">
      <c r="A328" s="11" t="n">
        <v>41698</v>
      </c>
      <c r="B328" s="24" t="n">
        <v>115.3087</v>
      </c>
      <c r="C328" s="24" t="n">
        <v>14841.0703</v>
      </c>
      <c r="D328" s="13">
        <f>100*($B328/$C328)/($B$7/$C$7)</f>
        <v/>
      </c>
      <c r="E328" s="17">
        <f>'JGBCurve'!$E$745</f>
        <v/>
      </c>
    </row>
    <row r="329">
      <c r="A329" s="11" t="n">
        <v>41705</v>
      </c>
      <c r="B329" s="24" t="n">
        <v>117.9293</v>
      </c>
      <c r="C329" s="24" t="n">
        <v>15274.0703</v>
      </c>
      <c r="D329" s="13">
        <f>100*($B329/$C329)/($B$7/$C$7)</f>
        <v/>
      </c>
      <c r="E329" s="17">
        <f>'JGBCurve'!$E$746</f>
        <v/>
      </c>
    </row>
    <row r="330">
      <c r="A330" s="11" t="n">
        <v>41712</v>
      </c>
      <c r="B330" s="24" t="n">
        <v>110.7225</v>
      </c>
      <c r="C330" s="24" t="n">
        <v>14327.6602</v>
      </c>
      <c r="D330" s="13">
        <f>100*($B330/$C330)/($B$7/$C$7)</f>
        <v/>
      </c>
      <c r="E330" s="17">
        <f>'JGBCurve'!$E$747</f>
        <v/>
      </c>
    </row>
    <row r="331">
      <c r="A331" s="11" t="n">
        <v>41719</v>
      </c>
      <c r="B331" s="24" t="n">
        <v>108.1019</v>
      </c>
      <c r="C331" s="24" t="n">
        <v>14224.2305</v>
      </c>
      <c r="D331" s="13">
        <f>100*($B331/$C331)/($B$7/$C$7)</f>
        <v/>
      </c>
      <c r="E331" s="17">
        <f>'JGBCurve'!$E$748</f>
        <v/>
      </c>
    </row>
    <row r="332">
      <c r="A332" s="11" t="n">
        <v>41726</v>
      </c>
      <c r="B332" s="24" t="n">
        <v>112.688</v>
      </c>
      <c r="C332" s="24" t="n">
        <v>14696.0303</v>
      </c>
      <c r="D332" s="13">
        <f>100*($B332/$C332)/($B$7/$C$7)</f>
        <v/>
      </c>
      <c r="E332" s="17">
        <f>'JGBCurve'!$E$749</f>
        <v/>
      </c>
    </row>
    <row r="333">
      <c r="A333" s="11" t="n">
        <v>41733</v>
      </c>
      <c r="B333" s="24" t="n">
        <v>117.2742</v>
      </c>
      <c r="C333" s="24" t="n">
        <v>15063.7695</v>
      </c>
      <c r="D333" s="13">
        <f>100*($B333/$C333)/($B$7/$C$7)</f>
        <v/>
      </c>
      <c r="E333" s="17">
        <f>'JGBCurve'!$E$750</f>
        <v/>
      </c>
    </row>
    <row r="334">
      <c r="A334" s="11" t="n">
        <v>41740</v>
      </c>
      <c r="B334" s="24" t="n">
        <v>110.0674</v>
      </c>
      <c r="C334" s="24" t="n">
        <v>13960.0498</v>
      </c>
      <c r="D334" s="13">
        <f>100*($B334/$C334)/($B$7/$C$7)</f>
        <v/>
      </c>
      <c r="E334" s="17">
        <f>'JGBCurve'!$E$751</f>
        <v/>
      </c>
    </row>
    <row r="335">
      <c r="A335" s="11" t="n">
        <v>41747</v>
      </c>
      <c r="B335" s="24" t="n">
        <v>111.3777</v>
      </c>
      <c r="C335" s="24" t="n">
        <v>14516.2695</v>
      </c>
      <c r="D335" s="13">
        <f>100*($B335/$C335)/($B$7/$C$7)</f>
        <v/>
      </c>
      <c r="E335" s="17">
        <f>'JGBCurve'!$E$752</f>
        <v/>
      </c>
    </row>
    <row r="336">
      <c r="A336" s="11" t="n">
        <v>41754</v>
      </c>
      <c r="B336" s="24" t="n">
        <v>110.7225</v>
      </c>
      <c r="C336" s="24" t="n">
        <v>14429.2598</v>
      </c>
      <c r="D336" s="13">
        <f>100*($B336/$C336)/($B$7/$C$7)</f>
        <v/>
      </c>
      <c r="E336" s="17">
        <f>'JGBCurve'!$E$753</f>
        <v/>
      </c>
    </row>
    <row r="337">
      <c r="A337" s="11" t="n">
        <v>41761</v>
      </c>
      <c r="B337" s="24" t="n">
        <v>112.688</v>
      </c>
      <c r="C337" s="24" t="n">
        <v>14457.5098</v>
      </c>
      <c r="D337" s="13">
        <f>100*($B337/$C337)/($B$7/$C$7)</f>
        <v/>
      </c>
      <c r="E337" s="17">
        <f>'JGBCurve'!$E$754</f>
        <v/>
      </c>
    </row>
    <row r="338">
      <c r="A338" s="11" t="n">
        <v>41768</v>
      </c>
      <c r="B338" s="24" t="n">
        <v>111.3777</v>
      </c>
      <c r="C338" s="24" t="n">
        <v>14199.5898</v>
      </c>
      <c r="D338" s="13">
        <f>100*($B338/$C338)/($B$7/$C$7)</f>
        <v/>
      </c>
      <c r="E338" s="17">
        <f>'JGBCurve'!$E$755</f>
        <v/>
      </c>
    </row>
    <row r="339">
      <c r="A339" s="11" t="n">
        <v>41775</v>
      </c>
      <c r="B339" s="24" t="n">
        <v>110.7225</v>
      </c>
      <c r="C339" s="24" t="n">
        <v>14096.5898</v>
      </c>
      <c r="D339" s="13">
        <f>100*($B339/$C339)/($B$7/$C$7)</f>
        <v/>
      </c>
      <c r="E339" s="17">
        <f>'JGBCurve'!$E$756</f>
        <v/>
      </c>
    </row>
    <row r="340">
      <c r="A340" s="11" t="n">
        <v>41782</v>
      </c>
      <c r="B340" s="24" t="n">
        <v>110.7225</v>
      </c>
      <c r="C340" s="24" t="n">
        <v>14462.1699</v>
      </c>
      <c r="D340" s="13">
        <f>100*($B340/$C340)/($B$7/$C$7)</f>
        <v/>
      </c>
      <c r="E340" s="17">
        <f>'JGBCurve'!$E$757</f>
        <v/>
      </c>
    </row>
    <row r="341">
      <c r="A341" s="11" t="n">
        <v>41789</v>
      </c>
      <c r="B341" s="24" t="n">
        <v>112.0329</v>
      </c>
      <c r="C341" s="24" t="n">
        <v>14632.3799</v>
      </c>
      <c r="D341" s="13">
        <f>100*($B341/$C341)/($B$7/$C$7)</f>
        <v/>
      </c>
      <c r="E341" s="17">
        <f>'JGBCurve'!$E$758</f>
        <v/>
      </c>
    </row>
    <row r="342">
      <c r="A342" s="11" t="n">
        <v>41796</v>
      </c>
      <c r="B342" s="24" t="n">
        <v>116.619</v>
      </c>
      <c r="C342" s="24" t="n">
        <v>15077.2402</v>
      </c>
      <c r="D342" s="13">
        <f>100*($B342/$C342)/($B$7/$C$7)</f>
        <v/>
      </c>
      <c r="E342" s="17">
        <f>'JGBCurve'!$E$759</f>
        <v/>
      </c>
    </row>
    <row r="343">
      <c r="A343" s="11" t="n">
        <v>41803</v>
      </c>
      <c r="B343" s="24" t="n">
        <v>119.8948</v>
      </c>
      <c r="C343" s="24" t="n">
        <v>15097.8398</v>
      </c>
      <c r="D343" s="13">
        <f>100*($B343/$C343)/($B$7/$C$7)</f>
        <v/>
      </c>
      <c r="E343" s="17">
        <f>'JGBCurve'!$E$760</f>
        <v/>
      </c>
    </row>
    <row r="344">
      <c r="A344" s="11" t="n">
        <v>41810</v>
      </c>
      <c r="B344" s="24" t="n">
        <v>122.5154</v>
      </c>
      <c r="C344" s="24" t="n">
        <v>15349.4199</v>
      </c>
      <c r="D344" s="13">
        <f>100*($B344/$C344)/($B$7/$C$7)</f>
        <v/>
      </c>
      <c r="E344" s="17">
        <f>'JGBCurve'!$E$761</f>
        <v/>
      </c>
    </row>
    <row r="345">
      <c r="A345" s="11" t="n">
        <v>41817</v>
      </c>
      <c r="B345" s="24" t="n">
        <v>119.8948</v>
      </c>
      <c r="C345" s="24" t="n">
        <v>15095</v>
      </c>
      <c r="D345" s="13">
        <f>100*($B345/$C345)/($B$7/$C$7)</f>
        <v/>
      </c>
      <c r="E345" s="17">
        <f>'JGBCurve'!$E$762</f>
        <v/>
      </c>
    </row>
    <row r="346">
      <c r="A346" s="11" t="n">
        <v>41824</v>
      </c>
      <c r="B346" s="24" t="n">
        <v>122.5154</v>
      </c>
      <c r="C346" s="24" t="n">
        <v>15437.1299</v>
      </c>
      <c r="D346" s="13">
        <f>100*($B346/$C346)/($B$7/$C$7)</f>
        <v/>
      </c>
      <c r="E346" s="17">
        <f>'JGBCurve'!$E$763</f>
        <v/>
      </c>
    </row>
    <row r="347">
      <c r="A347" s="11" t="n">
        <v>41831</v>
      </c>
      <c r="B347" s="24" t="n">
        <v>115.9638</v>
      </c>
      <c r="C347" s="24" t="n">
        <v>15164.04</v>
      </c>
      <c r="D347" s="13">
        <f>100*($B347/$C347)/($B$7/$C$7)</f>
        <v/>
      </c>
      <c r="E347" s="17">
        <f>'JGBCurve'!$E$764</f>
        <v/>
      </c>
    </row>
    <row r="348">
      <c r="A348" s="11" t="n">
        <v>41838</v>
      </c>
      <c r="B348" s="24" t="n">
        <v>117.5621</v>
      </c>
      <c r="C348" s="24" t="n">
        <v>15215.71</v>
      </c>
      <c r="D348" s="13">
        <f>100*($B348/$C348)/($B$7/$C$7)</f>
        <v/>
      </c>
      <c r="E348" s="17">
        <f>'JGBCurve'!$E$765</f>
        <v/>
      </c>
    </row>
    <row r="349">
      <c r="A349" s="11" t="n">
        <v>41845</v>
      </c>
      <c r="B349" s="24" t="n">
        <v>118.2263</v>
      </c>
      <c r="C349" s="24" t="n">
        <v>15457.8701</v>
      </c>
      <c r="D349" s="13">
        <f>100*($B349/$C349)/($B$7/$C$7)</f>
        <v/>
      </c>
      <c r="E349" s="17">
        <f>'JGBCurve'!$E$766</f>
        <v/>
      </c>
    </row>
    <row r="350">
      <c r="A350" s="11" t="n">
        <v>41852</v>
      </c>
      <c r="B350" s="24" t="n">
        <v>119.5547</v>
      </c>
      <c r="C350" s="24" t="n">
        <v>15523.1104</v>
      </c>
      <c r="D350" s="13">
        <f>100*($B350/$C350)/($B$7/$C$7)</f>
        <v/>
      </c>
      <c r="E350" s="17">
        <f>'JGBCurve'!$E$767</f>
        <v/>
      </c>
    </row>
    <row r="351">
      <c r="A351" s="11" t="n">
        <v>41859</v>
      </c>
      <c r="B351" s="24" t="n">
        <v>112.9128</v>
      </c>
      <c r="C351" s="24" t="n">
        <v>14778.3701</v>
      </c>
      <c r="D351" s="13">
        <f>100*($B351/$C351)/($B$7/$C$7)</f>
        <v/>
      </c>
      <c r="E351" s="17">
        <f>'JGBCurve'!$E$768</f>
        <v/>
      </c>
    </row>
    <row r="352">
      <c r="A352" s="11" t="n">
        <v>41866</v>
      </c>
      <c r="B352" s="24" t="n">
        <v>116.898</v>
      </c>
      <c r="C352" s="24" t="n">
        <v>15318.3398</v>
      </c>
      <c r="D352" s="13">
        <f>100*($B352/$C352)/($B$7/$C$7)</f>
        <v/>
      </c>
      <c r="E352" s="17">
        <f>'JGBCurve'!$E$769</f>
        <v/>
      </c>
    </row>
    <row r="353">
      <c r="A353" s="11" t="n">
        <v>41873</v>
      </c>
      <c r="B353" s="24" t="n">
        <v>118.2263</v>
      </c>
      <c r="C353" s="24" t="n">
        <v>15539.1904</v>
      </c>
      <c r="D353" s="13">
        <f>100*($B353/$C353)/($B$7/$C$7)</f>
        <v/>
      </c>
      <c r="E353" s="17">
        <f>'JGBCurve'!$E$770</f>
        <v/>
      </c>
    </row>
    <row r="354">
      <c r="A354" s="11" t="n">
        <v>41880</v>
      </c>
      <c r="B354" s="24" t="n">
        <v>117.5621</v>
      </c>
      <c r="C354" s="24" t="n">
        <v>15424.5898</v>
      </c>
      <c r="D354" s="13">
        <f>100*($B354/$C354)/($B$7/$C$7)</f>
        <v/>
      </c>
      <c r="E354" s="17">
        <f>'JGBCurve'!$E$771</f>
        <v/>
      </c>
    </row>
    <row r="355">
      <c r="A355" s="11" t="n">
        <v>41887</v>
      </c>
      <c r="B355" s="24" t="n">
        <v>120.2189</v>
      </c>
      <c r="C355" s="24" t="n">
        <v>15668.6797</v>
      </c>
      <c r="D355" s="13">
        <f>100*($B355/$C355)/($B$7/$C$7)</f>
        <v/>
      </c>
      <c r="E355" s="17">
        <f>'JGBCurve'!$E$772</f>
        <v/>
      </c>
    </row>
    <row r="356">
      <c r="A356" s="11" t="n">
        <v>41894</v>
      </c>
      <c r="B356" s="24" t="n">
        <v>122.2115</v>
      </c>
      <c r="C356" s="24" t="n">
        <v>15948.29</v>
      </c>
      <c r="D356" s="13">
        <f>100*($B356/$C356)/($B$7/$C$7)</f>
        <v/>
      </c>
      <c r="E356" s="17">
        <f>'JGBCurve'!$E$773</f>
        <v/>
      </c>
    </row>
    <row r="357">
      <c r="A357" s="11" t="n">
        <v>41901</v>
      </c>
      <c r="B357" s="24" t="n">
        <v>122.8757</v>
      </c>
      <c r="C357" s="24" t="n">
        <v>16321.1699</v>
      </c>
      <c r="D357" s="13">
        <f>100*($B357/$C357)/($B$7/$C$7)</f>
        <v/>
      </c>
      <c r="E357" s="17">
        <f>'JGBCurve'!$E$774</f>
        <v/>
      </c>
    </row>
    <row r="358">
      <c r="A358" s="11" t="n">
        <v>41908</v>
      </c>
      <c r="B358" s="24" t="n">
        <v>124.8683</v>
      </c>
      <c r="C358" s="24" t="n">
        <v>16229.8604</v>
      </c>
      <c r="D358" s="13">
        <f>100*($B358/$C358)/($B$7/$C$7)</f>
        <v/>
      </c>
      <c r="E358" s="17">
        <f>'JGBCurve'!$E$775</f>
        <v/>
      </c>
    </row>
    <row r="359">
      <c r="A359" s="11" t="n">
        <v>41915</v>
      </c>
      <c r="B359" s="24" t="n">
        <v>120.8831</v>
      </c>
      <c r="C359" s="24" t="n">
        <v>15708.6504</v>
      </c>
      <c r="D359" s="13">
        <f>100*($B359/$C359)/($B$7/$C$7)</f>
        <v/>
      </c>
      <c r="E359" s="17">
        <f>'JGBCurve'!$E$776</f>
        <v/>
      </c>
    </row>
    <row r="360">
      <c r="A360" s="11" t="n">
        <v>41922</v>
      </c>
      <c r="B360" s="24" t="n">
        <v>116.2338</v>
      </c>
      <c r="C360" s="24" t="n">
        <v>15300.5498</v>
      </c>
      <c r="D360" s="13">
        <f>100*($B360/$C360)/($B$7/$C$7)</f>
        <v/>
      </c>
      <c r="E360" s="17">
        <f>'JGBCurve'!$E$777</f>
        <v/>
      </c>
    </row>
    <row r="361">
      <c r="A361" s="11" t="n">
        <v>41929</v>
      </c>
      <c r="B361" s="24" t="n">
        <v>108.9277</v>
      </c>
      <c r="C361" s="24" t="n">
        <v>14532.5098</v>
      </c>
      <c r="D361" s="13">
        <f>100*($B361/$C361)/($B$7/$C$7)</f>
        <v/>
      </c>
      <c r="E361" s="17">
        <f>'JGBCurve'!$E$778</f>
        <v/>
      </c>
    </row>
    <row r="362">
      <c r="A362" s="11" t="n">
        <v>41936</v>
      </c>
      <c r="B362" s="24" t="n">
        <v>114.2412</v>
      </c>
      <c r="C362" s="24" t="n">
        <v>15291.6396</v>
      </c>
      <c r="D362" s="13">
        <f>100*($B362/$C362)/($B$7/$C$7)</f>
        <v/>
      </c>
      <c r="E362" s="17">
        <f>'JGBCurve'!$E$779</f>
        <v/>
      </c>
    </row>
    <row r="363">
      <c r="A363" s="11" t="n">
        <v>41943</v>
      </c>
      <c r="B363" s="24" t="n">
        <v>125.5325</v>
      </c>
      <c r="C363" s="24" t="n">
        <v>16413.7598</v>
      </c>
      <c r="D363" s="13">
        <f>100*($B363/$C363)/($B$7/$C$7)</f>
        <v/>
      </c>
      <c r="E363" s="17">
        <f>'JGBCurve'!$E$780</f>
        <v/>
      </c>
    </row>
    <row r="364">
      <c r="A364" s="11" t="n">
        <v>41950</v>
      </c>
      <c r="B364" s="24" t="n">
        <v>126.8608</v>
      </c>
      <c r="C364" s="24" t="n">
        <v>16880.3809</v>
      </c>
      <c r="D364" s="13">
        <f>100*($B364/$C364)/($B$7/$C$7)</f>
        <v/>
      </c>
      <c r="E364" s="17">
        <f>'JGBCurve'!$E$781</f>
        <v/>
      </c>
    </row>
    <row r="365">
      <c r="A365" s="11" t="n">
        <v>41957</v>
      </c>
      <c r="B365" s="24" t="n">
        <v>128.8534</v>
      </c>
      <c r="C365" s="24" t="n">
        <v>17490.8301</v>
      </c>
      <c r="D365" s="13">
        <f>100*($B365/$C365)/($B$7/$C$7)</f>
        <v/>
      </c>
      <c r="E365" s="17">
        <f>'JGBCurve'!$E$782</f>
        <v/>
      </c>
    </row>
    <row r="366">
      <c r="A366" s="11" t="n">
        <v>41964</v>
      </c>
      <c r="B366" s="24" t="n">
        <v>130.846</v>
      </c>
      <c r="C366" s="24" t="n">
        <v>17357.5098</v>
      </c>
      <c r="D366" s="13">
        <f>100*($B366/$C366)/($B$7/$C$7)</f>
        <v/>
      </c>
      <c r="E366" s="17">
        <f>'JGBCurve'!$E$783</f>
        <v/>
      </c>
    </row>
    <row r="367">
      <c r="A367" s="11" t="n">
        <v>41971</v>
      </c>
      <c r="B367" s="24" t="n">
        <v>131.5102</v>
      </c>
      <c r="C367" s="24" t="n">
        <v>17459.8496</v>
      </c>
      <c r="D367" s="13">
        <f>100*($B367/$C367)/($B$7/$C$7)</f>
        <v/>
      </c>
      <c r="E367" s="17">
        <f>'JGBCurve'!$E$784</f>
        <v/>
      </c>
    </row>
    <row r="368">
      <c r="A368" s="11" t="n">
        <v>41978</v>
      </c>
      <c r="B368" s="24" t="n">
        <v>133.5028</v>
      </c>
      <c r="C368" s="24" t="n">
        <v>17920.4492</v>
      </c>
      <c r="D368" s="13">
        <f>100*($B368/$C368)/($B$7/$C$7)</f>
        <v/>
      </c>
      <c r="E368" s="17">
        <f>'JGBCurve'!$E$785</f>
        <v/>
      </c>
    </row>
    <row r="369">
      <c r="A369" s="11" t="n">
        <v>41985</v>
      </c>
      <c r="B369" s="24" t="n">
        <v>128.1892</v>
      </c>
      <c r="C369" s="24" t="n">
        <v>17371.5801</v>
      </c>
      <c r="D369" s="13">
        <f>100*($B369/$C369)/($B$7/$C$7)</f>
        <v/>
      </c>
      <c r="E369" s="17">
        <f>'JGBCurve'!$E$786</f>
        <v/>
      </c>
    </row>
    <row r="370">
      <c r="A370" s="11" t="n">
        <v>41992</v>
      </c>
      <c r="B370" s="24" t="n">
        <v>129.5176</v>
      </c>
      <c r="C370" s="24" t="n">
        <v>17621.4004</v>
      </c>
      <c r="D370" s="13">
        <f>100*($B370/$C370)/($B$7/$C$7)</f>
        <v/>
      </c>
      <c r="E370" s="17">
        <f>'JGBCurve'!$E$787</f>
        <v/>
      </c>
    </row>
    <row r="371">
      <c r="A371" s="11" t="n">
        <v>41999</v>
      </c>
      <c r="B371" s="24" t="n">
        <v>130.846</v>
      </c>
      <c r="C371" s="24" t="n">
        <v>17818.9609</v>
      </c>
      <c r="D371" s="13">
        <f>100*($B371/$C371)/($B$7/$C$7)</f>
        <v/>
      </c>
      <c r="E371" s="17">
        <f>'JGBCurve'!$E$788</f>
        <v/>
      </c>
    </row>
    <row r="372">
      <c r="A372" s="11" t="n">
        <v>42006</v>
      </c>
      <c r="B372" s="24" t="n">
        <v>128.8534</v>
      </c>
      <c r="C372" s="24" t="n">
        <v>17450.7695</v>
      </c>
      <c r="D372" s="13">
        <f>100*($B372/$C372)/($B$7/$C$7)</f>
        <v/>
      </c>
      <c r="E372" s="17">
        <f>'JGBCurve'!$E$789</f>
        <v/>
      </c>
    </row>
    <row r="373">
      <c r="A373" s="11" t="n">
        <v>42013</v>
      </c>
      <c r="B373" s="24" t="n">
        <v>122.8757</v>
      </c>
      <c r="C373" s="24" t="n">
        <v>17197.7305</v>
      </c>
      <c r="D373" s="13">
        <f>100*($B373/$C373)/($B$7/$C$7)</f>
        <v/>
      </c>
      <c r="E373" s="17">
        <f>'JGBCurve'!$E$790</f>
        <v/>
      </c>
    </row>
    <row r="374">
      <c r="A374" s="11" t="n">
        <v>42020</v>
      </c>
      <c r="B374" s="24" t="n">
        <v>120.2189</v>
      </c>
      <c r="C374" s="24" t="n">
        <v>16864.1602</v>
      </c>
      <c r="D374" s="13">
        <f>100*($B374/$C374)/($B$7/$C$7)</f>
        <v/>
      </c>
      <c r="E374" s="17">
        <f>'JGBCurve'!$E$791</f>
        <v/>
      </c>
    </row>
    <row r="375">
      <c r="A375" s="11" t="n">
        <v>42027</v>
      </c>
      <c r="B375" s="24" t="n">
        <v>121.5473</v>
      </c>
      <c r="C375" s="24" t="n">
        <v>17511.75</v>
      </c>
      <c r="D375" s="13">
        <f>100*($B375/$C375)/($B$7/$C$7)</f>
        <v/>
      </c>
      <c r="E375" s="17">
        <f>'JGBCurve'!$E$792</f>
        <v/>
      </c>
    </row>
    <row r="376">
      <c r="A376" s="11" t="n">
        <v>42034</v>
      </c>
      <c r="B376" s="24" t="n">
        <v>123.5399</v>
      </c>
      <c r="C376" s="24" t="n">
        <v>17674.3906</v>
      </c>
      <c r="D376" s="13">
        <f>100*($B376/$C376)/($B$7/$C$7)</f>
        <v/>
      </c>
      <c r="E376" s="17">
        <f>'JGBCurve'!$E$793</f>
        <v/>
      </c>
    </row>
    <row r="377">
      <c r="A377" s="11" t="n">
        <v>42041</v>
      </c>
      <c r="B377" s="24" t="n">
        <v>127.5251</v>
      </c>
      <c r="C377" s="24" t="n">
        <v>17648.5</v>
      </c>
      <c r="D377" s="13">
        <f>100*($B377/$C377)/($B$7/$C$7)</f>
        <v/>
      </c>
      <c r="E377" s="17">
        <f>'JGBCurve'!$E$794</f>
        <v/>
      </c>
    </row>
    <row r="378">
      <c r="A378" s="11" t="n">
        <v>42048</v>
      </c>
      <c r="B378" s="24" t="n">
        <v>132.8386</v>
      </c>
      <c r="C378" s="24" t="n">
        <v>17913.3594</v>
      </c>
      <c r="D378" s="13">
        <f>100*($B378/$C378)/($B$7/$C$7)</f>
        <v/>
      </c>
      <c r="E378" s="17">
        <f>'JGBCurve'!$E$795</f>
        <v/>
      </c>
    </row>
    <row r="379">
      <c r="A379" s="11" t="n">
        <v>42055</v>
      </c>
      <c r="B379" s="24" t="n">
        <v>142.1373</v>
      </c>
      <c r="C379" s="24" t="n">
        <v>18332.3008</v>
      </c>
      <c r="D379" s="13">
        <f>100*($B379/$C379)/($B$7/$C$7)</f>
        <v/>
      </c>
      <c r="E379" s="17">
        <f>'JGBCurve'!$E$796</f>
        <v/>
      </c>
    </row>
    <row r="380">
      <c r="A380" s="11" t="n">
        <v>42062</v>
      </c>
      <c r="B380" s="24" t="n">
        <v>143.4657</v>
      </c>
      <c r="C380" s="24" t="n">
        <v>18797.9395</v>
      </c>
      <c r="D380" s="13">
        <f>100*($B380/$C380)/($B$7/$C$7)</f>
        <v/>
      </c>
      <c r="E380" s="17">
        <f>'JGBCurve'!$E$797</f>
        <v/>
      </c>
    </row>
    <row r="381">
      <c r="A381" s="11" t="n">
        <v>42069</v>
      </c>
      <c r="B381" s="24" t="n">
        <v>144.1299</v>
      </c>
      <c r="C381" s="24" t="n">
        <v>18971</v>
      </c>
      <c r="D381" s="13">
        <f>100*($B381/$C381)/($B$7/$C$7)</f>
        <v/>
      </c>
      <c r="E381" s="17">
        <f>'JGBCurve'!$E$798</f>
        <v/>
      </c>
    </row>
    <row r="382">
      <c r="A382" s="11" t="n">
        <v>42076</v>
      </c>
      <c r="B382" s="24" t="n">
        <v>146.1224</v>
      </c>
      <c r="C382" s="24" t="n">
        <v>19254.25</v>
      </c>
      <c r="D382" s="13">
        <f>100*($B382/$C382)/($B$7/$C$7)</f>
        <v/>
      </c>
      <c r="E382" s="17">
        <f>'JGBCurve'!$E$799</f>
        <v/>
      </c>
    </row>
    <row r="383">
      <c r="A383" s="11" t="n">
        <v>42083</v>
      </c>
      <c r="B383" s="24" t="n">
        <v>145.4583</v>
      </c>
      <c r="C383" s="24" t="n">
        <v>19560.2207</v>
      </c>
      <c r="D383" s="13">
        <f>100*($B383/$C383)/($B$7/$C$7)</f>
        <v/>
      </c>
      <c r="E383" s="17">
        <f>'JGBCurve'!$E$800</f>
        <v/>
      </c>
    </row>
    <row r="384">
      <c r="A384" s="11" t="n">
        <v>42090</v>
      </c>
      <c r="B384" s="24" t="n">
        <v>142.1373</v>
      </c>
      <c r="C384" s="24" t="n">
        <v>19285.6309</v>
      </c>
      <c r="D384" s="13">
        <f>100*($B384/$C384)/($B$7/$C$7)</f>
        <v/>
      </c>
      <c r="E384" s="17">
        <f>'JGBCurve'!$E$801</f>
        <v/>
      </c>
    </row>
    <row r="385">
      <c r="A385" s="11" t="n">
        <v>42097</v>
      </c>
      <c r="B385" s="24" t="n">
        <v>142.8015</v>
      </c>
      <c r="C385" s="24" t="n">
        <v>19435.0801</v>
      </c>
      <c r="D385" s="13">
        <f>100*($B385/$C385)/($B$7/$C$7)</f>
        <v/>
      </c>
      <c r="E385" s="17">
        <f>'JGBCurve'!$E$802</f>
        <v/>
      </c>
    </row>
    <row r="386">
      <c r="A386" s="11" t="n">
        <v>42104</v>
      </c>
      <c r="B386" s="24" t="n">
        <v>143.4657</v>
      </c>
      <c r="C386" s="24" t="n">
        <v>19907.6309</v>
      </c>
      <c r="D386" s="13">
        <f>100*($B386/$C386)/($B$7/$C$7)</f>
        <v/>
      </c>
      <c r="E386" s="17">
        <f>'JGBCurve'!$E$803</f>
        <v/>
      </c>
    </row>
    <row r="387">
      <c r="A387" s="11" t="n">
        <v>42111</v>
      </c>
      <c r="B387" s="24" t="n">
        <v>152.7644</v>
      </c>
      <c r="C387" s="24" t="n">
        <v>19652.8809</v>
      </c>
      <c r="D387" s="13">
        <f>100*($B387/$C387)/($B$7/$C$7)</f>
        <v/>
      </c>
      <c r="E387" s="17">
        <f>'JGBCurve'!$E$804</f>
        <v/>
      </c>
    </row>
    <row r="388">
      <c r="A388" s="11" t="n">
        <v>42118</v>
      </c>
      <c r="B388" s="24" t="n">
        <v>156.0854</v>
      </c>
      <c r="C388" s="24" t="n">
        <v>20020.0391</v>
      </c>
      <c r="D388" s="13">
        <f>100*($B388/$C388)/($B$7/$C$7)</f>
        <v/>
      </c>
      <c r="E388" s="17">
        <f>'JGBCurve'!$E$805</f>
        <v/>
      </c>
    </row>
    <row r="389">
      <c r="A389" s="11" t="n">
        <v>42125</v>
      </c>
      <c r="B389" s="24" t="n">
        <v>152.7644</v>
      </c>
      <c r="C389" s="24" t="n">
        <v>19531.6309</v>
      </c>
      <c r="D389" s="13">
        <f>100*($B389/$C389)/($B$7/$C$7)</f>
        <v/>
      </c>
      <c r="E389" s="17">
        <f>'JGBCurve'!$E$806</f>
        <v/>
      </c>
    </row>
    <row r="390">
      <c r="A390" s="11" t="n">
        <v>42132</v>
      </c>
      <c r="B390" s="24" t="n">
        <v>158.0779</v>
      </c>
      <c r="C390" s="24" t="n">
        <v>19379.1895</v>
      </c>
      <c r="D390" s="13">
        <f>100*($B390/$C390)/($B$7/$C$7)</f>
        <v/>
      </c>
      <c r="E390" s="17">
        <f>'JGBCurve'!$E$807</f>
        <v/>
      </c>
    </row>
    <row r="391">
      <c r="A391" s="11" t="n">
        <v>42139</v>
      </c>
      <c r="B391" s="24" t="n">
        <v>156.0854</v>
      </c>
      <c r="C391" s="24" t="n">
        <v>19732.9199</v>
      </c>
      <c r="D391" s="13">
        <f>100*($B391/$C391)/($B$7/$C$7)</f>
        <v/>
      </c>
      <c r="E391" s="17">
        <f>'JGBCurve'!$E$808</f>
        <v/>
      </c>
    </row>
    <row r="392">
      <c r="A392" s="11" t="n">
        <v>42146</v>
      </c>
      <c r="B392" s="24" t="n">
        <v>161.3989</v>
      </c>
      <c r="C392" s="24" t="n">
        <v>20264.4102</v>
      </c>
      <c r="D392" s="13">
        <f>100*($B392/$C392)/($B$7/$C$7)</f>
        <v/>
      </c>
      <c r="E392" s="17">
        <f>'JGBCurve'!$E$809</f>
        <v/>
      </c>
    </row>
    <row r="393">
      <c r="A393" s="11" t="n">
        <v>42153</v>
      </c>
      <c r="B393" s="24" t="n">
        <v>167.3766</v>
      </c>
      <c r="C393" s="24" t="n">
        <v>20563.1504</v>
      </c>
      <c r="D393" s="13">
        <f>100*($B393/$C393)/($B$7/$C$7)</f>
        <v/>
      </c>
      <c r="E393" s="17">
        <f>'JGBCurve'!$E$810</f>
        <v/>
      </c>
    </row>
    <row r="394">
      <c r="A394" s="11" t="n">
        <v>42160</v>
      </c>
      <c r="B394" s="24" t="n">
        <v>164.7199</v>
      </c>
      <c r="C394" s="24" t="n">
        <v>20460.9004</v>
      </c>
      <c r="D394" s="13">
        <f>100*($B394/$C394)/($B$7/$C$7)</f>
        <v/>
      </c>
      <c r="E394" s="17">
        <f>'JGBCurve'!$E$811</f>
        <v/>
      </c>
    </row>
    <row r="395">
      <c r="A395" s="11" t="n">
        <v>42167</v>
      </c>
      <c r="B395" s="24" t="n">
        <v>163.3915</v>
      </c>
      <c r="C395" s="24" t="n">
        <v>20407.0801</v>
      </c>
      <c r="D395" s="13">
        <f>100*($B395/$C395)/($B$7/$C$7)</f>
        <v/>
      </c>
      <c r="E395" s="17">
        <f>'JGBCurve'!$E$812</f>
        <v/>
      </c>
    </row>
    <row r="396">
      <c r="A396" s="11" t="n">
        <v>42174</v>
      </c>
      <c r="B396" s="24" t="n">
        <v>158.7421</v>
      </c>
      <c r="C396" s="24" t="n">
        <v>20174.2402</v>
      </c>
      <c r="D396" s="13">
        <f>100*($B396/$C396)/($B$7/$C$7)</f>
        <v/>
      </c>
      <c r="E396" s="17">
        <f>'JGBCurve'!$E$813</f>
        <v/>
      </c>
    </row>
    <row r="397">
      <c r="A397" s="11" t="n">
        <v>42181</v>
      </c>
      <c r="B397" s="24" t="n">
        <v>167.3766</v>
      </c>
      <c r="C397" s="24" t="n">
        <v>20706.1504</v>
      </c>
      <c r="D397" s="13">
        <f>100*($B397/$C397)/($B$7/$C$7)</f>
        <v/>
      </c>
      <c r="E397" s="17">
        <f>'JGBCurve'!$E$814</f>
        <v/>
      </c>
    </row>
    <row r="398">
      <c r="A398" s="11" t="n">
        <v>42188</v>
      </c>
      <c r="B398" s="24" t="n">
        <v>165.384</v>
      </c>
      <c r="C398" s="24" t="n">
        <v>20539.7891</v>
      </c>
      <c r="D398" s="13">
        <f>100*($B398/$C398)/($B$7/$C$7)</f>
        <v/>
      </c>
      <c r="E398" s="17">
        <f>'JGBCurve'!$E$815</f>
        <v/>
      </c>
    </row>
    <row r="399">
      <c r="A399" s="11" t="n">
        <v>42195</v>
      </c>
      <c r="B399" s="24" t="n">
        <v>157.4137</v>
      </c>
      <c r="C399" s="24" t="n">
        <v>19779.8301</v>
      </c>
      <c r="D399" s="13">
        <f>100*($B399/$C399)/($B$7/$C$7)</f>
        <v/>
      </c>
      <c r="E399" s="17">
        <f>'JGBCurve'!$E$816</f>
        <v/>
      </c>
    </row>
    <row r="400">
      <c r="A400" s="11" t="n">
        <v>42202</v>
      </c>
      <c r="B400" s="24" t="n">
        <v>165.9077</v>
      </c>
      <c r="C400" s="24" t="n">
        <v>20650.9199</v>
      </c>
      <c r="D400" s="13">
        <f>100*($B400/$C400)/($B$7/$C$7)</f>
        <v/>
      </c>
      <c r="E400" s="17">
        <f>'JGBCurve'!$E$817</f>
        <v/>
      </c>
    </row>
    <row r="401">
      <c r="A401" s="11" t="n">
        <v>42209</v>
      </c>
      <c r="B401" s="24" t="n">
        <v>163.8845</v>
      </c>
      <c r="C401" s="24" t="n">
        <v>20544.5293</v>
      </c>
      <c r="D401" s="13">
        <f>100*($B401/$C401)/($B$7/$C$7)</f>
        <v/>
      </c>
      <c r="E401" s="17">
        <f>'JGBCurve'!$E$818</f>
        <v/>
      </c>
    </row>
    <row r="402">
      <c r="A402" s="11" t="n">
        <v>42216</v>
      </c>
      <c r="B402" s="24" t="n">
        <v>165.2333</v>
      </c>
      <c r="C402" s="24" t="n">
        <v>20585.2402</v>
      </c>
      <c r="D402" s="13">
        <f>100*($B402/$C402)/($B$7/$C$7)</f>
        <v/>
      </c>
      <c r="E402" s="17">
        <f>'JGBCurve'!$E$819</f>
        <v/>
      </c>
    </row>
    <row r="403">
      <c r="A403" s="11" t="n">
        <v>42223</v>
      </c>
      <c r="B403" s="24" t="n">
        <v>166.5822</v>
      </c>
      <c r="C403" s="24" t="n">
        <v>20724.5605</v>
      </c>
      <c r="D403" s="13">
        <f>100*($B403/$C403)/($B$7/$C$7)</f>
        <v/>
      </c>
      <c r="E403" s="17">
        <f>'JGBCurve'!$E$820</f>
        <v/>
      </c>
    </row>
    <row r="404">
      <c r="A404" s="11" t="n">
        <v>42230</v>
      </c>
      <c r="B404" s="24" t="n">
        <v>162.5356</v>
      </c>
      <c r="C404" s="24" t="n">
        <v>20519.4492</v>
      </c>
      <c r="D404" s="13">
        <f>100*($B404/$C404)/($B$7/$C$7)</f>
        <v/>
      </c>
      <c r="E404" s="17">
        <f>'JGBCurve'!$E$821</f>
        <v/>
      </c>
    </row>
    <row r="405">
      <c r="A405" s="11" t="n">
        <v>42237</v>
      </c>
      <c r="B405" s="24" t="n">
        <v>153.0937</v>
      </c>
      <c r="C405" s="24" t="n">
        <v>19435.8301</v>
      </c>
      <c r="D405" s="13">
        <f>100*($B405/$C405)/($B$7/$C$7)</f>
        <v/>
      </c>
      <c r="E405" s="17">
        <f>'JGBCurve'!$E$822</f>
        <v/>
      </c>
    </row>
    <row r="406">
      <c r="A406" s="11" t="n">
        <v>42244</v>
      </c>
      <c r="B406" s="24" t="n">
        <v>152.4193</v>
      </c>
      <c r="C406" s="24" t="n">
        <v>19136.3203</v>
      </c>
      <c r="D406" s="13">
        <f>100*($B406/$C406)/($B$7/$C$7)</f>
        <v/>
      </c>
      <c r="E406" s="17">
        <f>'JGBCurve'!$E$823</f>
        <v/>
      </c>
    </row>
    <row r="407">
      <c r="A407" s="11" t="n">
        <v>42251</v>
      </c>
      <c r="B407" s="24" t="n">
        <v>139.6053</v>
      </c>
      <c r="C407" s="24" t="n">
        <v>17792.1602</v>
      </c>
      <c r="D407" s="13">
        <f>100*($B407/$C407)/($B$7/$C$7)</f>
        <v/>
      </c>
      <c r="E407" s="17">
        <f>'JGBCurve'!$E$824</f>
        <v/>
      </c>
    </row>
    <row r="408">
      <c r="A408" s="11" t="n">
        <v>42258</v>
      </c>
      <c r="B408" s="24" t="n">
        <v>145.0007</v>
      </c>
      <c r="C408" s="24" t="n">
        <v>18264.2207</v>
      </c>
      <c r="D408" s="13">
        <f>100*($B408/$C408)/($B$7/$C$7)</f>
        <v/>
      </c>
      <c r="E408" s="17">
        <f>'JGBCurve'!$E$825</f>
        <v/>
      </c>
    </row>
    <row r="409">
      <c r="A409" s="11" t="n">
        <v>42265</v>
      </c>
      <c r="B409" s="24" t="n">
        <v>141.6285</v>
      </c>
      <c r="C409" s="24" t="n">
        <v>18070.2109</v>
      </c>
      <c r="D409" s="13">
        <f>100*($B409/$C409)/($B$7/$C$7)</f>
        <v/>
      </c>
      <c r="E409" s="17">
        <f>'JGBCurve'!$E$826</f>
        <v/>
      </c>
    </row>
    <row r="410">
      <c r="A410" s="11" t="n">
        <v>42272</v>
      </c>
      <c r="B410" s="24" t="n">
        <v>142.9774</v>
      </c>
      <c r="C410" s="24" t="n">
        <v>17880.5098</v>
      </c>
      <c r="D410" s="13">
        <f>100*($B410/$C410)/($B$7/$C$7)</f>
        <v/>
      </c>
      <c r="E410" s="17">
        <f>'JGBCurve'!$E$827</f>
        <v/>
      </c>
    </row>
    <row r="411">
      <c r="A411" s="11" t="n">
        <v>42279</v>
      </c>
      <c r="B411" s="24" t="n">
        <v>142.9774</v>
      </c>
      <c r="C411" s="24" t="n">
        <v>17725.1309</v>
      </c>
      <c r="D411" s="13">
        <f>100*($B411/$C411)/($B$7/$C$7)</f>
        <v/>
      </c>
      <c r="E411" s="17">
        <f>'JGBCurve'!$E$828</f>
        <v/>
      </c>
    </row>
    <row r="412">
      <c r="A412" s="11" t="n">
        <v>42286</v>
      </c>
      <c r="B412" s="24" t="n">
        <v>148.3728</v>
      </c>
      <c r="C412" s="24" t="n">
        <v>18438.6699</v>
      </c>
      <c r="D412" s="13">
        <f>100*($B412/$C412)/($B$7/$C$7)</f>
        <v/>
      </c>
      <c r="E412" s="17">
        <f>'JGBCurve'!$E$829</f>
        <v/>
      </c>
    </row>
    <row r="413">
      <c r="A413" s="11" t="n">
        <v>42293</v>
      </c>
      <c r="B413" s="24" t="n">
        <v>144.3262</v>
      </c>
      <c r="C413" s="24" t="n">
        <v>18291.8008</v>
      </c>
      <c r="D413" s="13">
        <f>100*($B413/$C413)/($B$7/$C$7)</f>
        <v/>
      </c>
      <c r="E413" s="17">
        <f>'JGBCurve'!$E$830</f>
        <v/>
      </c>
    </row>
    <row r="414">
      <c r="A414" s="11" t="n">
        <v>42300</v>
      </c>
      <c r="B414" s="24" t="n">
        <v>149.7216</v>
      </c>
      <c r="C414" s="24" t="n">
        <v>18825.3008</v>
      </c>
      <c r="D414" s="13">
        <f>100*($B414/$C414)/($B$7/$C$7)</f>
        <v/>
      </c>
      <c r="E414" s="17">
        <f>'JGBCurve'!$E$831</f>
        <v/>
      </c>
    </row>
    <row r="415">
      <c r="A415" s="11" t="n">
        <v>42307</v>
      </c>
      <c r="B415" s="24" t="n">
        <v>149.7216</v>
      </c>
      <c r="C415" s="24" t="n">
        <v>19083.0996</v>
      </c>
      <c r="D415" s="13">
        <f>100*($B415/$C415)/($B$7/$C$7)</f>
        <v/>
      </c>
      <c r="E415" s="17">
        <f>'JGBCurve'!$E$832</f>
        <v/>
      </c>
    </row>
    <row r="416">
      <c r="A416" s="11" t="n">
        <v>42314</v>
      </c>
      <c r="B416" s="24" t="n">
        <v>149.7216</v>
      </c>
      <c r="C416" s="24" t="n">
        <v>19265.5996</v>
      </c>
      <c r="D416" s="13">
        <f>100*($B416/$C416)/($B$7/$C$7)</f>
        <v/>
      </c>
      <c r="E416" s="17">
        <f>'JGBCurve'!$E$833</f>
        <v/>
      </c>
    </row>
    <row r="417">
      <c r="A417" s="11" t="n">
        <v>42321</v>
      </c>
      <c r="B417" s="24" t="n">
        <v>153.0937</v>
      </c>
      <c r="C417" s="24" t="n">
        <v>19596.9102</v>
      </c>
      <c r="D417" s="13">
        <f>100*($B417/$C417)/($B$7/$C$7)</f>
        <v/>
      </c>
      <c r="E417" s="17">
        <f>'JGBCurve'!$E$834</f>
        <v/>
      </c>
    </row>
    <row r="418">
      <c r="A418" s="11" t="n">
        <v>42328</v>
      </c>
      <c r="B418" s="24" t="n">
        <v>153.7681</v>
      </c>
      <c r="C418" s="24" t="n">
        <v>19879.8105</v>
      </c>
      <c r="D418" s="13">
        <f>100*($B418/$C418)/($B$7/$C$7)</f>
        <v/>
      </c>
      <c r="E418" s="17">
        <f>'JGBCurve'!$E$835</f>
        <v/>
      </c>
    </row>
    <row r="419">
      <c r="A419" s="11" t="n">
        <v>42335</v>
      </c>
      <c r="B419" s="24" t="n">
        <v>150.396</v>
      </c>
      <c r="C419" s="24" t="n">
        <v>19883.9395</v>
      </c>
      <c r="D419" s="13">
        <f>100*($B419/$C419)/($B$7/$C$7)</f>
        <v/>
      </c>
      <c r="E419" s="17">
        <f>'JGBCurve'!$E$836</f>
        <v/>
      </c>
    </row>
    <row r="420">
      <c r="A420" s="11" t="n">
        <v>42342</v>
      </c>
      <c r="B420" s="24" t="n">
        <v>147.0239</v>
      </c>
      <c r="C420" s="24" t="n">
        <v>19504.4805</v>
      </c>
      <c r="D420" s="13">
        <f>100*($B420/$C420)/($B$7/$C$7)</f>
        <v/>
      </c>
      <c r="E420" s="17">
        <f>'JGBCurve'!$E$837</f>
        <v/>
      </c>
    </row>
    <row r="421">
      <c r="A421" s="11" t="n">
        <v>42349</v>
      </c>
      <c r="B421" s="24" t="n">
        <v>144.3262</v>
      </c>
      <c r="C421" s="24" t="n">
        <v>19230.4805</v>
      </c>
      <c r="D421" s="13">
        <f>100*($B421/$C421)/($B$7/$C$7)</f>
        <v/>
      </c>
      <c r="E421" s="17">
        <f>'JGBCurve'!$E$838</f>
        <v/>
      </c>
    </row>
    <row r="422">
      <c r="A422" s="11" t="n">
        <v>42356</v>
      </c>
      <c r="B422" s="24" t="n">
        <v>141.6285</v>
      </c>
      <c r="C422" s="24" t="n">
        <v>18986.8008</v>
      </c>
      <c r="D422" s="13">
        <f>100*($B422/$C422)/($B$7/$C$7)</f>
        <v/>
      </c>
      <c r="E422" s="17">
        <f>'JGBCurve'!$E$839</f>
        <v/>
      </c>
    </row>
    <row r="423">
      <c r="A423" s="11" t="n">
        <v>42363</v>
      </c>
      <c r="B423" s="24" t="n">
        <v>138.9308</v>
      </c>
      <c r="C423" s="24" t="n">
        <v>18769.0605</v>
      </c>
      <c r="D423" s="13">
        <f>100*($B423/$C423)/($B$7/$C$7)</f>
        <v/>
      </c>
      <c r="E423" s="17">
        <f>'JGBCurve'!$E$840</f>
        <v/>
      </c>
    </row>
    <row r="424">
      <c r="A424" s="11" t="n">
        <v>42370</v>
      </c>
      <c r="B424" s="24" t="n">
        <v>144.3262</v>
      </c>
      <c r="C424" s="24" t="n">
        <v>19033.7109</v>
      </c>
      <c r="D424" s="13">
        <f>100*($B424/$C424)/($B$7/$C$7)</f>
        <v/>
      </c>
      <c r="E424" s="17">
        <f>'JGBCurve'!$E$841</f>
        <v/>
      </c>
    </row>
    <row r="425">
      <c r="A425" s="11" t="n">
        <v>42377</v>
      </c>
      <c r="B425" s="24" t="n">
        <v>134.8843</v>
      </c>
      <c r="C425" s="24" t="n">
        <v>17697.9609</v>
      </c>
      <c r="D425" s="13">
        <f>100*($B425/$C425)/($B$7/$C$7)</f>
        <v/>
      </c>
      <c r="E425" s="17">
        <f>'JGBCurve'!$E$842</f>
        <v/>
      </c>
    </row>
    <row r="426">
      <c r="A426" s="11" t="n">
        <v>42384</v>
      </c>
      <c r="B426" s="24" t="n">
        <v>131.5122</v>
      </c>
      <c r="C426" s="24" t="n">
        <v>17147.1094</v>
      </c>
      <c r="D426" s="13">
        <f>100*($B426/$C426)/($B$7/$C$7)</f>
        <v/>
      </c>
      <c r="E426" s="17">
        <f>'JGBCurve'!$E$843</f>
        <v/>
      </c>
    </row>
    <row r="427">
      <c r="A427" s="11" t="n">
        <v>42391</v>
      </c>
      <c r="B427" s="24" t="n">
        <v>122.7447</v>
      </c>
      <c r="C427" s="24" t="n">
        <v>16958.5293</v>
      </c>
      <c r="D427" s="13">
        <f>100*($B427/$C427)/($B$7/$C$7)</f>
        <v/>
      </c>
      <c r="E427" s="17">
        <f>'JGBCurve'!$E$844</f>
        <v/>
      </c>
    </row>
    <row r="428">
      <c r="A428" s="11" t="n">
        <v>42398</v>
      </c>
      <c r="B428" s="24" t="n">
        <v>122.7447</v>
      </c>
      <c r="C428" s="24" t="n">
        <v>17518.3008</v>
      </c>
      <c r="D428" s="13">
        <f>100*($B428/$C428)/($B$7/$C$7)</f>
        <v/>
      </c>
      <c r="E428" s="17">
        <f>'JGBCurve'!$E$845</f>
        <v/>
      </c>
    </row>
    <row r="429">
      <c r="A429" s="11" t="n">
        <v>42405</v>
      </c>
      <c r="B429" s="24" t="n">
        <v>105.8842</v>
      </c>
      <c r="C429" s="24" t="n">
        <v>16819.5898</v>
      </c>
      <c r="D429" s="13">
        <f>100*($B429/$C429)/($B$7/$C$7)</f>
        <v/>
      </c>
      <c r="E429" s="17">
        <f>'JGBCurve'!$E$846</f>
        <v/>
      </c>
    </row>
    <row r="430">
      <c r="A430" s="11" t="n">
        <v>42412</v>
      </c>
      <c r="B430" s="24" t="n">
        <v>90.3725</v>
      </c>
      <c r="C430" s="24" t="n">
        <v>14952.6104</v>
      </c>
      <c r="D430" s="13">
        <f>100*($B430/$C430)/($B$7/$C$7)</f>
        <v/>
      </c>
      <c r="E430" s="17">
        <f>'JGBCurve'!$E$847</f>
        <v/>
      </c>
    </row>
    <row r="431">
      <c r="A431" s="11" t="n">
        <v>42419</v>
      </c>
      <c r="B431" s="24" t="n">
        <v>98.46559999999999</v>
      </c>
      <c r="C431" s="24" t="n">
        <v>15967.1699</v>
      </c>
      <c r="D431" s="13">
        <f>100*($B431/$C431)/($B$7/$C$7)</f>
        <v/>
      </c>
      <c r="E431" s="17">
        <f>'JGBCurve'!$E$848</f>
        <v/>
      </c>
    </row>
    <row r="432">
      <c r="A432" s="11" t="n">
        <v>42426</v>
      </c>
      <c r="B432" s="24" t="n">
        <v>98.46559999999999</v>
      </c>
      <c r="C432" s="24" t="n">
        <v>16188.4102</v>
      </c>
      <c r="D432" s="13">
        <f>100*($B432/$C432)/($B$7/$C$7)</f>
        <v/>
      </c>
      <c r="E432" s="17">
        <f>'JGBCurve'!$E$849</f>
        <v/>
      </c>
    </row>
    <row r="433">
      <c r="A433" s="11" t="n">
        <v>42433</v>
      </c>
      <c r="B433" s="24" t="n">
        <v>108.5819</v>
      </c>
      <c r="C433" s="24" t="n">
        <v>17014.7793</v>
      </c>
      <c r="D433" s="13">
        <f>100*($B433/$C433)/($B$7/$C$7)</f>
        <v/>
      </c>
      <c r="E433" s="17">
        <f>'JGBCurve'!$E$850</f>
        <v/>
      </c>
    </row>
    <row r="434">
      <c r="A434" s="11" t="n">
        <v>42440</v>
      </c>
      <c r="B434" s="24" t="n">
        <v>107.2331</v>
      </c>
      <c r="C434" s="24" t="n">
        <v>16938.8691</v>
      </c>
      <c r="D434" s="13">
        <f>100*($B434/$C434)/($B$7/$C$7)</f>
        <v/>
      </c>
      <c r="E434" s="17">
        <f>'JGBCurve'!$E$851</f>
        <v/>
      </c>
    </row>
    <row r="435">
      <c r="A435" s="11" t="n">
        <v>42447</v>
      </c>
      <c r="B435" s="24" t="n">
        <v>107.2331</v>
      </c>
      <c r="C435" s="24" t="n">
        <v>16724.8105</v>
      </c>
      <c r="D435" s="13">
        <f>100*($B435/$C435)/($B$7/$C$7)</f>
        <v/>
      </c>
      <c r="E435" s="17">
        <f>'JGBCurve'!$E$852</f>
        <v/>
      </c>
    </row>
    <row r="436">
      <c r="A436" s="11" t="n">
        <v>42454</v>
      </c>
      <c r="B436" s="24" t="n">
        <v>105.2098</v>
      </c>
      <c r="C436" s="24" t="n">
        <v>17002.75</v>
      </c>
      <c r="D436" s="13">
        <f>100*($B436/$C436)/($B$7/$C$7)</f>
        <v/>
      </c>
      <c r="E436" s="17">
        <f>'JGBCurve'!$E$853</f>
        <v/>
      </c>
    </row>
    <row r="437">
      <c r="A437" s="11" t="n">
        <v>42461</v>
      </c>
      <c r="B437" s="24" t="n">
        <v>100.4888</v>
      </c>
      <c r="C437" s="24" t="n">
        <v>16164.1602</v>
      </c>
      <c r="D437" s="13">
        <f>100*($B437/$C437)/($B$7/$C$7)</f>
        <v/>
      </c>
      <c r="E437" s="17">
        <f>'JGBCurve'!$E$854</f>
        <v/>
      </c>
    </row>
    <row r="438">
      <c r="A438" s="11" t="n">
        <v>42468</v>
      </c>
      <c r="B438" s="24" t="n">
        <v>97.11669999999999</v>
      </c>
      <c r="C438" s="24" t="n">
        <v>15821.5195</v>
      </c>
      <c r="D438" s="13">
        <f>100*($B438/$C438)/($B$7/$C$7)</f>
        <v/>
      </c>
      <c r="E438" s="17">
        <f>'JGBCurve'!$E$855</f>
        <v/>
      </c>
    </row>
    <row r="439">
      <c r="A439" s="11" t="n">
        <v>42475</v>
      </c>
      <c r="B439" s="24" t="n">
        <v>105.2098</v>
      </c>
      <c r="C439" s="24" t="n">
        <v>16848.0293</v>
      </c>
      <c r="D439" s="13">
        <f>100*($B439/$C439)/($B$7/$C$7)</f>
        <v/>
      </c>
      <c r="E439" s="17">
        <f>'JGBCurve'!$E$856</f>
        <v/>
      </c>
    </row>
    <row r="440">
      <c r="A440" s="11" t="n">
        <v>42482</v>
      </c>
      <c r="B440" s="24" t="n">
        <v>114.6517</v>
      </c>
      <c r="C440" s="24" t="n">
        <v>17572.4902</v>
      </c>
      <c r="D440" s="13">
        <f>100*($B440/$C440)/($B$7/$C$7)</f>
        <v/>
      </c>
      <c r="E440" s="17">
        <f>'JGBCurve'!$E$857</f>
        <v/>
      </c>
    </row>
    <row r="441">
      <c r="A441" s="11" t="n">
        <v>42489</v>
      </c>
      <c r="B441" s="24" t="n">
        <v>105.2098</v>
      </c>
      <c r="C441" s="24" t="n">
        <v>16666.0508</v>
      </c>
      <c r="D441" s="13">
        <f>100*($B441/$C441)/($B$7/$C$7)</f>
        <v/>
      </c>
      <c r="E441" s="17">
        <f>'JGBCurve'!$E$858</f>
        <v/>
      </c>
    </row>
    <row r="442">
      <c r="A442" s="11" t="n">
        <v>42496</v>
      </c>
      <c r="B442" s="24" t="n">
        <v>99.14</v>
      </c>
      <c r="C442" s="24" t="n">
        <v>16106.7197</v>
      </c>
      <c r="D442" s="13">
        <f>100*($B442/$C442)/($B$7/$C$7)</f>
        <v/>
      </c>
      <c r="E442" s="17">
        <f>'JGBCurve'!$E$859</f>
        <v/>
      </c>
    </row>
    <row r="443">
      <c r="A443" s="11" t="n">
        <v>42503</v>
      </c>
      <c r="B443" s="24" t="n">
        <v>101.1632</v>
      </c>
      <c r="C443" s="24" t="n">
        <v>16412.2109</v>
      </c>
      <c r="D443" s="13">
        <f>100*($B443/$C443)/($B$7/$C$7)</f>
        <v/>
      </c>
      <c r="E443" s="17">
        <f>'JGBCurve'!$E$860</f>
        <v/>
      </c>
    </row>
    <row r="444">
      <c r="A444" s="11" t="n">
        <v>42510</v>
      </c>
      <c r="B444" s="24" t="n">
        <v>104.5354</v>
      </c>
      <c r="C444" s="24" t="n">
        <v>16736.3496</v>
      </c>
      <c r="D444" s="13">
        <f>100*($B444/$C444)/($B$7/$C$7)</f>
        <v/>
      </c>
      <c r="E444" s="17">
        <f>'JGBCurve'!$E$861</f>
        <v/>
      </c>
    </row>
    <row r="445">
      <c r="A445" s="11" t="n">
        <v>42517</v>
      </c>
      <c r="B445" s="24" t="n">
        <v>106.5586</v>
      </c>
      <c r="C445" s="24" t="n">
        <v>16834.8398</v>
      </c>
      <c r="D445" s="13">
        <f>100*($B445/$C445)/($B$7/$C$7)</f>
        <v/>
      </c>
      <c r="E445" s="17">
        <f>'JGBCurve'!$E$862</f>
        <v/>
      </c>
    </row>
    <row r="446">
      <c r="A446" s="11" t="n">
        <v>42524</v>
      </c>
      <c r="B446" s="24" t="n">
        <v>105.2098</v>
      </c>
      <c r="C446" s="24" t="n">
        <v>16642.2305</v>
      </c>
      <c r="D446" s="13">
        <f>100*($B446/$C446)/($B$7/$C$7)</f>
        <v/>
      </c>
      <c r="E446" s="17">
        <f>'JGBCurve'!$E$863</f>
        <v/>
      </c>
    </row>
    <row r="447">
      <c r="A447" s="11" t="n">
        <v>42531</v>
      </c>
      <c r="B447" s="24" t="n">
        <v>101.8377</v>
      </c>
      <c r="C447" s="24" t="n">
        <v>16601.3594</v>
      </c>
      <c r="D447" s="13">
        <f>100*($B447/$C447)/($B$7/$C$7)</f>
        <v/>
      </c>
      <c r="E447" s="17">
        <f>'JGBCurve'!$E$864</f>
        <v/>
      </c>
    </row>
    <row r="448">
      <c r="A448" s="11" t="n">
        <v>42538</v>
      </c>
      <c r="B448" s="24" t="n">
        <v>97.11669999999999</v>
      </c>
      <c r="C448" s="24" t="n">
        <v>15599.6602</v>
      </c>
      <c r="D448" s="13">
        <f>100*($B448/$C448)/($B$7/$C$7)</f>
        <v/>
      </c>
      <c r="E448" s="17">
        <f>'JGBCurve'!$E$865</f>
        <v/>
      </c>
    </row>
    <row r="449">
      <c r="A449" s="11" t="n">
        <v>42545</v>
      </c>
      <c r="B449" s="24" t="n">
        <v>93.74460000000001</v>
      </c>
      <c r="C449" s="24" t="n">
        <v>14952.0195</v>
      </c>
      <c r="D449" s="13">
        <f>100*($B449/$C449)/($B$7/$C$7)</f>
        <v/>
      </c>
      <c r="E449" s="17">
        <f>'JGBCurve'!$E$866</f>
        <v/>
      </c>
    </row>
    <row r="450">
      <c r="A450" s="11" t="n">
        <v>42552</v>
      </c>
      <c r="B450" s="24" t="n">
        <v>92.39579999999999</v>
      </c>
      <c r="C450" s="24" t="n">
        <v>15682.4805</v>
      </c>
      <c r="D450" s="13">
        <f>100*($B450/$C450)/($B$7/$C$7)</f>
        <v/>
      </c>
      <c r="E450" s="17">
        <f>'JGBCurve'!$E$867</f>
        <v/>
      </c>
    </row>
    <row r="451">
      <c r="A451" s="11" t="n">
        <v>42559</v>
      </c>
      <c r="B451" s="24" t="n">
        <v>87.6748</v>
      </c>
      <c r="C451" s="24" t="n">
        <v>15106.9805</v>
      </c>
      <c r="D451" s="13">
        <f>100*($B451/$C451)/($B$7/$C$7)</f>
        <v/>
      </c>
      <c r="E451" s="17">
        <f>'JGBCurve'!$E$868</f>
        <v/>
      </c>
    </row>
    <row r="452">
      <c r="A452" s="11" t="n">
        <v>42566</v>
      </c>
      <c r="B452" s="24" t="n">
        <v>102.6829</v>
      </c>
      <c r="C452" s="24" t="n">
        <v>16497.8496</v>
      </c>
      <c r="D452" s="13">
        <f>100*($B452/$C452)/($B$7/$C$7)</f>
        <v/>
      </c>
      <c r="E452" s="17">
        <f>'JGBCurve'!$E$869</f>
        <v/>
      </c>
    </row>
    <row r="453">
      <c r="A453" s="11" t="n">
        <v>42573</v>
      </c>
      <c r="B453" s="24" t="n">
        <v>99.86969999999999</v>
      </c>
      <c r="C453" s="24" t="n">
        <v>16627.25</v>
      </c>
      <c r="D453" s="13">
        <f>100*($B453/$C453)/($B$7/$C$7)</f>
        <v/>
      </c>
      <c r="E453" s="17">
        <f>'JGBCurve'!$E$870</f>
        <v/>
      </c>
    </row>
    <row r="454">
      <c r="A454" s="11" t="n">
        <v>42580</v>
      </c>
      <c r="B454" s="24" t="n">
        <v>102.6829</v>
      </c>
      <c r="C454" s="24" t="n">
        <v>16569.2695</v>
      </c>
      <c r="D454" s="13">
        <f>100*($B454/$C454)/($B$7/$C$7)</f>
        <v/>
      </c>
      <c r="E454" s="17">
        <f>'JGBCurve'!$E$871</f>
        <v/>
      </c>
    </row>
    <row r="455">
      <c r="A455" s="11" t="n">
        <v>42587</v>
      </c>
      <c r="B455" s="24" t="n">
        <v>99.86969999999999</v>
      </c>
      <c r="C455" s="24" t="n">
        <v>16254.4502</v>
      </c>
      <c r="D455" s="13">
        <f>100*($B455/$C455)/($B$7/$C$7)</f>
        <v/>
      </c>
      <c r="E455" s="17">
        <f>'JGBCurve'!$E$872</f>
        <v/>
      </c>
    </row>
    <row r="456">
      <c r="A456" s="11" t="n">
        <v>42594</v>
      </c>
      <c r="B456" s="24" t="n">
        <v>103.3862</v>
      </c>
      <c r="C456" s="24" t="n">
        <v>16919.9199</v>
      </c>
      <c r="D456" s="13">
        <f>100*($B456/$C456)/($B$7/$C$7)</f>
        <v/>
      </c>
      <c r="E456" s="17">
        <f>'JGBCurve'!$E$873</f>
        <v/>
      </c>
    </row>
    <row r="457">
      <c r="A457" s="11" t="n">
        <v>42601</v>
      </c>
      <c r="B457" s="24" t="n">
        <v>105.4961</v>
      </c>
      <c r="C457" s="24" t="n">
        <v>16545.8203</v>
      </c>
      <c r="D457" s="13">
        <f>100*($B457/$C457)/($B$7/$C$7)</f>
        <v/>
      </c>
      <c r="E457" s="17">
        <f>'JGBCurve'!$E$874</f>
        <v/>
      </c>
    </row>
    <row r="458">
      <c r="A458" s="11" t="n">
        <v>42608</v>
      </c>
      <c r="B458" s="24" t="n">
        <v>103.3862</v>
      </c>
      <c r="C458" s="24" t="n">
        <v>16360.71</v>
      </c>
      <c r="D458" s="13">
        <f>100*($B458/$C458)/($B$7/$C$7)</f>
        <v/>
      </c>
      <c r="E458" s="17">
        <f>'JGBCurve'!$E$875</f>
        <v/>
      </c>
    </row>
    <row r="459">
      <c r="A459" s="11" t="n">
        <v>42615</v>
      </c>
      <c r="B459" s="24" t="n">
        <v>112.5292</v>
      </c>
      <c r="C459" s="24" t="n">
        <v>16925.6797</v>
      </c>
      <c r="D459" s="13">
        <f>100*($B459/$C459)/($B$7/$C$7)</f>
        <v/>
      </c>
      <c r="E459" s="17">
        <f>'JGBCurve'!$E$876</f>
        <v/>
      </c>
    </row>
    <row r="460">
      <c r="A460" s="11" t="n">
        <v>42622</v>
      </c>
      <c r="B460" s="24" t="n">
        <v>109.716</v>
      </c>
      <c r="C460" s="24" t="n">
        <v>16965.7598</v>
      </c>
      <c r="D460" s="13">
        <f>100*($B460/$C460)/($B$7/$C$7)</f>
        <v/>
      </c>
      <c r="E460" s="17">
        <f>'JGBCurve'!$E$877</f>
        <v/>
      </c>
    </row>
    <row r="461">
      <c r="A461" s="11" t="n">
        <v>42629</v>
      </c>
      <c r="B461" s="24" t="n">
        <v>106.1994</v>
      </c>
      <c r="C461" s="24" t="n">
        <v>16519.2891</v>
      </c>
      <c r="D461" s="13">
        <f>100*($B461/$C461)/($B$7/$C$7)</f>
        <v/>
      </c>
      <c r="E461" s="17">
        <f>'JGBCurve'!$E$878</f>
        <v/>
      </c>
    </row>
    <row r="462">
      <c r="A462" s="11" t="n">
        <v>42636</v>
      </c>
      <c r="B462" s="24" t="n">
        <v>113.2325</v>
      </c>
      <c r="C462" s="24" t="n">
        <v>16754.0195</v>
      </c>
      <c r="D462" s="13">
        <f>100*($B462/$C462)/($B$7/$C$7)</f>
        <v/>
      </c>
      <c r="E462" s="17">
        <f>'JGBCurve'!$E$879</f>
        <v/>
      </c>
    </row>
    <row r="463">
      <c r="A463" s="11" t="n">
        <v>42643</v>
      </c>
      <c r="B463" s="24" t="n">
        <v>104.7928</v>
      </c>
      <c r="C463" s="24" t="n">
        <v>16449.8398</v>
      </c>
      <c r="D463" s="13">
        <f>100*($B463/$C463)/($B$7/$C$7)</f>
        <v/>
      </c>
      <c r="E463" s="17">
        <f>'JGBCurve'!$E$880</f>
        <v/>
      </c>
    </row>
    <row r="464">
      <c r="A464" s="11" t="n">
        <v>42650</v>
      </c>
      <c r="B464" s="24" t="n">
        <v>107.6061</v>
      </c>
      <c r="C464" s="24" t="n">
        <v>16860.0898</v>
      </c>
      <c r="D464" s="13">
        <f>100*($B464/$C464)/($B$7/$C$7)</f>
        <v/>
      </c>
      <c r="E464" s="17">
        <f>'JGBCurve'!$E$881</f>
        <v/>
      </c>
    </row>
    <row r="465">
      <c r="A465" s="11" t="n">
        <v>42657</v>
      </c>
      <c r="B465" s="24" t="n">
        <v>105.4961</v>
      </c>
      <c r="C465" s="24" t="n">
        <v>16856.3691</v>
      </c>
      <c r="D465" s="13">
        <f>100*($B465/$C465)/($B$7/$C$7)</f>
        <v/>
      </c>
      <c r="E465" s="17">
        <f>'JGBCurve'!$E$882</f>
        <v/>
      </c>
    </row>
    <row r="466">
      <c r="A466" s="11" t="n">
        <v>42664</v>
      </c>
      <c r="B466" s="24" t="n">
        <v>109.0127</v>
      </c>
      <c r="C466" s="24" t="n">
        <v>17184.5898</v>
      </c>
      <c r="D466" s="13">
        <f>100*($B466/$C466)/($B$7/$C$7)</f>
        <v/>
      </c>
      <c r="E466" s="17">
        <f>'JGBCurve'!$E$883</f>
        <v/>
      </c>
    </row>
    <row r="467">
      <c r="A467" s="11" t="n">
        <v>42671</v>
      </c>
      <c r="B467" s="24" t="n">
        <v>113.2325</v>
      </c>
      <c r="C467" s="24" t="n">
        <v>17446.4102</v>
      </c>
      <c r="D467" s="13">
        <f>100*($B467/$C467)/($B$7/$C$7)</f>
        <v/>
      </c>
      <c r="E467" s="17">
        <f>'JGBCurve'!$E$884</f>
        <v/>
      </c>
    </row>
    <row r="468">
      <c r="A468" s="11" t="n">
        <v>42678</v>
      </c>
      <c r="B468" s="24" t="n">
        <v>108.3093</v>
      </c>
      <c r="C468" s="24" t="n">
        <v>16905.3594</v>
      </c>
      <c r="D468" s="13">
        <f>100*($B468/$C468)/($B$7/$C$7)</f>
        <v/>
      </c>
      <c r="E468" s="17">
        <f>'JGBCurve'!$E$885</f>
        <v/>
      </c>
    </row>
    <row r="469">
      <c r="A469" s="11" t="n">
        <v>42685</v>
      </c>
      <c r="B469" s="24" t="n">
        <v>118.1557</v>
      </c>
      <c r="C469" s="24" t="n">
        <v>17374.7891</v>
      </c>
      <c r="D469" s="13">
        <f>100*($B469/$C469)/($B$7/$C$7)</f>
        <v/>
      </c>
      <c r="E469" s="17">
        <f>'JGBCurve'!$E$886</f>
        <v/>
      </c>
    </row>
    <row r="470">
      <c r="A470" s="11" t="n">
        <v>42692</v>
      </c>
      <c r="B470" s="24" t="n">
        <v>127.2987</v>
      </c>
      <c r="C470" s="24" t="n">
        <v>17967.4102</v>
      </c>
      <c r="D470" s="13">
        <f>100*($B470/$C470)/($B$7/$C$7)</f>
        <v/>
      </c>
      <c r="E470" s="17">
        <f>'JGBCurve'!$E$887</f>
        <v/>
      </c>
    </row>
    <row r="471">
      <c r="A471" s="11" t="n">
        <v>42699</v>
      </c>
      <c r="B471" s="24" t="n">
        <v>127.2987</v>
      </c>
      <c r="C471" s="24" t="n">
        <v>18381.2207</v>
      </c>
      <c r="D471" s="13">
        <f>100*($B471/$C471)/($B$7/$C$7)</f>
        <v/>
      </c>
      <c r="E471" s="17">
        <f>'JGBCurve'!$E$888</f>
        <v/>
      </c>
    </row>
    <row r="472">
      <c r="A472" s="11" t="n">
        <v>42706</v>
      </c>
      <c r="B472" s="24" t="n">
        <v>135.7384</v>
      </c>
      <c r="C472" s="24" t="n">
        <v>18426.0801</v>
      </c>
      <c r="D472" s="13">
        <f>100*($B472/$C472)/($B$7/$C$7)</f>
        <v/>
      </c>
      <c r="E472" s="17">
        <f>'JGBCurve'!$E$889</f>
        <v/>
      </c>
    </row>
    <row r="473">
      <c r="A473" s="11" t="n">
        <v>42713</v>
      </c>
      <c r="B473" s="24" t="n">
        <v>143.4747</v>
      </c>
      <c r="C473" s="24" t="n">
        <v>18996.3691</v>
      </c>
      <c r="D473" s="13">
        <f>100*($B473/$C473)/($B$7/$C$7)</f>
        <v/>
      </c>
      <c r="E473" s="17">
        <f>'JGBCurve'!$E$890</f>
        <v/>
      </c>
    </row>
    <row r="474">
      <c r="A474" s="11" t="n">
        <v>42720</v>
      </c>
      <c r="B474" s="24" t="n">
        <v>145.5847</v>
      </c>
      <c r="C474" s="24" t="n">
        <v>19401.1504</v>
      </c>
      <c r="D474" s="13">
        <f>100*($B474/$C474)/($B$7/$C$7)</f>
        <v/>
      </c>
      <c r="E474" s="17">
        <f>'JGBCurve'!$E$891</f>
        <v/>
      </c>
    </row>
    <row r="475">
      <c r="A475" s="11" t="n">
        <v>42727</v>
      </c>
      <c r="B475" s="24" t="n">
        <v>140.6615</v>
      </c>
      <c r="C475" s="24" t="n">
        <v>19427.6699</v>
      </c>
      <c r="D475" s="13">
        <f>100*($B475/$C475)/($B$7/$C$7)</f>
        <v/>
      </c>
      <c r="E475" s="17">
        <f>'JGBCurve'!$E$892</f>
        <v/>
      </c>
    </row>
    <row r="476">
      <c r="A476" s="11" t="n">
        <v>42734</v>
      </c>
      <c r="B476" s="24" t="n">
        <v>135.7384</v>
      </c>
      <c r="C476" s="24" t="n">
        <v>19114.3691</v>
      </c>
      <c r="D476" s="13">
        <f>100*($B476/$C476)/($B$7/$C$7)</f>
        <v/>
      </c>
      <c r="E476" s="17">
        <f>'JGBCurve'!$E$893</f>
        <v/>
      </c>
    </row>
    <row r="477">
      <c r="A477" s="11" t="n">
        <v>42741</v>
      </c>
      <c r="B477" s="24" t="n">
        <v>139.9582</v>
      </c>
      <c r="C477" s="24" t="n">
        <v>19454.3301</v>
      </c>
      <c r="D477" s="13">
        <f>100*($B477/$C477)/($B$7/$C$7)</f>
        <v/>
      </c>
      <c r="E477" s="17">
        <f>'JGBCurve'!$E$894</f>
        <v/>
      </c>
    </row>
    <row r="478">
      <c r="A478" s="11" t="n">
        <v>42748</v>
      </c>
      <c r="B478" s="24" t="n">
        <v>138.5516</v>
      </c>
      <c r="C478" s="24" t="n">
        <v>19287.2793</v>
      </c>
      <c r="D478" s="13">
        <f>100*($B478/$C478)/($B$7/$C$7)</f>
        <v/>
      </c>
      <c r="E478" s="17">
        <f>'JGBCurve'!$E$895</f>
        <v/>
      </c>
    </row>
    <row r="479">
      <c r="A479" s="11" t="n">
        <v>42755</v>
      </c>
      <c r="B479" s="24" t="n">
        <v>137.8483</v>
      </c>
      <c r="C479" s="24" t="n">
        <v>19137.9102</v>
      </c>
      <c r="D479" s="13">
        <f>100*($B479/$C479)/($B$7/$C$7)</f>
        <v/>
      </c>
      <c r="E479" s="17">
        <f>'JGBCurve'!$E$896</f>
        <v/>
      </c>
    </row>
    <row r="480">
      <c r="A480" s="11" t="n">
        <v>42762</v>
      </c>
      <c r="B480" s="24" t="n">
        <v>140.6615</v>
      </c>
      <c r="C480" s="24" t="n">
        <v>19467.4004</v>
      </c>
      <c r="D480" s="13">
        <f>100*($B480/$C480)/($B$7/$C$7)</f>
        <v/>
      </c>
      <c r="E480" s="17">
        <f>'JGBCurve'!$E$897</f>
        <v/>
      </c>
    </row>
    <row r="481">
      <c r="A481" s="11" t="n">
        <v>42769</v>
      </c>
      <c r="B481" s="24" t="n">
        <v>136.4417</v>
      </c>
      <c r="C481" s="24" t="n">
        <v>18918.1992</v>
      </c>
      <c r="D481" s="13">
        <f>100*($B481/$C481)/($B$7/$C$7)</f>
        <v/>
      </c>
      <c r="E481" s="17">
        <f>'JGBCurve'!$E$898</f>
        <v/>
      </c>
    </row>
    <row r="482">
      <c r="A482" s="11" t="n">
        <v>42776</v>
      </c>
      <c r="B482" s="24" t="n">
        <v>140.6615</v>
      </c>
      <c r="C482" s="24" t="n">
        <v>19378.9297</v>
      </c>
      <c r="D482" s="13">
        <f>100*($B482/$C482)/($B$7/$C$7)</f>
        <v/>
      </c>
      <c r="E482" s="17">
        <f>'JGBCurve'!$E$899</f>
        <v/>
      </c>
    </row>
    <row r="483">
      <c r="A483" s="11" t="n">
        <v>42783</v>
      </c>
      <c r="B483" s="24" t="n">
        <v>140.6615</v>
      </c>
      <c r="C483" s="24" t="n">
        <v>19234.6191</v>
      </c>
      <c r="D483" s="13">
        <f>100*($B483/$C483)/($B$7/$C$7)</f>
        <v/>
      </c>
      <c r="E483" s="17">
        <f>'JGBCurve'!$E$900</f>
        <v/>
      </c>
    </row>
    <row r="484">
      <c r="A484" s="11" t="n">
        <v>42790</v>
      </c>
      <c r="B484" s="24" t="n">
        <v>139.9582</v>
      </c>
      <c r="C484" s="24" t="n">
        <v>19283.5391</v>
      </c>
      <c r="D484" s="13">
        <f>100*($B484/$C484)/($B$7/$C$7)</f>
        <v/>
      </c>
      <c r="E484" s="17">
        <f>'JGBCurve'!$E$901</f>
        <v/>
      </c>
    </row>
    <row r="485">
      <c r="A485" s="11" t="n">
        <v>42797</v>
      </c>
      <c r="B485" s="24" t="n">
        <v>139.9582</v>
      </c>
      <c r="C485" s="24" t="n">
        <v>19469.1699</v>
      </c>
      <c r="D485" s="13">
        <f>100*($B485/$C485)/($B$7/$C$7)</f>
        <v/>
      </c>
      <c r="E485" s="17">
        <f>'JGBCurve'!$E$902</f>
        <v/>
      </c>
    </row>
    <row r="486">
      <c r="A486" s="11" t="n">
        <v>42804</v>
      </c>
      <c r="B486" s="24" t="n">
        <v>140.6615</v>
      </c>
      <c r="C486" s="24" t="n">
        <v>19604.6094</v>
      </c>
      <c r="D486" s="13">
        <f>100*($B486/$C486)/($B$7/$C$7)</f>
        <v/>
      </c>
      <c r="E486" s="17">
        <f>'JGBCurve'!$E$903</f>
        <v/>
      </c>
    </row>
    <row r="487">
      <c r="A487" s="11" t="n">
        <v>42811</v>
      </c>
      <c r="B487" s="24" t="n">
        <v>138.5516</v>
      </c>
      <c r="C487" s="24" t="n">
        <v>19521.5898</v>
      </c>
      <c r="D487" s="13">
        <f>100*($B487/$C487)/($B$7/$C$7)</f>
        <v/>
      </c>
      <c r="E487" s="17">
        <f>'JGBCurve'!$E$904</f>
        <v/>
      </c>
    </row>
    <row r="488">
      <c r="A488" s="11" t="n">
        <v>42818</v>
      </c>
      <c r="B488" s="24" t="n">
        <v>135.035</v>
      </c>
      <c r="C488" s="24" t="n">
        <v>19262.5293</v>
      </c>
      <c r="D488" s="13">
        <f>100*($B488/$C488)/($B$7/$C$7)</f>
        <v/>
      </c>
      <c r="E488" s="17">
        <f>'JGBCurve'!$E$905</f>
        <v/>
      </c>
    </row>
    <row r="489">
      <c r="A489" s="11" t="n">
        <v>42825</v>
      </c>
      <c r="B489" s="24" t="n">
        <v>132.2218</v>
      </c>
      <c r="C489" s="24" t="n">
        <v>18909.2598</v>
      </c>
      <c r="D489" s="13">
        <f>100*($B489/$C489)/($B$7/$C$7)</f>
        <v/>
      </c>
      <c r="E489" s="17">
        <f>'JGBCurve'!$E$906</f>
        <v/>
      </c>
    </row>
    <row r="490">
      <c r="A490" s="11" t="n">
        <v>42832</v>
      </c>
      <c r="B490" s="24" t="n">
        <v>127.2987</v>
      </c>
      <c r="C490" s="24" t="n">
        <v>18664.6309</v>
      </c>
      <c r="D490" s="13">
        <f>100*($B490/$C490)/($B$7/$C$7)</f>
        <v/>
      </c>
      <c r="E490" s="17">
        <f>'JGBCurve'!$E$907</f>
        <v/>
      </c>
    </row>
    <row r="491">
      <c r="A491" s="11" t="n">
        <v>42839</v>
      </c>
      <c r="B491" s="24" t="n">
        <v>125.892</v>
      </c>
      <c r="C491" s="24" t="n">
        <v>18335.6309</v>
      </c>
      <c r="D491" s="13">
        <f>100*($B491/$C491)/($B$7/$C$7)</f>
        <v/>
      </c>
      <c r="E491" s="17">
        <f>'JGBCurve'!$E$908</f>
        <v/>
      </c>
    </row>
    <row r="492">
      <c r="A492" s="11" t="n">
        <v>42846</v>
      </c>
      <c r="B492" s="24" t="n">
        <v>128.7053</v>
      </c>
      <c r="C492" s="24" t="n">
        <v>18620.75</v>
      </c>
      <c r="D492" s="13">
        <f>100*($B492/$C492)/($B$7/$C$7)</f>
        <v/>
      </c>
      <c r="E492" s="17">
        <f>'JGBCurve'!$E$909</f>
        <v/>
      </c>
    </row>
    <row r="493">
      <c r="A493" s="11" t="n">
        <v>42853</v>
      </c>
      <c r="B493" s="24" t="n">
        <v>134.3317</v>
      </c>
      <c r="C493" s="24" t="n">
        <v>19196.7402</v>
      </c>
      <c r="D493" s="13">
        <f>100*($B493/$C493)/($B$7/$C$7)</f>
        <v/>
      </c>
      <c r="E493" s="17">
        <f>'JGBCurve'!$E$910</f>
        <v/>
      </c>
    </row>
    <row r="494">
      <c r="A494" s="11" t="n">
        <v>42860</v>
      </c>
      <c r="B494" s="24" t="n">
        <v>135.035</v>
      </c>
      <c r="C494" s="24" t="n">
        <v>19445.6992</v>
      </c>
      <c r="D494" s="13">
        <f>100*($B494/$C494)/($B$7/$C$7)</f>
        <v/>
      </c>
      <c r="E494" s="17">
        <f>'JGBCurve'!$E$911</f>
        <v/>
      </c>
    </row>
    <row r="495">
      <c r="A495" s="11" t="n">
        <v>42867</v>
      </c>
      <c r="B495" s="24" t="n">
        <v>137.145</v>
      </c>
      <c r="C495" s="24" t="n">
        <v>19883.9004</v>
      </c>
      <c r="D495" s="13">
        <f>100*($B495/$C495)/($B$7/$C$7)</f>
        <v/>
      </c>
      <c r="E495" s="17">
        <f>'JGBCurve'!$E$912</f>
        <v/>
      </c>
    </row>
    <row r="496">
      <c r="A496" s="11" t="n">
        <v>42874</v>
      </c>
      <c r="B496" s="24" t="n">
        <v>131.5185</v>
      </c>
      <c r="C496" s="24" t="n">
        <v>19590.7598</v>
      </c>
      <c r="D496" s="13">
        <f>100*($B496/$C496)/($B$7/$C$7)</f>
        <v/>
      </c>
      <c r="E496" s="17">
        <f>'JGBCurve'!$E$913</f>
        <v/>
      </c>
    </row>
    <row r="497">
      <c r="A497" s="11" t="n">
        <v>42881</v>
      </c>
      <c r="B497" s="24" t="n">
        <v>130.8152</v>
      </c>
      <c r="C497" s="24" t="n">
        <v>19686.8398</v>
      </c>
      <c r="D497" s="13">
        <f>100*($B497/$C497)/($B$7/$C$7)</f>
        <v/>
      </c>
      <c r="E497" s="17">
        <f>'JGBCurve'!$E$914</f>
        <v/>
      </c>
    </row>
    <row r="498">
      <c r="A498" s="11" t="n">
        <v>42888</v>
      </c>
      <c r="B498" s="24" t="n">
        <v>135.035</v>
      </c>
      <c r="C498" s="24" t="n">
        <v>20177.2793</v>
      </c>
      <c r="D498" s="13">
        <f>100*($B498/$C498)/($B$7/$C$7)</f>
        <v/>
      </c>
      <c r="E498" s="17">
        <f>'JGBCurve'!$E$915</f>
        <v/>
      </c>
    </row>
    <row r="499">
      <c r="A499" s="11" t="n">
        <v>42895</v>
      </c>
      <c r="B499" s="24" t="n">
        <v>135.7384</v>
      </c>
      <c r="C499" s="24" t="n">
        <v>20013.2598</v>
      </c>
      <c r="D499" s="13">
        <f>100*($B499/$C499)/($B$7/$C$7)</f>
        <v/>
      </c>
      <c r="E499" s="17">
        <f>'JGBCurve'!$E$916</f>
        <v/>
      </c>
    </row>
    <row r="500">
      <c r="A500" s="11" t="n">
        <v>42902</v>
      </c>
      <c r="B500" s="24" t="n">
        <v>135.7384</v>
      </c>
      <c r="C500" s="24" t="n">
        <v>19943.2598</v>
      </c>
      <c r="D500" s="13">
        <f>100*($B500/$C500)/($B$7/$C$7)</f>
        <v/>
      </c>
      <c r="E500" s="17">
        <f>'JGBCurve'!$E$917</f>
        <v/>
      </c>
    </row>
    <row r="501">
      <c r="A501" s="11" t="n">
        <v>42909</v>
      </c>
      <c r="B501" s="24" t="n">
        <v>135.7384</v>
      </c>
      <c r="C501" s="24" t="n">
        <v>20132.6699</v>
      </c>
      <c r="D501" s="13">
        <f>100*($B501/$C501)/($B$7/$C$7)</f>
        <v/>
      </c>
      <c r="E501" s="17">
        <f>'JGBCurve'!$E$918</f>
        <v/>
      </c>
    </row>
    <row r="502">
      <c r="A502" s="11" t="n">
        <v>42916</v>
      </c>
      <c r="B502" s="24" t="n">
        <v>139.2549</v>
      </c>
      <c r="C502" s="24" t="n">
        <v>20033.4297</v>
      </c>
      <c r="D502" s="13">
        <f>100*($B502/$C502)/($B$7/$C$7)</f>
        <v/>
      </c>
      <c r="E502" s="17">
        <f>'JGBCurve'!$E$919</f>
        <v/>
      </c>
    </row>
    <row r="503">
      <c r="A503" s="11" t="n">
        <v>42923</v>
      </c>
      <c r="B503" s="24" t="n">
        <v>139.2549</v>
      </c>
      <c r="C503" s="24" t="n">
        <v>19929.0898</v>
      </c>
      <c r="D503" s="13">
        <f>100*($B503/$C503)/($B$7/$C$7)</f>
        <v/>
      </c>
      <c r="E503" s="17">
        <f>'JGBCurve'!$E$920</f>
        <v/>
      </c>
    </row>
    <row r="504">
      <c r="A504" s="11" t="n">
        <v>42930</v>
      </c>
      <c r="B504" s="24" t="n">
        <v>136.7517</v>
      </c>
      <c r="C504" s="24" t="n">
        <v>20118.8594</v>
      </c>
      <c r="D504" s="13">
        <f>100*($B504/$C504)/($B$7/$C$7)</f>
        <v/>
      </c>
      <c r="E504" s="17">
        <f>'JGBCurve'!$E$921</f>
        <v/>
      </c>
    </row>
    <row r="505">
      <c r="A505" s="11" t="n">
        <v>42937</v>
      </c>
      <c r="B505" s="24" t="n">
        <v>135.3198</v>
      </c>
      <c r="C505" s="24" t="n">
        <v>20099.75</v>
      </c>
      <c r="D505" s="13">
        <f>100*($B505/$C505)/($B$7/$C$7)</f>
        <v/>
      </c>
      <c r="E505" s="17">
        <f>'JGBCurve'!$E$922</f>
        <v/>
      </c>
    </row>
    <row r="506">
      <c r="A506" s="11" t="n">
        <v>42944</v>
      </c>
      <c r="B506" s="24" t="n">
        <v>133.1719</v>
      </c>
      <c r="C506" s="24" t="n">
        <v>19959.8398</v>
      </c>
      <c r="D506" s="13">
        <f>100*($B506/$C506)/($B$7/$C$7)</f>
        <v/>
      </c>
      <c r="E506" s="17">
        <f>'JGBCurve'!$E$923</f>
        <v/>
      </c>
    </row>
    <row r="507">
      <c r="A507" s="11" t="n">
        <v>42951</v>
      </c>
      <c r="B507" s="24" t="n">
        <v>134.6038</v>
      </c>
      <c r="C507" s="24" t="n">
        <v>19952.3301</v>
      </c>
      <c r="D507" s="13">
        <f>100*($B507/$C507)/($B$7/$C$7)</f>
        <v/>
      </c>
      <c r="E507" s="17">
        <f>'JGBCurve'!$E$924</f>
        <v/>
      </c>
    </row>
    <row r="508">
      <c r="A508" s="11" t="n">
        <v>42958</v>
      </c>
      <c r="B508" s="24" t="n">
        <v>132.4559</v>
      </c>
      <c r="C508" s="24" t="n">
        <v>19729.7402</v>
      </c>
      <c r="D508" s="13">
        <f>100*($B508/$C508)/($B$7/$C$7)</f>
        <v/>
      </c>
      <c r="E508" s="17">
        <f>'JGBCurve'!$E$925</f>
        <v/>
      </c>
    </row>
    <row r="509">
      <c r="A509" s="11" t="n">
        <v>42965</v>
      </c>
      <c r="B509" s="24" t="n">
        <v>129.592</v>
      </c>
      <c r="C509" s="24" t="n">
        <v>19470.4102</v>
      </c>
      <c r="D509" s="13">
        <f>100*($B509/$C509)/($B$7/$C$7)</f>
        <v/>
      </c>
      <c r="E509" s="17">
        <f>'JGBCurve'!$E$926</f>
        <v/>
      </c>
    </row>
    <row r="510">
      <c r="A510" s="11" t="n">
        <v>42972</v>
      </c>
      <c r="B510" s="24" t="n">
        <v>128.16</v>
      </c>
      <c r="C510" s="24" t="n">
        <v>19452.6094</v>
      </c>
      <c r="D510" s="13">
        <f>100*($B510/$C510)/($B$7/$C$7)</f>
        <v/>
      </c>
      <c r="E510" s="17">
        <f>'JGBCurve'!$E$927</f>
        <v/>
      </c>
    </row>
    <row r="511">
      <c r="A511" s="11" t="n">
        <v>42979</v>
      </c>
      <c r="B511" s="24" t="n">
        <v>128.876</v>
      </c>
      <c r="C511" s="24" t="n">
        <v>19691.4707</v>
      </c>
      <c r="D511" s="13">
        <f>100*($B511/$C511)/($B$7/$C$7)</f>
        <v/>
      </c>
      <c r="E511" s="17">
        <f>'JGBCurve'!$E$928</f>
        <v/>
      </c>
    </row>
    <row r="512">
      <c r="A512" s="11" t="n">
        <v>42986</v>
      </c>
      <c r="B512" s="24" t="n">
        <v>125.2961</v>
      </c>
      <c r="C512" s="24" t="n">
        <v>19274.8203</v>
      </c>
      <c r="D512" s="13">
        <f>100*($B512/$C512)/($B$7/$C$7)</f>
        <v/>
      </c>
      <c r="E512" s="17">
        <f>'JGBCurve'!$E$929</f>
        <v/>
      </c>
    </row>
    <row r="513">
      <c r="A513" s="11" t="n">
        <v>42993</v>
      </c>
      <c r="B513" s="24" t="n">
        <v>130.3079</v>
      </c>
      <c r="C513" s="24" t="n">
        <v>19909.5</v>
      </c>
      <c r="D513" s="13">
        <f>100*($B513/$C513)/($B$7/$C$7)</f>
        <v/>
      </c>
      <c r="E513" s="17">
        <f>'JGBCurve'!$E$930</f>
        <v/>
      </c>
    </row>
    <row r="514">
      <c r="A514" s="11" t="n">
        <v>43000</v>
      </c>
      <c r="B514" s="24" t="n">
        <v>135.3198</v>
      </c>
      <c r="C514" s="24" t="n">
        <v>20296.4492</v>
      </c>
      <c r="D514" s="13">
        <f>100*($B514/$C514)/($B$7/$C$7)</f>
        <v/>
      </c>
      <c r="E514" s="17">
        <f>'JGBCurve'!$E$931</f>
        <v/>
      </c>
    </row>
    <row r="515">
      <c r="A515" s="11" t="n">
        <v>43007</v>
      </c>
      <c r="B515" s="24" t="n">
        <v>138.1837</v>
      </c>
      <c r="C515" s="24" t="n">
        <v>20356.2793</v>
      </c>
      <c r="D515" s="13">
        <f>100*($B515/$C515)/($B$7/$C$7)</f>
        <v/>
      </c>
      <c r="E515" s="17">
        <f>'JGBCurve'!$E$932</f>
        <v/>
      </c>
    </row>
    <row r="516">
      <c r="A516" s="11" t="n">
        <v>43014</v>
      </c>
      <c r="B516" s="24" t="n">
        <v>139.6156</v>
      </c>
      <c r="C516" s="24" t="n">
        <v>20690.7109</v>
      </c>
      <c r="D516" s="13">
        <f>100*($B516/$C516)/($B$7/$C$7)</f>
        <v/>
      </c>
      <c r="E516" s="17">
        <f>'JGBCurve'!$E$933</f>
        <v/>
      </c>
    </row>
    <row r="517">
      <c r="A517" s="11" t="n">
        <v>43021</v>
      </c>
      <c r="B517" s="24" t="n">
        <v>138.1837</v>
      </c>
      <c r="C517" s="24" t="n">
        <v>21155.1797</v>
      </c>
      <c r="D517" s="13">
        <f>100*($B517/$C517)/($B$7/$C$7)</f>
        <v/>
      </c>
      <c r="E517" s="17">
        <f>'JGBCurve'!$E$934</f>
        <v/>
      </c>
    </row>
    <row r="518">
      <c r="A518" s="11" t="n">
        <v>43028</v>
      </c>
      <c r="B518" s="24" t="n">
        <v>140.3316</v>
      </c>
      <c r="C518" s="24" t="n">
        <v>21457.6406</v>
      </c>
      <c r="D518" s="13">
        <f>100*($B518/$C518)/($B$7/$C$7)</f>
        <v/>
      </c>
      <c r="E518" s="17">
        <f>'JGBCurve'!$E$935</f>
        <v/>
      </c>
    </row>
    <row r="519">
      <c r="A519" s="11" t="n">
        <v>43035</v>
      </c>
      <c r="B519" s="24" t="n">
        <v>148.9234</v>
      </c>
      <c r="C519" s="24" t="n">
        <v>22008.4492</v>
      </c>
      <c r="D519" s="13">
        <f>100*($B519/$C519)/($B$7/$C$7)</f>
        <v/>
      </c>
      <c r="E519" s="17">
        <f>'JGBCurve'!$E$936</f>
        <v/>
      </c>
    </row>
    <row r="520">
      <c r="A520" s="11" t="n">
        <v>43042</v>
      </c>
      <c r="B520" s="24" t="n">
        <v>146.0594</v>
      </c>
      <c r="C520" s="24" t="n">
        <v>22539.1191</v>
      </c>
      <c r="D520" s="13">
        <f>100*($B520/$C520)/($B$7/$C$7)</f>
        <v/>
      </c>
      <c r="E520" s="17">
        <f>'JGBCurve'!$E$937</f>
        <v/>
      </c>
    </row>
    <row r="521">
      <c r="A521" s="11" t="n">
        <v>43049</v>
      </c>
      <c r="B521" s="24" t="n">
        <v>141.7636</v>
      </c>
      <c r="C521" s="24" t="n">
        <v>22681.4199</v>
      </c>
      <c r="D521" s="13">
        <f>100*($B521/$C521)/($B$7/$C$7)</f>
        <v/>
      </c>
      <c r="E521" s="17">
        <f>'JGBCurve'!$E$938</f>
        <v/>
      </c>
    </row>
    <row r="522">
      <c r="A522" s="11" t="n">
        <v>43056</v>
      </c>
      <c r="B522" s="24" t="n">
        <v>138.8997</v>
      </c>
      <c r="C522" s="24" t="n">
        <v>22396.8008</v>
      </c>
      <c r="D522" s="13">
        <f>100*($B522/$C522)/($B$7/$C$7)</f>
        <v/>
      </c>
      <c r="E522" s="17">
        <f>'JGBCurve'!$E$939</f>
        <v/>
      </c>
    </row>
    <row r="523">
      <c r="A523" s="11" t="n">
        <v>43063</v>
      </c>
      <c r="B523" s="24" t="n">
        <v>140.3316</v>
      </c>
      <c r="C523" s="24" t="n">
        <v>22550.8496</v>
      </c>
      <c r="D523" s="13">
        <f>100*($B523/$C523)/($B$7/$C$7)</f>
        <v/>
      </c>
      <c r="E523" s="17">
        <f>'JGBCurve'!$E$940</f>
        <v/>
      </c>
    </row>
    <row r="524">
      <c r="A524" s="11" t="n">
        <v>43070</v>
      </c>
      <c r="B524" s="24" t="n">
        <v>145.3435</v>
      </c>
      <c r="C524" s="24" t="n">
        <v>22819.0293</v>
      </c>
      <c r="D524" s="13">
        <f>100*($B524/$C524)/($B$7/$C$7)</f>
        <v/>
      </c>
      <c r="E524" s="17">
        <f>'JGBCurve'!$E$941</f>
        <v/>
      </c>
    </row>
    <row r="525">
      <c r="A525" s="11" t="n">
        <v>43077</v>
      </c>
      <c r="B525" s="24" t="n">
        <v>143.9115</v>
      </c>
      <c r="C525" s="24" t="n">
        <v>22811.0801</v>
      </c>
      <c r="D525" s="13">
        <f>100*($B525/$C525)/($B$7/$C$7)</f>
        <v/>
      </c>
      <c r="E525" s="17">
        <f>'JGBCurve'!$E$942</f>
        <v/>
      </c>
    </row>
    <row r="526">
      <c r="A526" s="11" t="n">
        <v>43084</v>
      </c>
      <c r="B526" s="24" t="n">
        <v>146.7754</v>
      </c>
      <c r="C526" s="24" t="n">
        <v>22553.2207</v>
      </c>
      <c r="D526" s="13">
        <f>100*($B526/$C526)/($B$7/$C$7)</f>
        <v/>
      </c>
      <c r="E526" s="17">
        <f>'JGBCurve'!$E$943</f>
        <v/>
      </c>
    </row>
    <row r="527">
      <c r="A527" s="11" t="n">
        <v>43091</v>
      </c>
      <c r="B527" s="24" t="n">
        <v>152.5033</v>
      </c>
      <c r="C527" s="24" t="n">
        <v>22902.7598</v>
      </c>
      <c r="D527" s="13">
        <f>100*($B527/$C527)/($B$7/$C$7)</f>
        <v/>
      </c>
      <c r="E527" s="17">
        <f>'JGBCurve'!$E$944</f>
        <v/>
      </c>
    </row>
    <row r="528">
      <c r="A528" s="11" t="n">
        <v>43098</v>
      </c>
      <c r="B528" s="24" t="n">
        <v>151.0713</v>
      </c>
      <c r="C528" s="24" t="n">
        <v>22764.9395</v>
      </c>
      <c r="D528" s="13">
        <f>100*($B528/$C528)/($B$7/$C$7)</f>
        <v/>
      </c>
      <c r="E528" s="17">
        <f>'JGBCurve'!$E$945</f>
        <v/>
      </c>
    </row>
    <row r="529">
      <c r="A529" s="11" t="n">
        <v>43105</v>
      </c>
      <c r="B529" s="24" t="n">
        <v>157.5151</v>
      </c>
      <c r="C529" s="24" t="n">
        <v>23714.5293</v>
      </c>
      <c r="D529" s="13">
        <f>100*($B529/$C529)/($B$7/$C$7)</f>
        <v/>
      </c>
      <c r="E529" s="17">
        <f>'JGBCurve'!$E$946</f>
        <v/>
      </c>
    </row>
    <row r="530">
      <c r="A530" s="11" t="n">
        <v>43112</v>
      </c>
      <c r="B530" s="24" t="n">
        <v>158.9471</v>
      </c>
      <c r="C530" s="24" t="n">
        <v>23653.8203</v>
      </c>
      <c r="D530" s="13">
        <f>100*($B530/$C530)/($B$7/$C$7)</f>
        <v/>
      </c>
      <c r="E530" s="17">
        <f>'JGBCurve'!$E$947</f>
        <v/>
      </c>
    </row>
    <row r="531">
      <c r="A531" s="11" t="n">
        <v>43119</v>
      </c>
      <c r="B531" s="24" t="n">
        <v>158.9471</v>
      </c>
      <c r="C531" s="24" t="n">
        <v>23808.0605</v>
      </c>
      <c r="D531" s="13">
        <f>100*($B531/$C531)/($B$7/$C$7)</f>
        <v/>
      </c>
      <c r="E531" s="17">
        <f>'JGBCurve'!$E$948</f>
        <v/>
      </c>
    </row>
    <row r="532">
      <c r="A532" s="11" t="n">
        <v>43126</v>
      </c>
      <c r="B532" s="24" t="n">
        <v>153.9352</v>
      </c>
      <c r="C532" s="24" t="n">
        <v>23631.8809</v>
      </c>
      <c r="D532" s="13">
        <f>100*($B532/$C532)/($B$7/$C$7)</f>
        <v/>
      </c>
      <c r="E532" s="17">
        <f>'JGBCurve'!$E$949</f>
        <v/>
      </c>
    </row>
    <row r="533">
      <c r="A533" s="11" t="n">
        <v>43133</v>
      </c>
      <c r="B533" s="24" t="n">
        <v>154.6512</v>
      </c>
      <c r="C533" s="24" t="n">
        <v>23274.5293</v>
      </c>
      <c r="D533" s="13">
        <f>100*($B533/$C533)/($B$7/$C$7)</f>
        <v/>
      </c>
      <c r="E533" s="17">
        <f>'JGBCurve'!$E$950</f>
        <v/>
      </c>
    </row>
    <row r="534">
      <c r="A534" s="11" t="n">
        <v>43140</v>
      </c>
      <c r="B534" s="24" t="n">
        <v>143.9115</v>
      </c>
      <c r="C534" s="24" t="n">
        <v>21382.6191</v>
      </c>
      <c r="D534" s="13">
        <f>100*($B534/$C534)/($B$7/$C$7)</f>
        <v/>
      </c>
      <c r="E534" s="17">
        <f>'JGBCurve'!$E$951</f>
        <v/>
      </c>
    </row>
    <row r="535">
      <c r="A535" s="11" t="n">
        <v>43147</v>
      </c>
      <c r="B535" s="24" t="n">
        <v>143.9115</v>
      </c>
      <c r="C535" s="24" t="n">
        <v>21720.25</v>
      </c>
      <c r="D535" s="13">
        <f>100*($B535/$C535)/($B$7/$C$7)</f>
        <v/>
      </c>
      <c r="E535" s="17">
        <f>'JGBCurve'!$E$952</f>
        <v/>
      </c>
    </row>
    <row r="536">
      <c r="A536" s="11" t="n">
        <v>43154</v>
      </c>
      <c r="B536" s="24" t="n">
        <v>142.4796</v>
      </c>
      <c r="C536" s="24" t="n">
        <v>21892.7793</v>
      </c>
      <c r="D536" s="13">
        <f>100*($B536/$C536)/($B$7/$C$7)</f>
        <v/>
      </c>
      <c r="E536" s="17">
        <f>'JGBCurve'!$E$953</f>
        <v/>
      </c>
    </row>
    <row r="537">
      <c r="A537" s="11" t="n">
        <v>43161</v>
      </c>
      <c r="B537" s="24" t="n">
        <v>137.4677</v>
      </c>
      <c r="C537" s="24" t="n">
        <v>21181.6406</v>
      </c>
      <c r="D537" s="13">
        <f>100*($B537/$C537)/($B$7/$C$7)</f>
        <v/>
      </c>
      <c r="E537" s="17">
        <f>'JGBCurve'!$E$954</f>
        <v/>
      </c>
    </row>
    <row r="538">
      <c r="A538" s="11" t="n">
        <v>43168</v>
      </c>
      <c r="B538" s="24" t="n">
        <v>136.0358</v>
      </c>
      <c r="C538" s="24" t="n">
        <v>21469.1992</v>
      </c>
      <c r="D538" s="13">
        <f>100*($B538/$C538)/($B$7/$C$7)</f>
        <v/>
      </c>
      <c r="E538" s="17">
        <f>'JGBCurve'!$E$955</f>
        <v/>
      </c>
    </row>
    <row r="539">
      <c r="A539" s="11" t="n">
        <v>43175</v>
      </c>
      <c r="B539" s="24" t="n">
        <v>136.7517</v>
      </c>
      <c r="C539" s="24" t="n">
        <v>21676.5098</v>
      </c>
      <c r="D539" s="13">
        <f>100*($B539/$C539)/($B$7/$C$7)</f>
        <v/>
      </c>
      <c r="E539" s="17">
        <f>'JGBCurve'!$E$956</f>
        <v/>
      </c>
    </row>
    <row r="540">
      <c r="A540" s="11" t="n">
        <v>43182</v>
      </c>
      <c r="B540" s="24" t="n">
        <v>131.7399</v>
      </c>
      <c r="C540" s="24" t="n">
        <v>20617.8594</v>
      </c>
      <c r="D540" s="13">
        <f>100*($B540/$C540)/($B$7/$C$7)</f>
        <v/>
      </c>
      <c r="E540" s="17">
        <f>'JGBCurve'!$E$957</f>
        <v/>
      </c>
    </row>
    <row r="541">
      <c r="A541" s="11" t="n">
        <v>43189</v>
      </c>
      <c r="B541" s="24" t="n">
        <v>136.0358</v>
      </c>
      <c r="C541" s="24" t="n">
        <v>21454.3008</v>
      </c>
      <c r="D541" s="13">
        <f>100*($B541/$C541)/($B$7/$C$7)</f>
        <v/>
      </c>
      <c r="E541" s="17">
        <f>'JGBCurve'!$E$958</f>
        <v/>
      </c>
    </row>
    <row r="542">
      <c r="A542" s="11" t="n">
        <v>43196</v>
      </c>
      <c r="B542" s="24" t="n">
        <v>136.0358</v>
      </c>
      <c r="C542" s="24" t="n">
        <v>21567.5195</v>
      </c>
      <c r="D542" s="13">
        <f>100*($B542/$C542)/($B$7/$C$7)</f>
        <v/>
      </c>
      <c r="E542" s="17">
        <f>'JGBCurve'!$E$959</f>
        <v/>
      </c>
    </row>
    <row r="543">
      <c r="A543" s="11" t="n">
        <v>43203</v>
      </c>
      <c r="B543" s="24" t="n">
        <v>139.6156</v>
      </c>
      <c r="C543" s="24" t="n">
        <v>21778.7402</v>
      </c>
      <c r="D543" s="13">
        <f>100*($B543/$C543)/($B$7/$C$7)</f>
        <v/>
      </c>
      <c r="E543" s="17">
        <f>'JGBCurve'!$E$960</f>
        <v/>
      </c>
    </row>
    <row r="544">
      <c r="A544" s="11" t="n">
        <v>43210</v>
      </c>
      <c r="B544" s="24" t="n">
        <v>138.8997</v>
      </c>
      <c r="C544" s="24" t="n">
        <v>22162.2402</v>
      </c>
      <c r="D544" s="13">
        <f>100*($B544/$C544)/($B$7/$C$7)</f>
        <v/>
      </c>
      <c r="E544" s="17">
        <f>'JGBCurve'!$E$961</f>
        <v/>
      </c>
    </row>
    <row r="545">
      <c r="A545" s="11" t="n">
        <v>43217</v>
      </c>
      <c r="B545" s="24" t="n">
        <v>142.4796</v>
      </c>
      <c r="C545" s="24" t="n">
        <v>22467.8691</v>
      </c>
      <c r="D545" s="13">
        <f>100*($B545/$C545)/($B$7/$C$7)</f>
        <v/>
      </c>
      <c r="E545" s="17">
        <f>'JGBCurve'!$E$962</f>
        <v/>
      </c>
    </row>
    <row r="546">
      <c r="A546" s="11" t="n">
        <v>43224</v>
      </c>
      <c r="B546" s="24" t="n">
        <v>139.6156</v>
      </c>
      <c r="C546" s="24" t="n">
        <v>22472.7793</v>
      </c>
      <c r="D546" s="13">
        <f>100*($B546/$C546)/($B$7/$C$7)</f>
        <v/>
      </c>
      <c r="E546" s="17">
        <f>'JGBCurve'!$E$963</f>
        <v/>
      </c>
    </row>
    <row r="547">
      <c r="A547" s="11" t="n">
        <v>43231</v>
      </c>
      <c r="B547" s="24" t="n">
        <v>142.4796</v>
      </c>
      <c r="C547" s="24" t="n">
        <v>22758.4805</v>
      </c>
      <c r="D547" s="13">
        <f>100*($B547/$C547)/($B$7/$C$7)</f>
        <v/>
      </c>
      <c r="E547" s="17">
        <f>'JGBCurve'!$E$964</f>
        <v/>
      </c>
    </row>
    <row r="548">
      <c r="A548" s="11" t="n">
        <v>43238</v>
      </c>
      <c r="B548" s="24" t="n">
        <v>143.9115</v>
      </c>
      <c r="C548" s="24" t="n">
        <v>22930.3594</v>
      </c>
      <c r="D548" s="13">
        <f>100*($B548/$C548)/($B$7/$C$7)</f>
        <v/>
      </c>
      <c r="E548" s="17">
        <f>'JGBCurve'!$E$965</f>
        <v/>
      </c>
    </row>
    <row r="549">
      <c r="A549" s="11" t="n">
        <v>43245</v>
      </c>
      <c r="B549" s="24" t="n">
        <v>138.1837</v>
      </c>
      <c r="C549" s="24" t="n">
        <v>22450.7891</v>
      </c>
      <c r="D549" s="13">
        <f>100*($B549/$C549)/($B$7/$C$7)</f>
        <v/>
      </c>
      <c r="E549" s="17">
        <f>'JGBCurve'!$E$966</f>
        <v/>
      </c>
    </row>
    <row r="550">
      <c r="A550" s="11" t="n">
        <v>43252</v>
      </c>
      <c r="B550" s="24" t="n">
        <v>135.3198</v>
      </c>
      <c r="C550" s="24" t="n">
        <v>22171.3496</v>
      </c>
      <c r="D550" s="13">
        <f>100*($B550/$C550)/($B$7/$C$7)</f>
        <v/>
      </c>
      <c r="E550" s="17">
        <f>'JGBCurve'!$E$967</f>
        <v/>
      </c>
    </row>
    <row r="551">
      <c r="A551" s="11" t="n">
        <v>43259</v>
      </c>
      <c r="B551" s="24" t="n">
        <v>137.4677</v>
      </c>
      <c r="C551" s="24" t="n">
        <v>22694.5</v>
      </c>
      <c r="D551" s="13">
        <f>100*($B551/$C551)/($B$7/$C$7)</f>
        <v/>
      </c>
      <c r="E551" s="17">
        <f>'JGBCurve'!$E$968</f>
        <v/>
      </c>
    </row>
    <row r="552">
      <c r="A552" s="11" t="n">
        <v>43266</v>
      </c>
      <c r="B552" s="24" t="n">
        <v>136.7517</v>
      </c>
      <c r="C552" s="24" t="n">
        <v>22851.75</v>
      </c>
      <c r="D552" s="13">
        <f>100*($B552/$C552)/($B$7/$C$7)</f>
        <v/>
      </c>
      <c r="E552" s="17">
        <f>'JGBCurve'!$E$969</f>
        <v/>
      </c>
    </row>
    <row r="553">
      <c r="A553" s="11" t="n">
        <v>43273</v>
      </c>
      <c r="B553" s="24" t="n">
        <v>128.876</v>
      </c>
      <c r="C553" s="24" t="n">
        <v>22516.8301</v>
      </c>
      <c r="D553" s="13">
        <f>100*($B553/$C553)/($B$7/$C$7)</f>
        <v/>
      </c>
      <c r="E553" s="17">
        <f>'JGBCurve'!$E$970</f>
        <v/>
      </c>
    </row>
    <row r="554">
      <c r="A554" s="11" t="n">
        <v>43280</v>
      </c>
      <c r="B554" s="24" t="n">
        <v>129.592</v>
      </c>
      <c r="C554" s="24" t="n">
        <v>22304.5098</v>
      </c>
      <c r="D554" s="13">
        <f>100*($B554/$C554)/($B$7/$C$7)</f>
        <v/>
      </c>
      <c r="E554" s="17">
        <f>'JGBCurve'!$E$971</f>
        <v/>
      </c>
    </row>
    <row r="555">
      <c r="A555" s="11" t="n">
        <v>43287</v>
      </c>
      <c r="B555" s="24" t="n">
        <v>126.728</v>
      </c>
      <c r="C555" s="24" t="n">
        <v>21788.1406</v>
      </c>
      <c r="D555" s="13">
        <f>100*($B555/$C555)/($B$7/$C$7)</f>
        <v/>
      </c>
      <c r="E555" s="17">
        <f>'JGBCurve'!$E$972</f>
        <v/>
      </c>
    </row>
    <row r="556">
      <c r="A556" s="11" t="n">
        <v>43294</v>
      </c>
      <c r="B556" s="24" t="n">
        <v>129.4317</v>
      </c>
      <c r="C556" s="24" t="n">
        <v>22597.3496</v>
      </c>
      <c r="D556" s="13">
        <f>100*($B556/$C556)/($B$7/$C$7)</f>
        <v/>
      </c>
      <c r="E556" s="17">
        <f>'JGBCurve'!$E$973</f>
        <v/>
      </c>
    </row>
    <row r="557">
      <c r="A557" s="11" t="n">
        <v>43301</v>
      </c>
      <c r="B557" s="24" t="n">
        <v>132.3734</v>
      </c>
      <c r="C557" s="24" t="n">
        <v>22697.8809</v>
      </c>
      <c r="D557" s="13">
        <f>100*($B557/$C557)/($B$7/$C$7)</f>
        <v/>
      </c>
      <c r="E557" s="17">
        <f>'JGBCurve'!$E$974</f>
        <v/>
      </c>
    </row>
    <row r="558">
      <c r="A558" s="11" t="n">
        <v>43308</v>
      </c>
      <c r="B558" s="24" t="n">
        <v>138.992</v>
      </c>
      <c r="C558" s="24" t="n">
        <v>22712.75</v>
      </c>
      <c r="D558" s="13">
        <f>100*($B558/$C558)/($B$7/$C$7)</f>
        <v/>
      </c>
      <c r="E558" s="17">
        <f>'JGBCurve'!$E$975</f>
        <v/>
      </c>
    </row>
    <row r="559">
      <c r="A559" s="11" t="n">
        <v>43315</v>
      </c>
      <c r="B559" s="24" t="n">
        <v>138.2566</v>
      </c>
      <c r="C559" s="24" t="n">
        <v>22525.1797</v>
      </c>
      <c r="D559" s="13">
        <f>100*($B559/$C559)/($B$7/$C$7)</f>
        <v/>
      </c>
      <c r="E559" s="17">
        <f>'JGBCurve'!$E$976</f>
        <v/>
      </c>
    </row>
    <row r="560">
      <c r="A560" s="11" t="n">
        <v>43322</v>
      </c>
      <c r="B560" s="24" t="n">
        <v>133.8442</v>
      </c>
      <c r="C560" s="24" t="n">
        <v>22298.0801</v>
      </c>
      <c r="D560" s="13">
        <f>100*($B560/$C560)/($B$7/$C$7)</f>
        <v/>
      </c>
      <c r="E560" s="17">
        <f>'JGBCurve'!$E$977</f>
        <v/>
      </c>
    </row>
    <row r="561">
      <c r="A561" s="11" t="n">
        <v>43329</v>
      </c>
      <c r="B561" s="24" t="n">
        <v>133.1088</v>
      </c>
      <c r="C561" s="24" t="n">
        <v>22270.3809</v>
      </c>
      <c r="D561" s="13">
        <f>100*($B561/$C561)/($B$7/$C$7)</f>
        <v/>
      </c>
      <c r="E561" s="17">
        <f>'JGBCurve'!$E$978</f>
        <v/>
      </c>
    </row>
    <row r="562">
      <c r="A562" s="11" t="n">
        <v>43336</v>
      </c>
      <c r="B562" s="24" t="n">
        <v>132.3734</v>
      </c>
      <c r="C562" s="24" t="n">
        <v>22601.7695</v>
      </c>
      <c r="D562" s="13">
        <f>100*($B562/$C562)/($B$7/$C$7)</f>
        <v/>
      </c>
      <c r="E562" s="17">
        <f>'JGBCurve'!$E$979</f>
        <v/>
      </c>
    </row>
    <row r="563">
      <c r="A563" s="11" t="n">
        <v>43343</v>
      </c>
      <c r="B563" s="24" t="n">
        <v>133.1088</v>
      </c>
      <c r="C563" s="24" t="n">
        <v>22865.1504</v>
      </c>
      <c r="D563" s="13">
        <f>100*($B563/$C563)/($B$7/$C$7)</f>
        <v/>
      </c>
      <c r="E563" s="17">
        <f>'JGBCurve'!$E$980</f>
        <v/>
      </c>
    </row>
    <row r="564">
      <c r="A564" s="11" t="n">
        <v>43350</v>
      </c>
      <c r="B564" s="24" t="n">
        <v>130.9025</v>
      </c>
      <c r="C564" s="24" t="n">
        <v>22307.0605</v>
      </c>
      <c r="D564" s="13">
        <f>100*($B564/$C564)/($B$7/$C$7)</f>
        <v/>
      </c>
      <c r="E564" s="17">
        <f>'JGBCurve'!$E$981</f>
        <v/>
      </c>
    </row>
    <row r="565">
      <c r="A565" s="11" t="n">
        <v>43357</v>
      </c>
      <c r="B565" s="24" t="n">
        <v>133.1088</v>
      </c>
      <c r="C565" s="24" t="n">
        <v>23094.6699</v>
      </c>
      <c r="D565" s="13">
        <f>100*($B565/$C565)/($B$7/$C$7)</f>
        <v/>
      </c>
      <c r="E565" s="17">
        <f>'JGBCurve'!$E$982</f>
        <v/>
      </c>
    </row>
    <row r="566">
      <c r="A566" s="11" t="n">
        <v>43364</v>
      </c>
      <c r="B566" s="24" t="n">
        <v>141.1982</v>
      </c>
      <c r="C566" s="24" t="n">
        <v>23869.9297</v>
      </c>
      <c r="D566" s="13">
        <f>100*($B566/$C566)/($B$7/$C$7)</f>
        <v/>
      </c>
      <c r="E566" s="17">
        <f>'JGBCurve'!$E$983</f>
        <v/>
      </c>
    </row>
    <row r="567">
      <c r="A567" s="11" t="n">
        <v>43371</v>
      </c>
      <c r="B567" s="24" t="n">
        <v>140.4628</v>
      </c>
      <c r="C567" s="24" t="n">
        <v>24120.0391</v>
      </c>
      <c r="D567" s="13">
        <f>100*($B567/$C567)/($B$7/$C$7)</f>
        <v/>
      </c>
      <c r="E567" s="17">
        <f>'JGBCurve'!$E$984</f>
        <v/>
      </c>
    </row>
    <row r="568">
      <c r="A568" s="11" t="n">
        <v>43378</v>
      </c>
      <c r="B568" s="24" t="n">
        <v>142.6691</v>
      </c>
      <c r="C568" s="24" t="n">
        <v>23783.7207</v>
      </c>
      <c r="D568" s="13">
        <f>100*($B568/$C568)/($B$7/$C$7)</f>
        <v/>
      </c>
      <c r="E568" s="17">
        <f>'JGBCurve'!$E$985</f>
        <v/>
      </c>
    </row>
    <row r="569">
      <c r="A569" s="11" t="n">
        <v>43385</v>
      </c>
      <c r="B569" s="24" t="n">
        <v>136.0504</v>
      </c>
      <c r="C569" s="24" t="n">
        <v>22694.6602</v>
      </c>
      <c r="D569" s="13">
        <f>100*($B569/$C569)/($B$7/$C$7)</f>
        <v/>
      </c>
      <c r="E569" s="17">
        <f>'JGBCurve'!$E$986</f>
        <v/>
      </c>
    </row>
    <row r="570">
      <c r="A570" s="11" t="n">
        <v>43392</v>
      </c>
      <c r="B570" s="24" t="n">
        <v>135.315</v>
      </c>
      <c r="C570" s="24" t="n">
        <v>22532.0801</v>
      </c>
      <c r="D570" s="13">
        <f>100*($B570/$C570)/($B$7/$C$7)</f>
        <v/>
      </c>
      <c r="E570" s="17">
        <f>'JGBCurve'!$E$987</f>
        <v/>
      </c>
    </row>
    <row r="571">
      <c r="A571" s="11" t="n">
        <v>43399</v>
      </c>
      <c r="B571" s="24" t="n">
        <v>129.4317</v>
      </c>
      <c r="C571" s="24" t="n">
        <v>21184.5996</v>
      </c>
      <c r="D571" s="13">
        <f>100*($B571/$C571)/($B$7/$C$7)</f>
        <v/>
      </c>
      <c r="E571" s="17">
        <f>'JGBCurve'!$E$988</f>
        <v/>
      </c>
    </row>
    <row r="572">
      <c r="A572" s="11" t="n">
        <v>43406</v>
      </c>
      <c r="B572" s="24" t="n">
        <v>134.5796</v>
      </c>
      <c r="C572" s="24" t="n">
        <v>22243.6602</v>
      </c>
      <c r="D572" s="13">
        <f>100*($B572/$C572)/($B$7/$C$7)</f>
        <v/>
      </c>
      <c r="E572" s="17">
        <f>'JGBCurve'!$E$989</f>
        <v/>
      </c>
    </row>
    <row r="573">
      <c r="A573" s="11" t="n">
        <v>43413</v>
      </c>
      <c r="B573" s="24" t="n">
        <v>136.0504</v>
      </c>
      <c r="C573" s="24" t="n">
        <v>22250.25</v>
      </c>
      <c r="D573" s="13">
        <f>100*($B573/$C573)/($B$7/$C$7)</f>
        <v/>
      </c>
      <c r="E573" s="17">
        <f>'JGBCurve'!$E$990</f>
        <v/>
      </c>
    </row>
    <row r="574">
      <c r="A574" s="11" t="n">
        <v>43420</v>
      </c>
      <c r="B574" s="24" t="n">
        <v>130.9025</v>
      </c>
      <c r="C574" s="24" t="n">
        <v>21680.3398</v>
      </c>
      <c r="D574" s="13">
        <f>100*($B574/$C574)/($B$7/$C$7)</f>
        <v/>
      </c>
      <c r="E574" s="17">
        <f>'JGBCurve'!$E$991</f>
        <v/>
      </c>
    </row>
    <row r="575">
      <c r="A575" s="11" t="n">
        <v>43427</v>
      </c>
      <c r="B575" s="24" t="n">
        <v>127.9609</v>
      </c>
      <c r="C575" s="24" t="n">
        <v>21646.5508</v>
      </c>
      <c r="D575" s="13">
        <f>100*($B575/$C575)/($B$7/$C$7)</f>
        <v/>
      </c>
      <c r="E575" s="17">
        <f>'JGBCurve'!$E$992</f>
        <v/>
      </c>
    </row>
    <row r="576">
      <c r="A576" s="11" t="n">
        <v>43434</v>
      </c>
      <c r="B576" s="24" t="n">
        <v>129.4317</v>
      </c>
      <c r="C576" s="24" t="n">
        <v>22351.0605</v>
      </c>
      <c r="D576" s="13">
        <f>100*($B576/$C576)/($B$7/$C$7)</f>
        <v/>
      </c>
      <c r="E576" s="17">
        <f>'JGBCurve'!$E$993</f>
        <v/>
      </c>
    </row>
    <row r="577">
      <c r="A577" s="11" t="n">
        <v>43441</v>
      </c>
      <c r="B577" s="24" t="n">
        <v>124.2839</v>
      </c>
      <c r="C577" s="24" t="n">
        <v>21678.6797</v>
      </c>
      <c r="D577" s="13">
        <f>100*($B577/$C577)/($B$7/$C$7)</f>
        <v/>
      </c>
      <c r="E577" s="17">
        <f>'JGBCurve'!$E$994</f>
        <v/>
      </c>
    </row>
    <row r="578">
      <c r="A578" s="11" t="n">
        <v>43448</v>
      </c>
      <c r="B578" s="24" t="n">
        <v>120.6068</v>
      </c>
      <c r="C578" s="24" t="n">
        <v>21374.8301</v>
      </c>
      <c r="D578" s="13">
        <f>100*($B578/$C578)/($B$7/$C$7)</f>
        <v/>
      </c>
      <c r="E578" s="17">
        <f>'JGBCurve'!$E$995</f>
        <v/>
      </c>
    </row>
    <row r="579">
      <c r="A579" s="11" t="n">
        <v>43455</v>
      </c>
      <c r="B579" s="24" t="n">
        <v>111.7819</v>
      </c>
      <c r="C579" s="24" t="n">
        <v>20166.1895</v>
      </c>
      <c r="D579" s="13">
        <f>100*($B579/$C579)/($B$7/$C$7)</f>
        <v/>
      </c>
      <c r="E579" s="17">
        <f>'JGBCurve'!$E$996</f>
        <v/>
      </c>
    </row>
    <row r="580">
      <c r="A580" s="11" t="n">
        <v>43462</v>
      </c>
      <c r="B580" s="24" t="n">
        <v>112.5174</v>
      </c>
      <c r="C580" s="24" t="n">
        <v>20014.7695</v>
      </c>
      <c r="D580" s="13">
        <f>100*($B580/$C580)/($B$7/$C$7)</f>
        <v/>
      </c>
      <c r="E580" s="17">
        <f>'JGBCurve'!$E$997</f>
        <v/>
      </c>
    </row>
    <row r="581">
      <c r="A581" s="11" t="n">
        <v>43469</v>
      </c>
      <c r="B581" s="24" t="n">
        <v>112.5174</v>
      </c>
      <c r="C581" s="24" t="n">
        <v>19561.9609</v>
      </c>
      <c r="D581" s="13">
        <f>100*($B581/$C581)/($B$7/$C$7)</f>
        <v/>
      </c>
      <c r="E581" s="17">
        <f>'JGBCurve'!$E$998</f>
        <v/>
      </c>
    </row>
    <row r="582">
      <c r="A582" s="11" t="n">
        <v>43476</v>
      </c>
      <c r="B582" s="24" t="n">
        <v>116.9298</v>
      </c>
      <c r="C582" s="24" t="n">
        <v>20359.6992</v>
      </c>
      <c r="D582" s="13">
        <f>100*($B582/$C582)/($B$7/$C$7)</f>
        <v/>
      </c>
      <c r="E582" s="17">
        <f>'JGBCurve'!$E$999</f>
        <v/>
      </c>
    </row>
    <row r="583">
      <c r="A583" s="11" t="n">
        <v>43483</v>
      </c>
      <c r="B583" s="24" t="n">
        <v>118.4006</v>
      </c>
      <c r="C583" s="24" t="n">
        <v>20666.0703</v>
      </c>
      <c r="D583" s="13">
        <f>100*($B583/$C583)/($B$7/$C$7)</f>
        <v/>
      </c>
      <c r="E583" s="17">
        <f>'JGBCurve'!$E$1000</f>
        <v/>
      </c>
    </row>
    <row r="584">
      <c r="A584" s="11" t="n">
        <v>43490</v>
      </c>
      <c r="B584" s="24" t="n">
        <v>119.8714</v>
      </c>
      <c r="C584" s="24" t="n">
        <v>20773.5605</v>
      </c>
      <c r="D584" s="13">
        <f>100*($B584/$C584)/($B$7/$C$7)</f>
        <v/>
      </c>
      <c r="E584" s="17">
        <f>'JGBCurve'!$E$1001</f>
        <v/>
      </c>
    </row>
    <row r="585">
      <c r="A585" s="11" t="n">
        <v>43497</v>
      </c>
      <c r="B585" s="24" t="n">
        <v>116.1944</v>
      </c>
      <c r="C585" s="24" t="n">
        <v>20788.3906</v>
      </c>
      <c r="D585" s="13">
        <f>100*($B585/$C585)/($B$7/$C$7)</f>
        <v/>
      </c>
      <c r="E585" s="17">
        <f>'JGBCurve'!$E$1002</f>
        <v/>
      </c>
    </row>
    <row r="586">
      <c r="A586" s="11" t="n">
        <v>43504</v>
      </c>
      <c r="B586" s="24" t="n">
        <v>115.459</v>
      </c>
      <c r="C586" s="24" t="n">
        <v>20333.1699</v>
      </c>
      <c r="D586" s="13">
        <f>100*($B586/$C586)/($B$7/$C$7)</f>
        <v/>
      </c>
      <c r="E586" s="17">
        <f>'JGBCurve'!$E$1003</f>
        <v/>
      </c>
    </row>
    <row r="587">
      <c r="A587" s="11" t="n">
        <v>43511</v>
      </c>
      <c r="B587" s="24" t="n">
        <v>116.9298</v>
      </c>
      <c r="C587" s="24" t="n">
        <v>20900.6309</v>
      </c>
      <c r="D587" s="13">
        <f>100*($B587/$C587)/($B$7/$C$7)</f>
        <v/>
      </c>
      <c r="E587" s="17">
        <f>'JGBCurve'!$E$1004</f>
        <v/>
      </c>
    </row>
    <row r="588">
      <c r="A588" s="11" t="n">
        <v>43518</v>
      </c>
      <c r="B588" s="24" t="n">
        <v>118.4006</v>
      </c>
      <c r="C588" s="24" t="n">
        <v>21425.5098</v>
      </c>
      <c r="D588" s="13">
        <f>100*($B588/$C588)/($B$7/$C$7)</f>
        <v/>
      </c>
      <c r="E588" s="17">
        <f>'JGBCurve'!$E$1005</f>
        <v/>
      </c>
    </row>
    <row r="589">
      <c r="A589" s="11" t="n">
        <v>43525</v>
      </c>
      <c r="B589" s="24" t="n">
        <v>118.4006</v>
      </c>
      <c r="C589" s="24" t="n">
        <v>21602.6895</v>
      </c>
      <c r="D589" s="13">
        <f>100*($B589/$C589)/($B$7/$C$7)</f>
        <v/>
      </c>
      <c r="E589" s="17">
        <f>'JGBCurve'!$E$1006</f>
        <v/>
      </c>
    </row>
    <row r="590">
      <c r="A590" s="11" t="n">
        <v>43532</v>
      </c>
      <c r="B590" s="24" t="n">
        <v>113.9882</v>
      </c>
      <c r="C590" s="24" t="n">
        <v>21025.5605</v>
      </c>
      <c r="D590" s="13">
        <f>100*($B590/$C590)/($B$7/$C$7)</f>
        <v/>
      </c>
      <c r="E590" s="17">
        <f>'JGBCurve'!$E$1007</f>
        <v/>
      </c>
    </row>
    <row r="591">
      <c r="A591" s="11" t="n">
        <v>43539</v>
      </c>
      <c r="B591" s="24" t="n">
        <v>116.9298</v>
      </c>
      <c r="C591" s="24" t="n">
        <v>21450.8496</v>
      </c>
      <c r="D591" s="13">
        <f>100*($B591/$C591)/($B$7/$C$7)</f>
        <v/>
      </c>
      <c r="E591" s="17">
        <f>'JGBCurve'!$E$1008</f>
        <v/>
      </c>
    </row>
    <row r="592">
      <c r="A592" s="11" t="n">
        <v>43546</v>
      </c>
      <c r="B592" s="24" t="n">
        <v>117.6652</v>
      </c>
      <c r="C592" s="24" t="n">
        <v>21627.3398</v>
      </c>
      <c r="D592" s="13">
        <f>100*($B592/$C592)/($B$7/$C$7)</f>
        <v/>
      </c>
      <c r="E592" s="17">
        <f>'JGBCurve'!$E$1009</f>
        <v/>
      </c>
    </row>
    <row r="593">
      <c r="A593" s="11" t="n">
        <v>43553</v>
      </c>
      <c r="B593" s="24" t="n">
        <v>115.459</v>
      </c>
      <c r="C593" s="24" t="n">
        <v>21205.8105</v>
      </c>
      <c r="D593" s="13">
        <f>100*($B593/$C593)/($B$7/$C$7)</f>
        <v/>
      </c>
      <c r="E593" s="17">
        <f>'JGBCurve'!$E$1010</f>
        <v/>
      </c>
    </row>
    <row r="594">
      <c r="A594" s="11" t="n">
        <v>43560</v>
      </c>
      <c r="B594" s="24" t="n">
        <v>119.8714</v>
      </c>
      <c r="C594" s="24" t="n">
        <v>21807.5</v>
      </c>
      <c r="D594" s="13">
        <f>100*($B594/$C594)/($B$7/$C$7)</f>
        <v/>
      </c>
      <c r="E594" s="17">
        <f>'JGBCurve'!$E$1011</f>
        <v/>
      </c>
    </row>
    <row r="595">
      <c r="A595" s="11" t="n">
        <v>43567</v>
      </c>
      <c r="B595" s="24" t="n">
        <v>116.1944</v>
      </c>
      <c r="C595" s="24" t="n">
        <v>21870.5605</v>
      </c>
      <c r="D595" s="13">
        <f>100*($B595/$C595)/($B$7/$C$7)</f>
        <v/>
      </c>
      <c r="E595" s="17">
        <f>'JGBCurve'!$E$1012</f>
        <v/>
      </c>
    </row>
    <row r="596">
      <c r="A596" s="11" t="n">
        <v>43574</v>
      </c>
      <c r="B596" s="24" t="n">
        <v>117.6652</v>
      </c>
      <c r="C596" s="24" t="n">
        <v>22200.5605</v>
      </c>
      <c r="D596" s="13">
        <f>100*($B596/$C596)/($B$7/$C$7)</f>
        <v/>
      </c>
      <c r="E596" s="17">
        <f>'JGBCurve'!$E$1013</f>
        <v/>
      </c>
    </row>
    <row r="597">
      <c r="A597" s="11" t="n">
        <v>43581</v>
      </c>
      <c r="B597" s="24" t="n">
        <v>116.1944</v>
      </c>
      <c r="C597" s="24" t="n">
        <v>22258.7305</v>
      </c>
      <c r="D597" s="13">
        <f>100*($B597/$C597)/($B$7/$C$7)</f>
        <v/>
      </c>
      <c r="E597" s="17">
        <f>'JGBCurve'!$E$1014</f>
        <v/>
      </c>
    </row>
    <row r="598">
      <c r="A598" s="11" t="n">
        <v>43588</v>
      </c>
      <c r="B598" s="24" t="n">
        <v>116.1944</v>
      </c>
      <c r="C598" s="24" t="n">
        <v>22258.7305</v>
      </c>
      <c r="D598" s="13">
        <f>100*($B598/$C598)/($B$7/$C$7)</f>
        <v/>
      </c>
      <c r="E598" s="17">
        <f>'JGBCurve'!$E$1015</f>
        <v/>
      </c>
    </row>
    <row r="599">
      <c r="A599" s="11" t="n">
        <v>43595</v>
      </c>
      <c r="B599" s="24" t="n">
        <v>112.5174</v>
      </c>
      <c r="C599" s="24" t="n">
        <v>21344.9199</v>
      </c>
      <c r="D599" s="13">
        <f>100*($B599/$C599)/($B$7/$C$7)</f>
        <v/>
      </c>
      <c r="E599" s="17">
        <f>'JGBCurve'!$E$1016</f>
        <v/>
      </c>
    </row>
    <row r="600">
      <c r="A600" s="11" t="n">
        <v>43602</v>
      </c>
      <c r="B600" s="24" t="n">
        <v>110.3111</v>
      </c>
      <c r="C600" s="24" t="n">
        <v>21250.0898</v>
      </c>
      <c r="D600" s="13">
        <f>100*($B600/$C600)/($B$7/$C$7)</f>
        <v/>
      </c>
      <c r="E600" s="17">
        <f>'JGBCurve'!$E$1017</f>
        <v/>
      </c>
    </row>
    <row r="601">
      <c r="A601" s="11" t="n">
        <v>43609</v>
      </c>
      <c r="B601" s="24" t="n">
        <v>109.5757</v>
      </c>
      <c r="C601" s="24" t="n">
        <v>21117.2207</v>
      </c>
      <c r="D601" s="13">
        <f>100*($B601/$C601)/($B$7/$C$7)</f>
        <v/>
      </c>
      <c r="E601" s="17">
        <f>'JGBCurve'!$E$1018</f>
        <v/>
      </c>
    </row>
    <row r="602">
      <c r="A602" s="11" t="n">
        <v>43616</v>
      </c>
      <c r="B602" s="24" t="n">
        <v>108.1049</v>
      </c>
      <c r="C602" s="24" t="n">
        <v>20601.1895</v>
      </c>
      <c r="D602" s="13">
        <f>100*($B602/$C602)/($B$7/$C$7)</f>
        <v/>
      </c>
      <c r="E602" s="17">
        <f>'JGBCurve'!$E$1019</f>
        <v/>
      </c>
    </row>
    <row r="603">
      <c r="A603" s="11" t="n">
        <v>43623</v>
      </c>
      <c r="B603" s="24" t="n">
        <v>108.8403</v>
      </c>
      <c r="C603" s="24" t="n">
        <v>20884.7109</v>
      </c>
      <c r="D603" s="13">
        <f>100*($B603/$C603)/($B$7/$C$7)</f>
        <v/>
      </c>
      <c r="E603" s="17">
        <f>'JGBCurve'!$E$1020</f>
        <v/>
      </c>
    </row>
    <row r="604">
      <c r="A604" s="11" t="n">
        <v>43630</v>
      </c>
      <c r="B604" s="24" t="n">
        <v>108.8403</v>
      </c>
      <c r="C604" s="24" t="n">
        <v>21116.8906</v>
      </c>
      <c r="D604" s="13">
        <f>100*($B604/$C604)/($B$7/$C$7)</f>
        <v/>
      </c>
      <c r="E604" s="17">
        <f>'JGBCurve'!$E$1021</f>
        <v/>
      </c>
    </row>
    <row r="605">
      <c r="A605" s="11" t="n">
        <v>43637</v>
      </c>
      <c r="B605" s="24" t="n">
        <v>108.1049</v>
      </c>
      <c r="C605" s="24" t="n">
        <v>21258.6406</v>
      </c>
      <c r="D605" s="13">
        <f>100*($B605/$C605)/($B$7/$C$7)</f>
        <v/>
      </c>
      <c r="E605" s="17">
        <f>'JGBCurve'!$E$1022</f>
        <v/>
      </c>
    </row>
    <row r="606">
      <c r="A606" s="11" t="n">
        <v>43644</v>
      </c>
      <c r="B606" s="24" t="n">
        <v>108.1049</v>
      </c>
      <c r="C606" s="24" t="n">
        <v>21275.9199</v>
      </c>
      <c r="D606" s="13">
        <f>100*($B606/$C606)/($B$7/$C$7)</f>
        <v/>
      </c>
      <c r="E606" s="17">
        <f>'JGBCurve'!$E$1023</f>
        <v/>
      </c>
    </row>
    <row r="607">
      <c r="A607" s="11" t="n">
        <v>43651</v>
      </c>
      <c r="B607" s="24" t="n">
        <v>111.0465</v>
      </c>
      <c r="C607" s="24" t="n">
        <v>21746.3809</v>
      </c>
      <c r="D607" s="13">
        <f>100*($B607/$C607)/($B$7/$C$7)</f>
        <v/>
      </c>
      <c r="E607" s="17">
        <f>'JGBCurve'!$E$1024</f>
        <v/>
      </c>
    </row>
    <row r="608">
      <c r="A608" s="11" t="n">
        <v>43658</v>
      </c>
      <c r="B608" s="24" t="n">
        <v>111.1235</v>
      </c>
      <c r="C608" s="24" t="n">
        <v>21685.9004</v>
      </c>
      <c r="D608" s="13">
        <f>100*($B608/$C608)/($B$7/$C$7)</f>
        <v/>
      </c>
      <c r="E608" s="17">
        <f>'JGBCurve'!$E$1025</f>
        <v/>
      </c>
    </row>
    <row r="609">
      <c r="A609" s="11" t="n">
        <v>43665</v>
      </c>
      <c r="B609" s="24" t="n">
        <v>109.5694</v>
      </c>
      <c r="C609" s="24" t="n">
        <v>21466.9902</v>
      </c>
      <c r="D609" s="13">
        <f>100*($B609/$C609)/($B$7/$C$7)</f>
        <v/>
      </c>
      <c r="E609" s="17">
        <f>'JGBCurve'!$E$1026</f>
        <v/>
      </c>
    </row>
    <row r="610">
      <c r="A610" s="11" t="n">
        <v>43672</v>
      </c>
      <c r="B610" s="24" t="n">
        <v>110.3464</v>
      </c>
      <c r="C610" s="24" t="n">
        <v>21658.1504</v>
      </c>
      <c r="D610" s="13">
        <f>100*($B610/$C610)/($B$7/$C$7)</f>
        <v/>
      </c>
      <c r="E610" s="17">
        <f>'JGBCurve'!$E$1027</f>
        <v/>
      </c>
    </row>
    <row r="611">
      <c r="A611" s="11" t="n">
        <v>43679</v>
      </c>
      <c r="B611" s="24" t="n">
        <v>107.2381</v>
      </c>
      <c r="C611" s="24" t="n">
        <v>21087.1602</v>
      </c>
      <c r="D611" s="13">
        <f>100*($B611/$C611)/($B$7/$C$7)</f>
        <v/>
      </c>
      <c r="E611" s="17">
        <f>'JGBCurve'!$E$1028</f>
        <v/>
      </c>
    </row>
    <row r="612">
      <c r="A612" s="11" t="n">
        <v>43686</v>
      </c>
      <c r="B612" s="24" t="n">
        <v>104.1298</v>
      </c>
      <c r="C612" s="24" t="n">
        <v>20684.8203</v>
      </c>
      <c r="D612" s="13">
        <f>100*($B612/$C612)/($B$7/$C$7)</f>
        <v/>
      </c>
      <c r="E612" s="17">
        <f>'JGBCurve'!$E$1029</f>
        <v/>
      </c>
    </row>
    <row r="613">
      <c r="A613" s="11" t="n">
        <v>43693</v>
      </c>
      <c r="B613" s="24" t="n">
        <v>101.7985</v>
      </c>
      <c r="C613" s="24" t="n">
        <v>20418.8105</v>
      </c>
      <c r="D613" s="13">
        <f>100*($B613/$C613)/($B$7/$C$7)</f>
        <v/>
      </c>
      <c r="E613" s="17">
        <f>'JGBCurve'!$E$1030</f>
        <v/>
      </c>
    </row>
    <row r="614">
      <c r="A614" s="11" t="n">
        <v>43700</v>
      </c>
      <c r="B614" s="24" t="n">
        <v>102.5756</v>
      </c>
      <c r="C614" s="24" t="n">
        <v>20710.9102</v>
      </c>
      <c r="D614" s="13">
        <f>100*($B614/$C614)/($B$7/$C$7)</f>
        <v/>
      </c>
      <c r="E614" s="17">
        <f>'JGBCurve'!$E$1031</f>
        <v/>
      </c>
    </row>
    <row r="615">
      <c r="A615" s="11" t="n">
        <v>43707</v>
      </c>
      <c r="B615" s="24" t="n">
        <v>103.3527</v>
      </c>
      <c r="C615" s="24" t="n">
        <v>20704.3691</v>
      </c>
      <c r="D615" s="13">
        <f>100*($B615/$C615)/($B$7/$C$7)</f>
        <v/>
      </c>
      <c r="E615" s="17">
        <f>'JGBCurve'!$E$1032</f>
        <v/>
      </c>
    </row>
    <row r="616">
      <c r="A616" s="11" t="n">
        <v>43714</v>
      </c>
      <c r="B616" s="24" t="n">
        <v>105.6839</v>
      </c>
      <c r="C616" s="24" t="n">
        <v>21199.5703</v>
      </c>
      <c r="D616" s="13">
        <f>100*($B616/$C616)/($B$7/$C$7)</f>
        <v/>
      </c>
      <c r="E616" s="17">
        <f>'JGBCurve'!$E$1033</f>
        <v/>
      </c>
    </row>
    <row r="617">
      <c r="A617" s="11" t="n">
        <v>43721</v>
      </c>
      <c r="B617" s="24" t="n">
        <v>114.2319</v>
      </c>
      <c r="C617" s="24" t="n">
        <v>21988.2891</v>
      </c>
      <c r="D617" s="13">
        <f>100*($B617/$C617)/($B$7/$C$7)</f>
        <v/>
      </c>
      <c r="E617" s="17">
        <f>'JGBCurve'!$E$1034</f>
        <v/>
      </c>
    </row>
    <row r="618">
      <c r="A618" s="11" t="n">
        <v>43728</v>
      </c>
      <c r="B618" s="24" t="n">
        <v>114.2319</v>
      </c>
      <c r="C618" s="24" t="n">
        <v>22079.0898</v>
      </c>
      <c r="D618" s="13">
        <f>100*($B618/$C618)/($B$7/$C$7)</f>
        <v/>
      </c>
      <c r="E618" s="17">
        <f>'JGBCurve'!$E$1035</f>
        <v/>
      </c>
    </row>
    <row r="619">
      <c r="A619" s="11" t="n">
        <v>43735</v>
      </c>
      <c r="B619" s="24" t="n">
        <v>115.7861</v>
      </c>
      <c r="C619" s="24" t="n">
        <v>21878.9004</v>
      </c>
      <c r="D619" s="13">
        <f>100*($B619/$C619)/($B$7/$C$7)</f>
        <v/>
      </c>
      <c r="E619" s="17">
        <f>'JGBCurve'!$E$1036</f>
        <v/>
      </c>
    </row>
    <row r="620">
      <c r="A620" s="11" t="n">
        <v>43742</v>
      </c>
      <c r="B620" s="24" t="n">
        <v>111.9006</v>
      </c>
      <c r="C620" s="24" t="n">
        <v>21410.1992</v>
      </c>
      <c r="D620" s="13">
        <f>100*($B620/$C620)/($B$7/$C$7)</f>
        <v/>
      </c>
      <c r="E620" s="17">
        <f>'JGBCurve'!$E$1037</f>
        <v/>
      </c>
    </row>
    <row r="621">
      <c r="A621" s="11" t="n">
        <v>43749</v>
      </c>
      <c r="B621" s="24" t="n">
        <v>111.9006</v>
      </c>
      <c r="C621" s="24" t="n">
        <v>21798.8691</v>
      </c>
      <c r="D621" s="13">
        <f>100*($B621/$C621)/($B$7/$C$7)</f>
        <v/>
      </c>
      <c r="E621" s="17">
        <f>'JGBCurve'!$E$1038</f>
        <v/>
      </c>
    </row>
    <row r="622">
      <c r="A622" s="11" t="n">
        <v>43756</v>
      </c>
      <c r="B622" s="24" t="n">
        <v>114.2319</v>
      </c>
      <c r="C622" s="24" t="n">
        <v>22492.6797</v>
      </c>
      <c r="D622" s="13">
        <f>100*($B622/$C622)/($B$7/$C$7)</f>
        <v/>
      </c>
      <c r="E622" s="17">
        <f>'JGBCurve'!$E$1039</f>
        <v/>
      </c>
    </row>
    <row r="623">
      <c r="A623" s="11" t="n">
        <v>43763</v>
      </c>
      <c r="B623" s="24" t="n">
        <v>117.3402</v>
      </c>
      <c r="C623" s="24" t="n">
        <v>22799.8105</v>
      </c>
      <c r="D623" s="13">
        <f>100*($B623/$C623)/($B$7/$C$7)</f>
        <v/>
      </c>
      <c r="E623" s="17">
        <f>'JGBCurve'!$E$1040</f>
        <v/>
      </c>
    </row>
    <row r="624">
      <c r="A624" s="11" t="n">
        <v>43770</v>
      </c>
      <c r="B624" s="24" t="n">
        <v>117.3402</v>
      </c>
      <c r="C624" s="24" t="n">
        <v>22850.7695</v>
      </c>
      <c r="D624" s="13">
        <f>100*($B624/$C624)/($B$7/$C$7)</f>
        <v/>
      </c>
      <c r="E624" s="17">
        <f>'JGBCurve'!$E$1041</f>
        <v/>
      </c>
    </row>
    <row r="625">
      <c r="A625" s="11" t="n">
        <v>43777</v>
      </c>
      <c r="B625" s="24" t="n">
        <v>121.2257</v>
      </c>
      <c r="C625" s="24" t="n">
        <v>23391.8691</v>
      </c>
      <c r="D625" s="13">
        <f>100*($B625/$C625)/($B$7/$C$7)</f>
        <v/>
      </c>
      <c r="E625" s="17">
        <f>'JGBCurve'!$E$1042</f>
        <v/>
      </c>
    </row>
    <row r="626">
      <c r="A626" s="11" t="n">
        <v>43784</v>
      </c>
      <c r="B626" s="24" t="n">
        <v>122.0028</v>
      </c>
      <c r="C626" s="24" t="n">
        <v>23303.3203</v>
      </c>
      <c r="D626" s="13">
        <f>100*($B626/$C626)/($B$7/$C$7)</f>
        <v/>
      </c>
      <c r="E626" s="17">
        <f>'JGBCurve'!$E$1043</f>
        <v/>
      </c>
    </row>
    <row r="627">
      <c r="A627" s="11" t="n">
        <v>43791</v>
      </c>
      <c r="B627" s="24" t="n">
        <v>119.6715</v>
      </c>
      <c r="C627" s="24" t="n">
        <v>23112.8809</v>
      </c>
      <c r="D627" s="13">
        <f>100*($B627/$C627)/($B$7/$C$7)</f>
        <v/>
      </c>
      <c r="E627" s="17">
        <f>'JGBCurve'!$E$1044</f>
        <v/>
      </c>
    </row>
    <row r="628">
      <c r="A628" s="11" t="n">
        <v>43798</v>
      </c>
      <c r="B628" s="24" t="n">
        <v>121.2257</v>
      </c>
      <c r="C628" s="24" t="n">
        <v>23293.9102</v>
      </c>
      <c r="D628" s="13">
        <f>100*($B628/$C628)/($B$7/$C$7)</f>
        <v/>
      </c>
      <c r="E628" s="17">
        <f>'JGBCurve'!$E$1045</f>
        <v/>
      </c>
    </row>
    <row r="629">
      <c r="A629" s="11" t="n">
        <v>43805</v>
      </c>
      <c r="B629" s="24" t="n">
        <v>122.0028</v>
      </c>
      <c r="C629" s="24" t="n">
        <v>23354.4004</v>
      </c>
      <c r="D629" s="13">
        <f>100*($B629/$C629)/($B$7/$C$7)</f>
        <v/>
      </c>
      <c r="E629" s="17">
        <f>'JGBCurve'!$E$1046</f>
        <v/>
      </c>
    </row>
    <row r="630">
      <c r="A630" s="11" t="n">
        <v>43812</v>
      </c>
      <c r="B630" s="24" t="n">
        <v>122.7799</v>
      </c>
      <c r="C630" s="24" t="n">
        <v>24023.0996</v>
      </c>
      <c r="D630" s="13">
        <f>100*($B630/$C630)/($B$7/$C$7)</f>
        <v/>
      </c>
      <c r="E630" s="17">
        <f>'JGBCurve'!$E$1047</f>
        <v/>
      </c>
    </row>
    <row r="631">
      <c r="A631" s="11" t="n">
        <v>43819</v>
      </c>
      <c r="B631" s="24" t="n">
        <v>122.7799</v>
      </c>
      <c r="C631" s="24" t="n">
        <v>23816.6309</v>
      </c>
      <c r="D631" s="13">
        <f>100*($B631/$C631)/($B$7/$C$7)</f>
        <v/>
      </c>
      <c r="E631" s="17">
        <f>'JGBCurve'!$E$1048</f>
        <v/>
      </c>
    </row>
    <row r="632">
      <c r="A632" s="11" t="n">
        <v>43826</v>
      </c>
      <c r="B632" s="24" t="n">
        <v>123.557</v>
      </c>
      <c r="C632" s="24" t="n">
        <v>23837.7207</v>
      </c>
      <c r="D632" s="13">
        <f>100*($B632/$C632)/($B$7/$C$7)</f>
        <v/>
      </c>
      <c r="E632" s="17">
        <f>'JGBCurve'!$E$1049</f>
        <v/>
      </c>
    </row>
    <row r="633">
      <c r="A633" s="11" t="n">
        <v>43833</v>
      </c>
      <c r="B633" s="24" t="n">
        <v>122.0028</v>
      </c>
      <c r="C633" s="24" t="n">
        <v>23656.6191</v>
      </c>
      <c r="D633" s="13">
        <f>100*($B633/$C633)/($B$7/$C$7)</f>
        <v/>
      </c>
      <c r="E633" s="17">
        <f>'JGBCurve'!$E$1050</f>
        <v/>
      </c>
    </row>
    <row r="634">
      <c r="A634" s="11" t="n">
        <v>43840</v>
      </c>
      <c r="B634" s="24" t="n">
        <v>119.6715</v>
      </c>
      <c r="C634" s="24" t="n">
        <v>23850.5703</v>
      </c>
      <c r="D634" s="13">
        <f>100*($B634/$C634)/($B$7/$C$7)</f>
        <v/>
      </c>
      <c r="E634" s="17">
        <f>'JGBCurve'!$E$1051</f>
        <v/>
      </c>
    </row>
    <row r="635">
      <c r="A635" s="11" t="n">
        <v>43847</v>
      </c>
      <c r="B635" s="24" t="n">
        <v>118.1173</v>
      </c>
      <c r="C635" s="24" t="n">
        <v>24041.2598</v>
      </c>
      <c r="D635" s="13">
        <f>100*($B635/$C635)/($B$7/$C$7)</f>
        <v/>
      </c>
      <c r="E635" s="17">
        <f>'JGBCurve'!$E$1052</f>
        <v/>
      </c>
    </row>
    <row r="636">
      <c r="A636" s="11" t="n">
        <v>43854</v>
      </c>
      <c r="B636" s="24" t="n">
        <v>117.3402</v>
      </c>
      <c r="C636" s="24" t="n">
        <v>23827.1797</v>
      </c>
      <c r="D636" s="13">
        <f>100*($B636/$C636)/($B$7/$C$7)</f>
        <v/>
      </c>
      <c r="E636" s="17">
        <f>'JGBCurve'!$E$1053</f>
        <v/>
      </c>
    </row>
    <row r="637">
      <c r="A637" s="11" t="n">
        <v>43861</v>
      </c>
      <c r="B637" s="24" t="n">
        <v>115.7861</v>
      </c>
      <c r="C637" s="24" t="n">
        <v>23205.1797</v>
      </c>
      <c r="D637" s="13">
        <f>100*($B637/$C637)/($B$7/$C$7)</f>
        <v/>
      </c>
      <c r="E637" s="17">
        <f>'JGBCurve'!$E$1054</f>
        <v/>
      </c>
    </row>
    <row r="638">
      <c r="A638" s="11" t="n">
        <v>43868</v>
      </c>
      <c r="B638" s="24" t="n">
        <v>118.8944</v>
      </c>
      <c r="C638" s="24" t="n">
        <v>23827.9805</v>
      </c>
      <c r="D638" s="13">
        <f>100*($B638/$C638)/($B$7/$C$7)</f>
        <v/>
      </c>
      <c r="E638" s="17">
        <f>'JGBCurve'!$E$1055</f>
        <v/>
      </c>
    </row>
    <row r="639">
      <c r="A639" s="11" t="n">
        <v>43875</v>
      </c>
      <c r="B639" s="24" t="n">
        <v>116.5631</v>
      </c>
      <c r="C639" s="24" t="n">
        <v>23687.5898</v>
      </c>
      <c r="D639" s="13">
        <f>100*($B639/$C639)/($B$7/$C$7)</f>
        <v/>
      </c>
      <c r="E639" s="17">
        <f>'JGBCurve'!$E$1056</f>
        <v/>
      </c>
    </row>
    <row r="640">
      <c r="A640" s="11" t="n">
        <v>43882</v>
      </c>
      <c r="B640" s="24" t="n">
        <v>113.4548</v>
      </c>
      <c r="C640" s="24" t="n">
        <v>23386.7402</v>
      </c>
      <c r="D640" s="13">
        <f>100*($B640/$C640)/($B$7/$C$7)</f>
        <v/>
      </c>
      <c r="E640" s="17">
        <f>'JGBCurve'!$E$1057</f>
        <v/>
      </c>
    </row>
    <row r="641">
      <c r="A641" s="11" t="n">
        <v>43889</v>
      </c>
      <c r="B641" s="24" t="n">
        <v>105.6839</v>
      </c>
      <c r="C641" s="24" t="n">
        <v>21142.9609</v>
      </c>
      <c r="D641" s="13">
        <f>100*($B641/$C641)/($B$7/$C$7)</f>
        <v/>
      </c>
      <c r="E641" s="17">
        <f>'JGBCurve'!$E$1058</f>
        <v/>
      </c>
    </row>
    <row r="642">
      <c r="A642" s="11" t="n">
        <v>43896</v>
      </c>
      <c r="B642" s="24" t="n">
        <v>97.913</v>
      </c>
      <c r="C642" s="24" t="n">
        <v>20749.75</v>
      </c>
      <c r="D642" s="13">
        <f>100*($B642/$C642)/($B$7/$C$7)</f>
        <v/>
      </c>
      <c r="E642" s="17">
        <f>'JGBCurve'!$E$1059</f>
        <v/>
      </c>
    </row>
    <row r="643">
      <c r="A643" s="11" t="n">
        <v>43903</v>
      </c>
      <c r="B643" s="24" t="n">
        <v>81.5942</v>
      </c>
      <c r="C643" s="24" t="n">
        <v>17431.0508</v>
      </c>
      <c r="D643" s="13">
        <f>100*($B643/$C643)/($B$7/$C$7)</f>
        <v/>
      </c>
      <c r="E643" s="17">
        <f>'JGBCurve'!$E$1060</f>
        <v/>
      </c>
    </row>
    <row r="644">
      <c r="A644" s="11" t="n">
        <v>43910</v>
      </c>
      <c r="B644" s="24" t="n">
        <v>85.4796</v>
      </c>
      <c r="C644" s="24" t="n">
        <v>16552.8301</v>
      </c>
      <c r="D644" s="13">
        <f>100*($B644/$C644)/($B$7/$C$7)</f>
        <v/>
      </c>
      <c r="E644" s="17">
        <f>'JGBCurve'!$E$1061</f>
        <v/>
      </c>
    </row>
    <row r="645">
      <c r="A645" s="11" t="n">
        <v>43917</v>
      </c>
      <c r="B645" s="24" t="n">
        <v>95.5818</v>
      </c>
      <c r="C645" s="24" t="n">
        <v>19389.4297</v>
      </c>
      <c r="D645" s="13">
        <f>100*($B645/$C645)/($B$7/$C$7)</f>
        <v/>
      </c>
      <c r="E645" s="17">
        <f>'JGBCurve'!$E$1062</f>
        <v/>
      </c>
    </row>
    <row r="646">
      <c r="A646" s="11" t="n">
        <v>43924</v>
      </c>
      <c r="B646" s="24" t="n">
        <v>85.4796</v>
      </c>
      <c r="C646" s="24" t="n">
        <v>17820.1895</v>
      </c>
      <c r="D646" s="13">
        <f>100*($B646/$C646)/($B$7/$C$7)</f>
        <v/>
      </c>
      <c r="E646" s="17">
        <f>'JGBCurve'!$E$1063</f>
        <v/>
      </c>
    </row>
    <row r="647">
      <c r="A647" s="11" t="n">
        <v>43931</v>
      </c>
      <c r="B647" s="24" t="n">
        <v>94.02760000000001</v>
      </c>
      <c r="C647" s="24" t="n">
        <v>19498.5</v>
      </c>
      <c r="D647" s="13">
        <f>100*($B647/$C647)/($B$7/$C$7)</f>
        <v/>
      </c>
      <c r="E647" s="17">
        <f>'JGBCurve'!$E$1064</f>
        <v/>
      </c>
    </row>
    <row r="648">
      <c r="A648" s="11" t="n">
        <v>43938</v>
      </c>
      <c r="B648" s="24" t="n">
        <v>89.3651</v>
      </c>
      <c r="C648" s="24" t="n">
        <v>19897.2598</v>
      </c>
      <c r="D648" s="13">
        <f>100*($B648/$C648)/($B$7/$C$7)</f>
        <v/>
      </c>
      <c r="E648" s="17">
        <f>'JGBCurve'!$E$1065</f>
        <v/>
      </c>
    </row>
    <row r="649">
      <c r="A649" s="11" t="n">
        <v>43945</v>
      </c>
      <c r="B649" s="24" t="n">
        <v>91.69629999999999</v>
      </c>
      <c r="C649" s="24" t="n">
        <v>19262</v>
      </c>
      <c r="D649" s="13">
        <f>100*($B649/$C649)/($B$7/$C$7)</f>
        <v/>
      </c>
      <c r="E649" s="17">
        <f>'JGBCurve'!$E$1066</f>
        <v/>
      </c>
    </row>
    <row r="650">
      <c r="A650" s="11" t="n">
        <v>43952</v>
      </c>
      <c r="B650" s="24" t="n">
        <v>91.69629999999999</v>
      </c>
      <c r="C650" s="24" t="n">
        <v>19619.3496</v>
      </c>
      <c r="D650" s="13">
        <f>100*($B650/$C650)/($B$7/$C$7)</f>
        <v/>
      </c>
      <c r="E650" s="17">
        <f>'JGBCurve'!$E$1067</f>
        <v/>
      </c>
    </row>
    <row r="651">
      <c r="A651" s="11" t="n">
        <v>43959</v>
      </c>
      <c r="B651" s="24" t="n">
        <v>91.69629999999999</v>
      </c>
      <c r="C651" s="24" t="n">
        <v>20179.0898</v>
      </c>
      <c r="D651" s="13">
        <f>100*($B651/$C651)/($B$7/$C$7)</f>
        <v/>
      </c>
      <c r="E651" s="17">
        <f>'JGBCurve'!$E$1068</f>
        <v/>
      </c>
    </row>
    <row r="652">
      <c r="A652" s="11" t="n">
        <v>43966</v>
      </c>
      <c r="B652" s="24" t="n">
        <v>90.1422</v>
      </c>
      <c r="C652" s="24" t="n">
        <v>20037.4707</v>
      </c>
      <c r="D652" s="13">
        <f>100*($B652/$C652)/($B$7/$C$7)</f>
        <v/>
      </c>
      <c r="E652" s="17">
        <f>'JGBCurve'!$E$1069</f>
        <v/>
      </c>
    </row>
    <row r="653">
      <c r="A653" s="11" t="n">
        <v>43973</v>
      </c>
      <c r="B653" s="24" t="n">
        <v>91.69629999999999</v>
      </c>
      <c r="C653" s="24" t="n">
        <v>20388.1602</v>
      </c>
      <c r="D653" s="13">
        <f>100*($B653/$C653)/($B$7/$C$7)</f>
        <v/>
      </c>
      <c r="E653" s="17">
        <f>'JGBCurve'!$E$1070</f>
        <v/>
      </c>
    </row>
    <row r="654">
      <c r="A654" s="11" t="n">
        <v>43980</v>
      </c>
      <c r="B654" s="24" t="n">
        <v>97.913</v>
      </c>
      <c r="C654" s="24" t="n">
        <v>21877.8906</v>
      </c>
      <c r="D654" s="13">
        <f>100*($B654/$C654)/($B$7/$C$7)</f>
        <v/>
      </c>
      <c r="E654" s="17">
        <f>'JGBCurve'!$E$1071</f>
        <v/>
      </c>
    </row>
    <row r="655">
      <c r="A655" s="11" t="n">
        <v>43987</v>
      </c>
      <c r="B655" s="24" t="n">
        <v>101.7985</v>
      </c>
      <c r="C655" s="24" t="n">
        <v>22863.7305</v>
      </c>
      <c r="D655" s="13">
        <f>100*($B655/$C655)/($B$7/$C$7)</f>
        <v/>
      </c>
      <c r="E655" s="17">
        <f>'JGBCurve'!$E$1072</f>
        <v/>
      </c>
    </row>
    <row r="656">
      <c r="A656" s="11" t="n">
        <v>43994</v>
      </c>
      <c r="B656" s="24" t="n">
        <v>98.6901</v>
      </c>
      <c r="C656" s="24" t="n">
        <v>22305.4805</v>
      </c>
      <c r="D656" s="13">
        <f>100*($B656/$C656)/($B$7/$C$7)</f>
        <v/>
      </c>
      <c r="E656" s="17">
        <f>'JGBCurve'!$E$1073</f>
        <v/>
      </c>
    </row>
    <row r="657">
      <c r="A657" s="11" t="n">
        <v>44001</v>
      </c>
      <c r="B657" s="24" t="n">
        <v>99.46720000000001</v>
      </c>
      <c r="C657" s="24" t="n">
        <v>22478.7891</v>
      </c>
      <c r="D657" s="13">
        <f>100*($B657/$C657)/($B$7/$C$7)</f>
        <v/>
      </c>
      <c r="E657" s="17">
        <f>'JGBCurve'!$E$1074</f>
        <v/>
      </c>
    </row>
    <row r="658">
      <c r="A658" s="11" t="n">
        <v>44008</v>
      </c>
      <c r="B658" s="24" t="n">
        <v>97.136</v>
      </c>
      <c r="C658" s="24" t="n">
        <v>22512.0801</v>
      </c>
      <c r="D658" s="13">
        <f>100*($B658/$C658)/($B$7/$C$7)</f>
        <v/>
      </c>
      <c r="E658" s="17">
        <f>'JGBCurve'!$E$1075</f>
        <v/>
      </c>
    </row>
    <row r="659">
      <c r="A659" s="11" t="n">
        <v>44015</v>
      </c>
      <c r="B659" s="24" t="n">
        <v>95.5818</v>
      </c>
      <c r="C659" s="24" t="n">
        <v>22306.4805</v>
      </c>
      <c r="D659" s="13">
        <f>100*($B659/$C659)/($B$7/$C$7)</f>
        <v/>
      </c>
      <c r="E659" s="17">
        <f>'JGBCurve'!$E$1076</f>
        <v/>
      </c>
    </row>
    <row r="660">
      <c r="A660" s="11" t="n">
        <v>44022</v>
      </c>
      <c r="B660" s="24" t="n">
        <v>93.2505</v>
      </c>
      <c r="C660" s="24" t="n">
        <v>22290.8105</v>
      </c>
      <c r="D660" s="13">
        <f>100*($B660/$C660)/($B$7/$C$7)</f>
        <v/>
      </c>
      <c r="E660" s="17">
        <f>'JGBCurve'!$E$1077</f>
        <v/>
      </c>
    </row>
    <row r="661">
      <c r="A661" s="11" t="n">
        <v>44029</v>
      </c>
      <c r="B661" s="24" t="n">
        <v>97.25369999999999</v>
      </c>
      <c r="C661" s="24" t="n">
        <v>22696.4199</v>
      </c>
      <c r="D661" s="13">
        <f>100*($B661/$C661)/($B$7/$C$7)</f>
        <v/>
      </c>
      <c r="E661" s="17">
        <f>'JGBCurve'!$E$1078</f>
        <v/>
      </c>
    </row>
    <row r="662">
      <c r="A662" s="11" t="n">
        <v>44036</v>
      </c>
      <c r="B662" s="24" t="n">
        <v>96.43640000000001</v>
      </c>
      <c r="C662" s="24" t="n">
        <v>22751.6094</v>
      </c>
      <c r="D662" s="13">
        <f>100*($B662/$C662)/($B$7/$C$7)</f>
        <v/>
      </c>
      <c r="E662" s="17">
        <f>'JGBCurve'!$E$1079</f>
        <v/>
      </c>
    </row>
    <row r="663">
      <c r="A663" s="11" t="n">
        <v>44043</v>
      </c>
      <c r="B663" s="24" t="n">
        <v>89.08110000000001</v>
      </c>
      <c r="C663" s="24" t="n">
        <v>21710</v>
      </c>
      <c r="D663" s="13">
        <f>100*($B663/$C663)/($B$7/$C$7)</f>
        <v/>
      </c>
      <c r="E663" s="17">
        <f>'JGBCurve'!$E$1080</f>
        <v/>
      </c>
    </row>
    <row r="664">
      <c r="A664" s="11" t="n">
        <v>44050</v>
      </c>
      <c r="B664" s="24" t="n">
        <v>93.9847</v>
      </c>
      <c r="C664" s="24" t="n">
        <v>22329.9395</v>
      </c>
      <c r="D664" s="13">
        <f>100*($B664/$C664)/($B$7/$C$7)</f>
        <v/>
      </c>
      <c r="E664" s="17">
        <f>'JGBCurve'!$E$1081</f>
        <v/>
      </c>
    </row>
    <row r="665">
      <c r="A665" s="11" t="n">
        <v>44057</v>
      </c>
      <c r="B665" s="24" t="n">
        <v>98.8882</v>
      </c>
      <c r="C665" s="24" t="n">
        <v>23289.3594</v>
      </c>
      <c r="D665" s="13">
        <f>100*($B665/$C665)/($B$7/$C$7)</f>
        <v/>
      </c>
      <c r="E665" s="17">
        <f>'JGBCurve'!$E$1082</f>
        <v/>
      </c>
    </row>
    <row r="666">
      <c r="A666" s="11" t="n">
        <v>44064</v>
      </c>
      <c r="B666" s="24" t="n">
        <v>96.43640000000001</v>
      </c>
      <c r="C666" s="24" t="n">
        <v>22920.3008</v>
      </c>
      <c r="D666" s="13">
        <f>100*($B666/$C666)/($B$7/$C$7)</f>
        <v/>
      </c>
      <c r="E666" s="17">
        <f>'JGBCurve'!$E$1083</f>
        <v/>
      </c>
    </row>
    <row r="667">
      <c r="A667" s="11" t="n">
        <v>44071</v>
      </c>
      <c r="B667" s="24" t="n">
        <v>98.8882</v>
      </c>
      <c r="C667" s="24" t="n">
        <v>22882.6504</v>
      </c>
      <c r="D667" s="13">
        <f>100*($B667/$C667)/($B$7/$C$7)</f>
        <v/>
      </c>
      <c r="E667" s="17">
        <f>'JGBCurve'!$E$1084</f>
        <v/>
      </c>
    </row>
    <row r="668">
      <c r="A668" s="11" t="n">
        <v>44078</v>
      </c>
      <c r="B668" s="24" t="n">
        <v>100.5227</v>
      </c>
      <c r="C668" s="24" t="n">
        <v>23205.4297</v>
      </c>
      <c r="D668" s="13">
        <f>100*($B668/$C668)/($B$7/$C$7)</f>
        <v/>
      </c>
      <c r="E668" s="17">
        <f>'JGBCurve'!$E$1085</f>
        <v/>
      </c>
    </row>
    <row r="669">
      <c r="A669" s="11" t="n">
        <v>44085</v>
      </c>
      <c r="B669" s="24" t="n">
        <v>99.7055</v>
      </c>
      <c r="C669" s="24" t="n">
        <v>23406.4902</v>
      </c>
      <c r="D669" s="13">
        <f>100*($B669/$C669)/($B$7/$C$7)</f>
        <v/>
      </c>
      <c r="E669" s="17">
        <f>'JGBCurve'!$E$1086</f>
        <v/>
      </c>
    </row>
    <row r="670">
      <c r="A670" s="11" t="n">
        <v>44092</v>
      </c>
      <c r="B670" s="24" t="n">
        <v>101.34</v>
      </c>
      <c r="C670" s="24" t="n">
        <v>23360.3008</v>
      </c>
      <c r="D670" s="13">
        <f>100*($B670/$C670)/($B$7/$C$7)</f>
        <v/>
      </c>
      <c r="E670" s="17">
        <f>'JGBCurve'!$E$1087</f>
        <v/>
      </c>
    </row>
    <row r="671">
      <c r="A671" s="11" t="n">
        <v>44099</v>
      </c>
      <c r="B671" s="24" t="n">
        <v>99.7055</v>
      </c>
      <c r="C671" s="24" t="n">
        <v>23204.6191</v>
      </c>
      <c r="D671" s="13">
        <f>100*($B671/$C671)/($B$7/$C$7)</f>
        <v/>
      </c>
      <c r="E671" s="17">
        <f>'JGBCurve'!$E$1088</f>
        <v/>
      </c>
    </row>
    <row r="672">
      <c r="A672" s="11" t="n">
        <v>44106</v>
      </c>
      <c r="B672" s="24" t="n">
        <v>98.071</v>
      </c>
      <c r="C672" s="24" t="n">
        <v>23029.9004</v>
      </c>
      <c r="D672" s="13">
        <f>100*($B672/$C672)/($B$7/$C$7)</f>
        <v/>
      </c>
      <c r="E672" s="17">
        <f>'JGBCurve'!$E$1089</f>
        <v/>
      </c>
    </row>
    <row r="673">
      <c r="A673" s="11" t="n">
        <v>44113</v>
      </c>
      <c r="B673" s="24" t="n">
        <v>99.7055</v>
      </c>
      <c r="C673" s="24" t="n">
        <v>23619.6895</v>
      </c>
      <c r="D673" s="13">
        <f>100*($B673/$C673)/($B$7/$C$7)</f>
        <v/>
      </c>
      <c r="E673" s="17">
        <f>'JGBCurve'!$E$1090</f>
        <v/>
      </c>
    </row>
    <row r="674">
      <c r="A674" s="11" t="n">
        <v>44120</v>
      </c>
      <c r="B674" s="24" t="n">
        <v>97.25369999999999</v>
      </c>
      <c r="C674" s="24" t="n">
        <v>23410.6309</v>
      </c>
      <c r="D674" s="13">
        <f>100*($B674/$C674)/($B$7/$C$7)</f>
        <v/>
      </c>
      <c r="E674" s="17">
        <f>'JGBCurve'!$E$1091</f>
        <v/>
      </c>
    </row>
    <row r="675">
      <c r="A675" s="11" t="n">
        <v>44127</v>
      </c>
      <c r="B675" s="24" t="n">
        <v>98.071</v>
      </c>
      <c r="C675" s="24" t="n">
        <v>23516.5898</v>
      </c>
      <c r="D675" s="13">
        <f>100*($B675/$C675)/($B$7/$C$7)</f>
        <v/>
      </c>
      <c r="E675" s="17">
        <f>'JGBCurve'!$E$1092</f>
        <v/>
      </c>
    </row>
    <row r="676">
      <c r="A676" s="11" t="n">
        <v>44134</v>
      </c>
      <c r="B676" s="24" t="n">
        <v>95.61920000000001</v>
      </c>
      <c r="C676" s="24" t="n">
        <v>22977.1309</v>
      </c>
      <c r="D676" s="13">
        <f>100*($B676/$C676)/($B$7/$C$7)</f>
        <v/>
      </c>
      <c r="E676" s="17">
        <f>'JGBCurve'!$E$1093</f>
        <v/>
      </c>
    </row>
    <row r="677">
      <c r="A677" s="11" t="n">
        <v>44141</v>
      </c>
      <c r="B677" s="24" t="n">
        <v>98.8882</v>
      </c>
      <c r="C677" s="24" t="n">
        <v>24325.2305</v>
      </c>
      <c r="D677" s="13">
        <f>100*($B677/$C677)/($B$7/$C$7)</f>
        <v/>
      </c>
      <c r="E677" s="17">
        <f>'JGBCurve'!$E$1094</f>
        <v/>
      </c>
    </row>
    <row r="678">
      <c r="A678" s="11" t="n">
        <v>44148</v>
      </c>
      <c r="B678" s="24" t="n">
        <v>102.1573</v>
      </c>
      <c r="C678" s="24" t="n">
        <v>25385.8691</v>
      </c>
      <c r="D678" s="13">
        <f>100*($B678/$C678)/($B$7/$C$7)</f>
        <v/>
      </c>
      <c r="E678" s="17">
        <f>'JGBCurve'!$E$1095</f>
        <v/>
      </c>
    </row>
    <row r="679">
      <c r="A679" s="11" t="n">
        <v>44155</v>
      </c>
      <c r="B679" s="24" t="n">
        <v>104.609</v>
      </c>
      <c r="C679" s="24" t="n">
        <v>25527.3691</v>
      </c>
      <c r="D679" s="13">
        <f>100*($B679/$C679)/($B$7/$C$7)</f>
        <v/>
      </c>
      <c r="E679" s="17">
        <f>'JGBCurve'!$E$1096</f>
        <v/>
      </c>
    </row>
    <row r="680">
      <c r="A680" s="11" t="n">
        <v>44162</v>
      </c>
      <c r="B680" s="24" t="n">
        <v>105.4263</v>
      </c>
      <c r="C680" s="24" t="n">
        <v>26644.7109</v>
      </c>
      <c r="D680" s="13">
        <f>100*($B680/$C680)/($B$7/$C$7)</f>
        <v/>
      </c>
      <c r="E680" s="17">
        <f>'JGBCurve'!$E$1097</f>
        <v/>
      </c>
    </row>
    <row r="681">
      <c r="A681" s="11" t="n">
        <v>44169</v>
      </c>
      <c r="B681" s="24" t="n">
        <v>102.1573</v>
      </c>
      <c r="C681" s="24" t="n">
        <v>26751.2402</v>
      </c>
      <c r="D681" s="13">
        <f>100*($B681/$C681)/($B$7/$C$7)</f>
        <v/>
      </c>
      <c r="E681" s="17">
        <f>'JGBCurve'!$E$1098</f>
        <v/>
      </c>
    </row>
    <row r="682">
      <c r="A682" s="11" t="n">
        <v>44176</v>
      </c>
      <c r="B682" s="24" t="n">
        <v>101.34</v>
      </c>
      <c r="C682" s="24" t="n">
        <v>26652.5195</v>
      </c>
      <c r="D682" s="13">
        <f>100*($B682/$C682)/($B$7/$C$7)</f>
        <v/>
      </c>
      <c r="E682" s="17">
        <f>'JGBCurve'!$E$1099</f>
        <v/>
      </c>
    </row>
    <row r="683">
      <c r="A683" s="11" t="n">
        <v>44183</v>
      </c>
      <c r="B683" s="24" t="n">
        <v>101.34</v>
      </c>
      <c r="C683" s="24" t="n">
        <v>26763.3906</v>
      </c>
      <c r="D683" s="13">
        <f>100*($B683/$C683)/($B$7/$C$7)</f>
        <v/>
      </c>
      <c r="E683" s="17">
        <f>'JGBCurve'!$E$1100</f>
        <v/>
      </c>
    </row>
    <row r="684">
      <c r="A684" s="11" t="n">
        <v>44190</v>
      </c>
      <c r="B684" s="24" t="n">
        <v>101.34</v>
      </c>
      <c r="C684" s="24" t="n">
        <v>26656.6094</v>
      </c>
      <c r="D684" s="13">
        <f>100*($B684/$C684)/($B$7/$C$7)</f>
        <v/>
      </c>
      <c r="E684" s="17">
        <f>'JGBCurve'!$E$1101</f>
        <v/>
      </c>
    </row>
    <row r="685">
      <c r="A685" s="11" t="n">
        <v>44197</v>
      </c>
      <c r="B685" s="24" t="n">
        <v>101.34</v>
      </c>
      <c r="C685" s="24" t="n">
        <v>27444.1699</v>
      </c>
      <c r="D685" s="13">
        <f>100*($B685/$C685)/($B$7/$C$7)</f>
        <v/>
      </c>
      <c r="E685" s="17">
        <f>'JGBCurve'!$E$1102</f>
        <v/>
      </c>
    </row>
    <row r="686">
      <c r="A686" s="11" t="n">
        <v>44204</v>
      </c>
      <c r="B686" s="24" t="n">
        <v>107.8781</v>
      </c>
      <c r="C686" s="24" t="n">
        <v>28139.0293</v>
      </c>
      <c r="D686" s="13">
        <f>100*($B686/$C686)/($B$7/$C$7)</f>
        <v/>
      </c>
      <c r="E686" s="17">
        <f>'JGBCurve'!$E$1103</f>
        <v/>
      </c>
    </row>
    <row r="687">
      <c r="A687" s="11" t="n">
        <v>44211</v>
      </c>
      <c r="B687" s="24" t="n">
        <v>108.6953</v>
      </c>
      <c r="C687" s="24" t="n">
        <v>28519.1797</v>
      </c>
      <c r="D687" s="13">
        <f>100*($B687/$C687)/($B$7/$C$7)</f>
        <v/>
      </c>
      <c r="E687" s="17">
        <f>'JGBCurve'!$E$1104</f>
        <v/>
      </c>
    </row>
    <row r="688">
      <c r="A688" s="11" t="n">
        <v>44218</v>
      </c>
      <c r="B688" s="24" t="n">
        <v>105.4263</v>
      </c>
      <c r="C688" s="24" t="n">
        <v>28631.4492</v>
      </c>
      <c r="D688" s="13">
        <f>100*($B688/$C688)/($B$7/$C$7)</f>
        <v/>
      </c>
      <c r="E688" s="17">
        <f>'JGBCurve'!$E$1105</f>
        <v/>
      </c>
    </row>
    <row r="689">
      <c r="A689" s="11" t="n">
        <v>44225</v>
      </c>
      <c r="B689" s="24" t="n">
        <v>102.1573</v>
      </c>
      <c r="C689" s="24" t="n">
        <v>27663.3906</v>
      </c>
      <c r="D689" s="13">
        <f>100*($B689/$C689)/($B$7/$C$7)</f>
        <v/>
      </c>
      <c r="E689" s="17">
        <f>'JGBCurve'!$E$1106</f>
        <v/>
      </c>
    </row>
    <row r="690">
      <c r="A690" s="11" t="n">
        <v>44232</v>
      </c>
      <c r="B690" s="24" t="n">
        <v>109.5126</v>
      </c>
      <c r="C690" s="24" t="n">
        <v>28779.1895</v>
      </c>
      <c r="D690" s="13">
        <f>100*($B690/$C690)/($B$7/$C$7)</f>
        <v/>
      </c>
      <c r="E690" s="17">
        <f>'JGBCurve'!$E$1107</f>
        <v/>
      </c>
    </row>
    <row r="691">
      <c r="A691" s="11" t="n">
        <v>44239</v>
      </c>
      <c r="B691" s="24" t="n">
        <v>112.7816</v>
      </c>
      <c r="C691" s="24" t="n">
        <v>29520.0703</v>
      </c>
      <c r="D691" s="13">
        <f>100*($B691/$C691)/($B$7/$C$7)</f>
        <v/>
      </c>
      <c r="E691" s="17">
        <f>'JGBCurve'!$E$1108</f>
        <v/>
      </c>
    </row>
    <row r="692">
      <c r="A692" s="11" t="n">
        <v>44246</v>
      </c>
      <c r="B692" s="24" t="n">
        <v>116.8679</v>
      </c>
      <c r="C692" s="24" t="n">
        <v>30017.9199</v>
      </c>
      <c r="D692" s="13">
        <f>100*($B692/$C692)/($B$7/$C$7)</f>
        <v/>
      </c>
      <c r="E692" s="17">
        <f>'JGBCurve'!$E$1109</f>
        <v/>
      </c>
    </row>
    <row r="693">
      <c r="A693" s="11" t="n">
        <v>44253</v>
      </c>
      <c r="B693" s="24" t="n">
        <v>117.6852</v>
      </c>
      <c r="C693" s="24" t="n">
        <v>28966.0098</v>
      </c>
      <c r="D693" s="13">
        <f>100*($B693/$C693)/($B$7/$C$7)</f>
        <v/>
      </c>
      <c r="E693" s="17">
        <f>'JGBCurve'!$E$1110</f>
        <v/>
      </c>
    </row>
    <row r="694">
      <c r="A694" s="11" t="n">
        <v>44260</v>
      </c>
      <c r="B694" s="24" t="n">
        <v>119.3197</v>
      </c>
      <c r="C694" s="24" t="n">
        <v>28864.3203</v>
      </c>
      <c r="D694" s="13">
        <f>100*($B694/$C694)/($B$7/$C$7)</f>
        <v/>
      </c>
      <c r="E694" s="17">
        <f>'JGBCurve'!$E$1111</f>
        <v/>
      </c>
    </row>
    <row r="695">
      <c r="A695" s="11" t="n">
        <v>44267</v>
      </c>
      <c r="B695" s="24" t="n">
        <v>125.0405</v>
      </c>
      <c r="C695" s="24" t="n">
        <v>29717.8301</v>
      </c>
      <c r="D695" s="13">
        <f>100*($B695/$C695)/($B$7/$C$7)</f>
        <v/>
      </c>
      <c r="E695" s="17">
        <f>'JGBCurve'!$E$1112</f>
        <v/>
      </c>
    </row>
    <row r="696">
      <c r="A696" s="11" t="n">
        <v>44274</v>
      </c>
      <c r="B696" s="24" t="n">
        <v>137.2993</v>
      </c>
      <c r="C696" s="24" t="n">
        <v>29792.0508</v>
      </c>
      <c r="D696" s="13">
        <f>100*($B696/$C696)/($B$7/$C$7)</f>
        <v/>
      </c>
      <c r="E696" s="17">
        <f>'JGBCurve'!$E$1113</f>
        <v/>
      </c>
    </row>
    <row r="697">
      <c r="A697" s="11" t="n">
        <v>44281</v>
      </c>
      <c r="B697" s="24" t="n">
        <v>132.3958</v>
      </c>
      <c r="C697" s="24" t="n">
        <v>29176.6992</v>
      </c>
      <c r="D697" s="13">
        <f>100*($B697/$C697)/($B$7/$C$7)</f>
        <v/>
      </c>
      <c r="E697" s="17">
        <f>'JGBCurve'!$E$1114</f>
        <v/>
      </c>
    </row>
    <row r="698">
      <c r="A698" s="11" t="n">
        <v>44288</v>
      </c>
      <c r="B698" s="24" t="n">
        <v>125.8577</v>
      </c>
      <c r="C698" s="24" t="n">
        <v>29854</v>
      </c>
      <c r="D698" s="13">
        <f>100*($B698/$C698)/($B$7/$C$7)</f>
        <v/>
      </c>
      <c r="E698" s="17">
        <f>'JGBCurve'!$E$1115</f>
        <v/>
      </c>
    </row>
    <row r="699">
      <c r="A699" s="11" t="n">
        <v>44295</v>
      </c>
      <c r="B699" s="24" t="n">
        <v>123.4059</v>
      </c>
      <c r="C699" s="24" t="n">
        <v>29768.0605</v>
      </c>
      <c r="D699" s="13">
        <f>100*($B699/$C699)/($B$7/$C$7)</f>
        <v/>
      </c>
      <c r="E699" s="17">
        <f>'JGBCurve'!$E$1116</f>
        <v/>
      </c>
    </row>
    <row r="700">
      <c r="A700" s="11" t="n">
        <v>44302</v>
      </c>
      <c r="B700" s="24" t="n">
        <v>123.4059</v>
      </c>
      <c r="C700" s="24" t="n">
        <v>29683.3691</v>
      </c>
      <c r="D700" s="13">
        <f>100*($B700/$C700)/($B$7/$C$7)</f>
        <v/>
      </c>
      <c r="E700" s="17">
        <f>'JGBCurve'!$E$1117</f>
        <v/>
      </c>
    </row>
    <row r="701">
      <c r="A701" s="11" t="n">
        <v>44309</v>
      </c>
      <c r="B701" s="24" t="n">
        <v>120.9542</v>
      </c>
      <c r="C701" s="24" t="n">
        <v>29020.6309</v>
      </c>
      <c r="D701" s="13">
        <f>100*($B701/$C701)/($B$7/$C$7)</f>
        <v/>
      </c>
      <c r="E701" s="17">
        <f>'JGBCurve'!$E$1118</f>
        <v/>
      </c>
    </row>
    <row r="702">
      <c r="A702" s="11" t="n">
        <v>44316</v>
      </c>
      <c r="B702" s="24" t="n">
        <v>120.9542</v>
      </c>
      <c r="C702" s="24" t="n">
        <v>28812.6309</v>
      </c>
      <c r="D702" s="13">
        <f>100*($B702/$C702)/($B$7/$C$7)</f>
        <v/>
      </c>
      <c r="E702" s="17">
        <f>'JGBCurve'!$E$1119</f>
        <v/>
      </c>
    </row>
    <row r="703">
      <c r="A703" s="11" t="n">
        <v>44323</v>
      </c>
      <c r="B703" s="24" t="n">
        <v>126.675</v>
      </c>
      <c r="C703" s="24" t="n">
        <v>29357.8203</v>
      </c>
      <c r="D703" s="13">
        <f>100*($B703/$C703)/($B$7/$C$7)</f>
        <v/>
      </c>
      <c r="E703" s="17">
        <f>'JGBCurve'!$E$1120</f>
        <v/>
      </c>
    </row>
    <row r="704">
      <c r="A704" s="11" t="n">
        <v>44330</v>
      </c>
      <c r="B704" s="24" t="n">
        <v>126.675</v>
      </c>
      <c r="C704" s="24" t="n">
        <v>28084.4707</v>
      </c>
      <c r="D704" s="13">
        <f>100*($B704/$C704)/($B$7/$C$7)</f>
        <v/>
      </c>
      <c r="E704" s="17">
        <f>'JGBCurve'!$E$1121</f>
        <v/>
      </c>
    </row>
    <row r="705">
      <c r="A705" s="11" t="n">
        <v>44337</v>
      </c>
      <c r="B705" s="24" t="n">
        <v>126.675</v>
      </c>
      <c r="C705" s="24" t="n">
        <v>28317.8301</v>
      </c>
      <c r="D705" s="13">
        <f>100*($B705/$C705)/($B$7/$C$7)</f>
        <v/>
      </c>
      <c r="E705" s="17">
        <f>'JGBCurve'!$E$1122</f>
        <v/>
      </c>
    </row>
    <row r="706">
      <c r="A706" s="11" t="n">
        <v>44344</v>
      </c>
      <c r="B706" s="24" t="n">
        <v>128.3095</v>
      </c>
      <c r="C706" s="24" t="n">
        <v>29149.4102</v>
      </c>
      <c r="D706" s="13">
        <f>100*($B706/$C706)/($B$7/$C$7)</f>
        <v/>
      </c>
      <c r="E706" s="17">
        <f>'JGBCurve'!$E$1123</f>
        <v/>
      </c>
    </row>
    <row r="707">
      <c r="A707" s="11" t="n">
        <v>44351</v>
      </c>
      <c r="B707" s="24" t="n">
        <v>128.3095</v>
      </c>
      <c r="C707" s="24" t="n">
        <v>28941.5195</v>
      </c>
      <c r="D707" s="13">
        <f>100*($B707/$C707)/($B$7/$C$7)</f>
        <v/>
      </c>
      <c r="E707" s="17">
        <f>'JGBCurve'!$E$1124</f>
        <v/>
      </c>
    </row>
    <row r="708">
      <c r="A708" s="11" t="n">
        <v>44358</v>
      </c>
      <c r="B708" s="24" t="n">
        <v>123.4059</v>
      </c>
      <c r="C708" s="24" t="n">
        <v>28948.7305</v>
      </c>
      <c r="D708" s="13">
        <f>100*($B708/$C708)/($B$7/$C$7)</f>
        <v/>
      </c>
      <c r="E708" s="17">
        <f>'JGBCurve'!$E$1125</f>
        <v/>
      </c>
    </row>
    <row r="709">
      <c r="A709" s="11" t="n">
        <v>44365</v>
      </c>
      <c r="B709" s="24" t="n">
        <v>122.5887</v>
      </c>
      <c r="C709" s="24" t="n">
        <v>28964.0801</v>
      </c>
      <c r="D709" s="13">
        <f>100*($B709/$C709)/($B$7/$C$7)</f>
        <v/>
      </c>
      <c r="E709" s="17">
        <f>'JGBCurve'!$E$1126</f>
        <v/>
      </c>
    </row>
    <row r="710">
      <c r="A710" s="11" t="n">
        <v>44372</v>
      </c>
      <c r="B710" s="24" t="n">
        <v>123.4059</v>
      </c>
      <c r="C710" s="24" t="n">
        <v>29066.1797</v>
      </c>
      <c r="D710" s="13">
        <f>100*($B710/$C710)/($B$7/$C$7)</f>
        <v/>
      </c>
      <c r="E710" s="17">
        <f>'JGBCurve'!$E$1127</f>
        <v/>
      </c>
    </row>
    <row r="711">
      <c r="A711" s="11" t="n">
        <v>44379</v>
      </c>
      <c r="B711" s="24" t="n">
        <v>122.5887</v>
      </c>
      <c r="C711" s="24" t="n">
        <v>28783.2793</v>
      </c>
      <c r="D711" s="13">
        <f>100*($B711/$C711)/($B$7/$C$7)</f>
        <v/>
      </c>
      <c r="E711" s="17">
        <f>'JGBCurve'!$E$1128</f>
        <v/>
      </c>
    </row>
    <row r="712">
      <c r="A712" s="11" t="n">
        <v>44386</v>
      </c>
      <c r="B712" s="24" t="n">
        <v>120.1369</v>
      </c>
      <c r="C712" s="24" t="n">
        <v>27940.4199</v>
      </c>
      <c r="D712" s="13">
        <f>100*($B712/$C712)/($B$7/$C$7)</f>
        <v/>
      </c>
      <c r="E712" s="17">
        <f>'JGBCurve'!$E$1129</f>
        <v/>
      </c>
    </row>
    <row r="713">
      <c r="A713" s="11" t="n">
        <v>44393</v>
      </c>
      <c r="B713" s="24" t="n">
        <v>120.1853</v>
      </c>
      <c r="C713" s="24" t="n">
        <v>28003.0801</v>
      </c>
      <c r="D713" s="13">
        <f>100*($B713/$C713)/($B$7/$C$7)</f>
        <v/>
      </c>
      <c r="E713" s="17">
        <f>'JGBCurve'!$E$1130</f>
        <v/>
      </c>
    </row>
    <row r="714">
      <c r="A714" s="11" t="n">
        <v>44400</v>
      </c>
      <c r="B714" s="24" t="n">
        <v>117.664</v>
      </c>
      <c r="C714" s="24" t="n">
        <v>27548</v>
      </c>
      <c r="D714" s="13">
        <f>100*($B714/$C714)/($B$7/$C$7)</f>
        <v/>
      </c>
      <c r="E714" s="17">
        <f>'JGBCurve'!$E$1131</f>
        <v/>
      </c>
    </row>
    <row r="715">
      <c r="A715" s="11" t="n">
        <v>44407</v>
      </c>
      <c r="B715" s="24" t="n">
        <v>118.5044</v>
      </c>
      <c r="C715" s="24" t="n">
        <v>27283.5898</v>
      </c>
      <c r="D715" s="13">
        <f>100*($B715/$C715)/($B$7/$C$7)</f>
        <v/>
      </c>
      <c r="E715" s="17">
        <f>'JGBCurve'!$E$1132</f>
        <v/>
      </c>
    </row>
    <row r="716">
      <c r="A716" s="11" t="n">
        <v>44414</v>
      </c>
      <c r="B716" s="24" t="n">
        <v>121.0258</v>
      </c>
      <c r="C716" s="24" t="n">
        <v>27820.0391</v>
      </c>
      <c r="D716" s="13">
        <f>100*($B716/$C716)/($B$7/$C$7)</f>
        <v/>
      </c>
      <c r="E716" s="17">
        <f>'JGBCurve'!$E$1133</f>
        <v/>
      </c>
    </row>
    <row r="717">
      <c r="A717" s="11" t="n">
        <v>44421</v>
      </c>
      <c r="B717" s="24" t="n">
        <v>124.3876</v>
      </c>
      <c r="C717" s="24" t="n">
        <v>27977.1504</v>
      </c>
      <c r="D717" s="13">
        <f>100*($B717/$C717)/($B$7/$C$7)</f>
        <v/>
      </c>
      <c r="E717" s="17">
        <f>'JGBCurve'!$E$1134</f>
        <v/>
      </c>
    </row>
    <row r="718">
      <c r="A718" s="11" t="n">
        <v>44428</v>
      </c>
      <c r="B718" s="24" t="n">
        <v>120.1853</v>
      </c>
      <c r="C718" s="24" t="n">
        <v>27013.25</v>
      </c>
      <c r="D718" s="13">
        <f>100*($B718/$C718)/($B$7/$C$7)</f>
        <v/>
      </c>
      <c r="E718" s="17">
        <f>'JGBCurve'!$E$1135</f>
        <v/>
      </c>
    </row>
    <row r="719">
      <c r="A719" s="11" t="n">
        <v>44435</v>
      </c>
      <c r="B719" s="24" t="n">
        <v>121.0258</v>
      </c>
      <c r="C719" s="24" t="n">
        <v>27641.1406</v>
      </c>
      <c r="D719" s="13">
        <f>100*($B719/$C719)/($B$7/$C$7)</f>
        <v/>
      </c>
      <c r="E719" s="17">
        <f>'JGBCurve'!$E$1136</f>
        <v/>
      </c>
    </row>
    <row r="720">
      <c r="A720" s="11" t="n">
        <v>44442</v>
      </c>
      <c r="B720" s="24" t="n">
        <v>124.3876</v>
      </c>
      <c r="C720" s="24" t="n">
        <v>29128.1094</v>
      </c>
      <c r="D720" s="13">
        <f>100*($B720/$C720)/($B$7/$C$7)</f>
        <v/>
      </c>
      <c r="E720" s="17">
        <f>'JGBCurve'!$E$1137</f>
        <v/>
      </c>
    </row>
    <row r="721">
      <c r="A721" s="11" t="n">
        <v>44449</v>
      </c>
      <c r="B721" s="24" t="n">
        <v>127.7494</v>
      </c>
      <c r="C721" s="24" t="n">
        <v>30381.8398</v>
      </c>
      <c r="D721" s="13">
        <f>100*($B721/$C721)/($B$7/$C$7)</f>
        <v/>
      </c>
      <c r="E721" s="17">
        <f>'JGBCurve'!$E$1138</f>
        <v/>
      </c>
    </row>
    <row r="722">
      <c r="A722" s="11" t="n">
        <v>44456</v>
      </c>
      <c r="B722" s="24" t="n">
        <v>129.4304</v>
      </c>
      <c r="C722" s="24" t="n">
        <v>30500.0508</v>
      </c>
      <c r="D722" s="13">
        <f>100*($B722/$C722)/($B$7/$C$7)</f>
        <v/>
      </c>
      <c r="E722" s="17">
        <f>'JGBCurve'!$E$1139</f>
        <v/>
      </c>
    </row>
    <row r="723">
      <c r="A723" s="11" t="n">
        <v>44463</v>
      </c>
      <c r="B723" s="24" t="n">
        <v>131.1113</v>
      </c>
      <c r="C723" s="24" t="n">
        <v>30248.8105</v>
      </c>
      <c r="D723" s="13">
        <f>100*($B723/$C723)/($B$7/$C$7)</f>
        <v/>
      </c>
      <c r="E723" s="17">
        <f>'JGBCurve'!$E$1140</f>
        <v/>
      </c>
    </row>
    <row r="724">
      <c r="A724" s="11" t="n">
        <v>44470</v>
      </c>
      <c r="B724" s="24" t="n">
        <v>127.7494</v>
      </c>
      <c r="C724" s="24" t="n">
        <v>28771.0703</v>
      </c>
      <c r="D724" s="13">
        <f>100*($B724/$C724)/($B$7/$C$7)</f>
        <v/>
      </c>
      <c r="E724" s="17">
        <f>'JGBCurve'!$E$1141</f>
        <v/>
      </c>
    </row>
    <row r="725">
      <c r="A725" s="11" t="n">
        <v>44477</v>
      </c>
      <c r="B725" s="24" t="n">
        <v>130.2708</v>
      </c>
      <c r="C725" s="24" t="n">
        <v>28048.9395</v>
      </c>
      <c r="D725" s="13">
        <f>100*($B725/$C725)/($B$7/$C$7)</f>
        <v/>
      </c>
      <c r="E725" s="17">
        <f>'JGBCurve'!$E$1142</f>
        <v/>
      </c>
    </row>
    <row r="726">
      <c r="A726" s="11" t="n">
        <v>44484</v>
      </c>
      <c r="B726" s="24" t="n">
        <v>130.2708</v>
      </c>
      <c r="C726" s="24" t="n">
        <v>29068.6309</v>
      </c>
      <c r="D726" s="13">
        <f>100*($B726/$C726)/($B$7/$C$7)</f>
        <v/>
      </c>
      <c r="E726" s="17">
        <f>'JGBCurve'!$E$1143</f>
        <v/>
      </c>
    </row>
    <row r="727">
      <c r="A727" s="11" t="n">
        <v>44491</v>
      </c>
      <c r="B727" s="24" t="n">
        <v>129.4304</v>
      </c>
      <c r="C727" s="24" t="n">
        <v>28804.8496</v>
      </c>
      <c r="D727" s="13">
        <f>100*($B727/$C727)/($B$7/$C$7)</f>
        <v/>
      </c>
      <c r="E727" s="17">
        <f>'JGBCurve'!$E$1144</f>
        <v/>
      </c>
    </row>
    <row r="728">
      <c r="A728" s="11" t="n">
        <v>44498</v>
      </c>
      <c r="B728" s="24" t="n">
        <v>125.2281</v>
      </c>
      <c r="C728" s="24" t="n">
        <v>28892.6895</v>
      </c>
      <c r="D728" s="13">
        <f>100*($B728/$C728)/($B$7/$C$7)</f>
        <v/>
      </c>
      <c r="E728" s="17">
        <f>'JGBCurve'!$E$1145</f>
        <v/>
      </c>
    </row>
    <row r="729">
      <c r="A729" s="11" t="n">
        <v>44505</v>
      </c>
      <c r="B729" s="24" t="n">
        <v>128.5899</v>
      </c>
      <c r="C729" s="24" t="n">
        <v>29611.5703</v>
      </c>
      <c r="D729" s="13">
        <f>100*($B729/$C729)/($B$7/$C$7)</f>
        <v/>
      </c>
      <c r="E729" s="17">
        <f>'JGBCurve'!$E$1146</f>
        <v/>
      </c>
    </row>
    <row r="730">
      <c r="A730" s="11" t="n">
        <v>44512</v>
      </c>
      <c r="B730" s="24" t="n">
        <v>128.5899</v>
      </c>
      <c r="C730" s="24" t="n">
        <v>29609.9707</v>
      </c>
      <c r="D730" s="13">
        <f>100*($B730/$C730)/($B$7/$C$7)</f>
        <v/>
      </c>
      <c r="E730" s="17">
        <f>'JGBCurve'!$E$1147</f>
        <v/>
      </c>
    </row>
    <row r="731">
      <c r="A731" s="11" t="n">
        <v>44519</v>
      </c>
      <c r="B731" s="24" t="n">
        <v>126.909</v>
      </c>
      <c r="C731" s="24" t="n">
        <v>29745.8691</v>
      </c>
      <c r="D731" s="13">
        <f>100*($B731/$C731)/($B$7/$C$7)</f>
        <v/>
      </c>
      <c r="E731" s="17">
        <f>'JGBCurve'!$E$1148</f>
        <v/>
      </c>
    </row>
    <row r="732">
      <c r="A732" s="11" t="n">
        <v>44526</v>
      </c>
      <c r="B732" s="24" t="n">
        <v>126.0686</v>
      </c>
      <c r="C732" s="24" t="n">
        <v>28751.6191</v>
      </c>
      <c r="D732" s="13">
        <f>100*($B732/$C732)/($B$7/$C$7)</f>
        <v/>
      </c>
      <c r="E732" s="17">
        <f>'JGBCurve'!$E$1149</f>
        <v/>
      </c>
    </row>
    <row r="733">
      <c r="A733" s="11" t="n">
        <v>44533</v>
      </c>
      <c r="B733" s="24" t="n">
        <v>124.9759</v>
      </c>
      <c r="C733" s="24" t="n">
        <v>28029.5703</v>
      </c>
      <c r="D733" s="13">
        <f>100*($B733/$C733)/($B$7/$C$7)</f>
        <v/>
      </c>
      <c r="E733" s="17">
        <f>'JGBCurve'!$E$1150</f>
        <v/>
      </c>
    </row>
    <row r="734">
      <c r="A734" s="11" t="n">
        <v>44540</v>
      </c>
      <c r="B734" s="24" t="n">
        <v>126.4047</v>
      </c>
      <c r="C734" s="24" t="n">
        <v>28437.7695</v>
      </c>
      <c r="D734" s="13">
        <f>100*($B734/$C734)/($B$7/$C$7)</f>
        <v/>
      </c>
      <c r="E734" s="17">
        <f>'JGBCurve'!$E$1151</f>
        <v/>
      </c>
    </row>
    <row r="735">
      <c r="A735" s="11" t="n">
        <v>44547</v>
      </c>
      <c r="B735" s="24" t="n">
        <v>128.5899</v>
      </c>
      <c r="C735" s="24" t="n">
        <v>28545.6797</v>
      </c>
      <c r="D735" s="13">
        <f>100*($B735/$C735)/($B$7/$C$7)</f>
        <v/>
      </c>
      <c r="E735" s="17">
        <f>'JGBCurve'!$E$1152</f>
        <v/>
      </c>
    </row>
    <row r="736">
      <c r="A736" s="11" t="n">
        <v>44554</v>
      </c>
      <c r="B736" s="24" t="n">
        <v>126.5728</v>
      </c>
      <c r="C736" s="24" t="n">
        <v>28782.5898</v>
      </c>
      <c r="D736" s="13">
        <f>100*($B736/$C736)/($B$7/$C$7)</f>
        <v/>
      </c>
      <c r="E736" s="17">
        <f>'JGBCurve'!$E$1153</f>
        <v/>
      </c>
    </row>
    <row r="737">
      <c r="A737" s="11" t="n">
        <v>44561</v>
      </c>
      <c r="B737" s="24" t="n">
        <v>128.0016</v>
      </c>
      <c r="C737" s="24" t="n">
        <v>28791.7109</v>
      </c>
      <c r="D737" s="13">
        <f>100*($B737/$C737)/($B$7/$C$7)</f>
        <v/>
      </c>
      <c r="E737" s="17">
        <f>'JGBCurve'!$E$1154</f>
        <v/>
      </c>
    </row>
    <row r="738">
      <c r="A738" s="11" t="n">
        <v>44568</v>
      </c>
      <c r="B738" s="24" t="n">
        <v>136.5742</v>
      </c>
      <c r="C738" s="24" t="n">
        <v>28478.5605</v>
      </c>
      <c r="D738" s="13">
        <f>100*($B738/$C738)/($B$7/$C$7)</f>
        <v/>
      </c>
      <c r="E738" s="17">
        <f>'JGBCurve'!$E$1155</f>
        <v/>
      </c>
    </row>
    <row r="739">
      <c r="A739" s="11" t="n">
        <v>44575</v>
      </c>
      <c r="B739" s="24" t="n">
        <v>140.7765</v>
      </c>
      <c r="C739" s="24" t="n">
        <v>28124.2793</v>
      </c>
      <c r="D739" s="13">
        <f>100*($B739/$C739)/($B$7/$C$7)</f>
        <v/>
      </c>
      <c r="E739" s="17">
        <f>'JGBCurve'!$E$1156</f>
        <v/>
      </c>
    </row>
    <row r="740">
      <c r="A740" s="11" t="n">
        <v>44582</v>
      </c>
      <c r="B740" s="24" t="n">
        <v>134.8093</v>
      </c>
      <c r="C740" s="24" t="n">
        <v>27522.2598</v>
      </c>
      <c r="D740" s="13">
        <f>100*($B740/$C740)/($B$7/$C$7)</f>
        <v/>
      </c>
      <c r="E740" s="17">
        <f>'JGBCurve'!$E$1157</f>
        <v/>
      </c>
    </row>
    <row r="741">
      <c r="A741" s="11" t="n">
        <v>44589</v>
      </c>
      <c r="B741" s="24" t="n">
        <v>138.2552</v>
      </c>
      <c r="C741" s="24" t="n">
        <v>26717.3398</v>
      </c>
      <c r="D741" s="13">
        <f>100*($B741/$C741)/($B$7/$C$7)</f>
        <v/>
      </c>
      <c r="E741" s="17">
        <f>'JGBCurve'!$E$1158</f>
        <v/>
      </c>
    </row>
    <row r="742">
      <c r="A742" s="11" t="n">
        <v>44596</v>
      </c>
      <c r="B742" s="24" t="n">
        <v>141.617</v>
      </c>
      <c r="C742" s="24" t="n">
        <v>27439.9902</v>
      </c>
      <c r="D742" s="13">
        <f>100*($B742/$C742)/($B$7/$C$7)</f>
        <v/>
      </c>
      <c r="E742" s="17">
        <f>'JGBCurve'!$E$1159</f>
        <v/>
      </c>
    </row>
    <row r="743">
      <c r="A743" s="11" t="n">
        <v>44603</v>
      </c>
      <c r="B743" s="24" t="n">
        <v>145.7352</v>
      </c>
      <c r="C743" s="24" t="n">
        <v>27696.0801</v>
      </c>
      <c r="D743" s="13">
        <f>100*($B743/$C743)/($B$7/$C$7)</f>
        <v/>
      </c>
      <c r="E743" s="17">
        <f>'JGBCurve'!$E$1160</f>
        <v/>
      </c>
    </row>
    <row r="744">
      <c r="A744" s="11" t="n">
        <v>44610</v>
      </c>
      <c r="B744" s="24" t="n">
        <v>142.2053</v>
      </c>
      <c r="C744" s="24" t="n">
        <v>27122.0703</v>
      </c>
      <c r="D744" s="13">
        <f>100*($B744/$C744)/($B$7/$C$7)</f>
        <v/>
      </c>
      <c r="E744" s="17">
        <f>'JGBCurve'!$E$1161</f>
        <v/>
      </c>
    </row>
    <row r="745">
      <c r="A745" s="11" t="n">
        <v>44617</v>
      </c>
      <c r="B745" s="24" t="n">
        <v>137.1626</v>
      </c>
      <c r="C745" s="24" t="n">
        <v>26476.5</v>
      </c>
      <c r="D745" s="13">
        <f>100*($B745/$C745)/($B$7/$C$7)</f>
        <v/>
      </c>
      <c r="E745" s="17">
        <f>'JGBCurve'!$E$1162</f>
        <v/>
      </c>
    </row>
    <row r="746">
      <c r="A746" s="11" t="n">
        <v>44624</v>
      </c>
      <c r="B746" s="24" t="n">
        <v>134.9774</v>
      </c>
      <c r="C746" s="24" t="n">
        <v>25985.4707</v>
      </c>
      <c r="D746" s="13">
        <f>100*($B746/$C746)/($B$7/$C$7)</f>
        <v/>
      </c>
      <c r="E746" s="17">
        <f>'JGBCurve'!$E$1163</f>
        <v/>
      </c>
    </row>
    <row r="747">
      <c r="A747" s="11" t="n">
        <v>44631</v>
      </c>
      <c r="B747" s="24" t="n">
        <v>134.3891</v>
      </c>
      <c r="C747" s="24" t="n">
        <v>25162.7793</v>
      </c>
      <c r="D747" s="13">
        <f>100*($B747/$C747)/($B$7/$C$7)</f>
        <v/>
      </c>
      <c r="E747" s="17">
        <f>'JGBCurve'!$E$1164</f>
        <v/>
      </c>
    </row>
    <row r="748">
      <c r="A748" s="11" t="n">
        <v>44638</v>
      </c>
      <c r="B748" s="24" t="n">
        <v>141.8691</v>
      </c>
      <c r="C748" s="24" t="n">
        <v>26827.4297</v>
      </c>
      <c r="D748" s="13">
        <f>100*($B748/$C748)/($B$7/$C$7)</f>
        <v/>
      </c>
      <c r="E748" s="17">
        <f>'JGBCurve'!$E$1165</f>
        <v/>
      </c>
    </row>
    <row r="749">
      <c r="A749" s="11" t="n">
        <v>44645</v>
      </c>
      <c r="B749" s="24" t="n">
        <v>146.2395</v>
      </c>
      <c r="C749" s="24" t="n">
        <v>28149.8398</v>
      </c>
      <c r="D749" s="13">
        <f>100*($B749/$C749)/($B$7/$C$7)</f>
        <v/>
      </c>
      <c r="E749" s="17">
        <f>'JGBCurve'!$E$1166</f>
        <v/>
      </c>
    </row>
    <row r="750">
      <c r="A750" s="11" t="n">
        <v>44652</v>
      </c>
      <c r="B750" s="24" t="n">
        <v>142.7936</v>
      </c>
      <c r="C750" s="24" t="n">
        <v>27665.9805</v>
      </c>
      <c r="D750" s="13">
        <f>100*($B750/$C750)/($B$7/$C$7)</f>
        <v/>
      </c>
      <c r="E750" s="17">
        <f>'JGBCurve'!$E$1167</f>
        <v/>
      </c>
    </row>
    <row r="751">
      <c r="A751" s="11" t="n">
        <v>44659</v>
      </c>
      <c r="B751" s="24" t="n">
        <v>139.0956</v>
      </c>
      <c r="C751" s="24" t="n">
        <v>26985.8008</v>
      </c>
      <c r="D751" s="13">
        <f>100*($B751/$C751)/($B$7/$C$7)</f>
        <v/>
      </c>
      <c r="E751" s="17">
        <f>'JGBCurve'!$E$1168</f>
        <v/>
      </c>
    </row>
    <row r="752">
      <c r="A752" s="11" t="n">
        <v>44666</v>
      </c>
      <c r="B752" s="24" t="n">
        <v>142.2894</v>
      </c>
      <c r="C752" s="24" t="n">
        <v>27093.1895</v>
      </c>
      <c r="D752" s="13">
        <f>100*($B752/$C752)/($B$7/$C$7)</f>
        <v/>
      </c>
      <c r="E752" s="17">
        <f>'JGBCurve'!$E$1169</f>
        <v/>
      </c>
    </row>
    <row r="753">
      <c r="A753" s="11" t="n">
        <v>44673</v>
      </c>
      <c r="B753" s="24" t="n">
        <v>144.3905</v>
      </c>
      <c r="C753" s="24" t="n">
        <v>27105.2598</v>
      </c>
      <c r="D753" s="13">
        <f>100*($B753/$C753)/($B$7/$C$7)</f>
        <v/>
      </c>
      <c r="E753" s="17">
        <f>'JGBCurve'!$E$1170</f>
        <v/>
      </c>
    </row>
    <row r="754">
      <c r="A754" s="11" t="n">
        <v>44680</v>
      </c>
      <c r="B754" s="24" t="n">
        <v>143.2979</v>
      </c>
      <c r="C754" s="24" t="n">
        <v>26847.9004</v>
      </c>
      <c r="D754" s="13">
        <f>100*($B754/$C754)/($B$7/$C$7)</f>
        <v/>
      </c>
      <c r="E754" s="17">
        <f>'JGBCurve'!$E$1171</f>
        <v/>
      </c>
    </row>
    <row r="755">
      <c r="A755" s="11" t="n">
        <v>44687</v>
      </c>
      <c r="B755" s="24" t="n">
        <v>146.2395</v>
      </c>
      <c r="C755" s="24" t="n">
        <v>27003.5605</v>
      </c>
      <c r="D755" s="13">
        <f>100*($B755/$C755)/($B$7/$C$7)</f>
        <v/>
      </c>
      <c r="E755" s="17">
        <f>'JGBCurve'!$E$1172</f>
        <v/>
      </c>
    </row>
    <row r="756">
      <c r="A756" s="11" t="n">
        <v>44694</v>
      </c>
      <c r="B756" s="24" t="n">
        <v>139.2637</v>
      </c>
      <c r="C756" s="24" t="n">
        <v>26427.6504</v>
      </c>
      <c r="D756" s="13">
        <f>100*($B756/$C756)/($B$7/$C$7)</f>
        <v/>
      </c>
      <c r="E756" s="17">
        <f>'JGBCurve'!$E$1173</f>
        <v/>
      </c>
    </row>
    <row r="757">
      <c r="A757" s="11" t="n">
        <v>44701</v>
      </c>
      <c r="B757" s="24" t="n">
        <v>137.1626</v>
      </c>
      <c r="C757" s="24" t="n">
        <v>26739.0293</v>
      </c>
      <c r="D757" s="13">
        <f>100*($B757/$C757)/($B$7/$C$7)</f>
        <v/>
      </c>
      <c r="E757" s="17">
        <f>'JGBCurve'!$E$1174</f>
        <v/>
      </c>
    </row>
    <row r="758">
      <c r="A758" s="11" t="n">
        <v>44708</v>
      </c>
      <c r="B758" s="24" t="n">
        <v>138.9275</v>
      </c>
      <c r="C758" s="24" t="n">
        <v>26781.6797</v>
      </c>
      <c r="D758" s="13">
        <f>100*($B758/$C758)/($B$7/$C$7)</f>
        <v/>
      </c>
      <c r="E758" s="17">
        <f>'JGBCurve'!$E$1175</f>
        <v/>
      </c>
    </row>
    <row r="759">
      <c r="A759" s="11" t="n">
        <v>44715</v>
      </c>
      <c r="B759" s="24" t="n">
        <v>140.6925</v>
      </c>
      <c r="C759" s="24" t="n">
        <v>27761.5703</v>
      </c>
      <c r="D759" s="13">
        <f>100*($B759/$C759)/($B$7/$C$7)</f>
        <v/>
      </c>
      <c r="E759" s="17">
        <f>'JGBCurve'!$E$1176</f>
        <v/>
      </c>
    </row>
    <row r="760">
      <c r="A760" s="11" t="n">
        <v>44722</v>
      </c>
      <c r="B760" s="24" t="n">
        <v>141.2808</v>
      </c>
      <c r="C760" s="24" t="n">
        <v>27824.2891</v>
      </c>
      <c r="D760" s="13">
        <f>100*($B760/$C760)/($B$7/$C$7)</f>
        <v/>
      </c>
      <c r="E760" s="17">
        <f>'JGBCurve'!$E$1177</f>
        <v/>
      </c>
    </row>
    <row r="761">
      <c r="A761" s="11" t="n">
        <v>44729</v>
      </c>
      <c r="B761" s="24" t="n">
        <v>140.2722</v>
      </c>
      <c r="C761" s="24" t="n">
        <v>25963</v>
      </c>
      <c r="D761" s="13">
        <f>100*($B761/$C761)/($B$7/$C$7)</f>
        <v/>
      </c>
      <c r="E761" s="17">
        <f>'JGBCurve'!$E$1178</f>
        <v/>
      </c>
    </row>
    <row r="762">
      <c r="A762" s="11" t="n">
        <v>44736</v>
      </c>
      <c r="B762" s="24" t="n">
        <v>142.7936</v>
      </c>
      <c r="C762" s="24" t="n">
        <v>26491.9707</v>
      </c>
      <c r="D762" s="13">
        <f>100*($B762/$C762)/($B$7/$C$7)</f>
        <v/>
      </c>
      <c r="E762" s="17">
        <f>'JGBCurve'!$E$1179</f>
        <v/>
      </c>
    </row>
    <row r="763">
      <c r="A763" s="11" t="n">
        <v>44743</v>
      </c>
      <c r="B763" s="24" t="n">
        <v>141.617</v>
      </c>
      <c r="C763" s="24" t="n">
        <v>25935.6191</v>
      </c>
      <c r="D763" s="13">
        <f>100*($B763/$C763)/($B$7/$C$7)</f>
        <v/>
      </c>
      <c r="E763" s="17">
        <f>'JGBCurve'!$E$1180</f>
        <v/>
      </c>
    </row>
    <row r="764">
      <c r="A764" s="11" t="n">
        <v>44750</v>
      </c>
      <c r="B764" s="24" t="n">
        <v>141.617</v>
      </c>
      <c r="C764" s="24" t="n">
        <v>26517.1895</v>
      </c>
      <c r="D764" s="13">
        <f>100*($B764/$C764)/($B$7/$C$7)</f>
        <v/>
      </c>
      <c r="E764" s="17">
        <f>'JGBCurve'!$E$1181</f>
        <v/>
      </c>
    </row>
    <row r="765">
      <c r="A765" s="11" t="n">
        <v>44757</v>
      </c>
      <c r="B765" s="24" t="n">
        <v>138.8814</v>
      </c>
      <c r="C765" s="24" t="n">
        <v>26788.4707</v>
      </c>
      <c r="D765" s="13">
        <f>100*($B765/$C765)/($B$7/$C$7)</f>
        <v/>
      </c>
      <c r="E765" s="17">
        <f>'JGBCurve'!$E$1182</f>
        <v/>
      </c>
    </row>
    <row r="766">
      <c r="A766" s="11" t="n">
        <v>44764</v>
      </c>
      <c r="B766" s="24" t="n">
        <v>143.3361</v>
      </c>
      <c r="C766" s="24" t="n">
        <v>27914.6602</v>
      </c>
      <c r="D766" s="13">
        <f>100*($B766/$C766)/($B$7/$C$7)</f>
        <v/>
      </c>
      <c r="E766" s="17">
        <f>'JGBCurve'!$E$1183</f>
        <v/>
      </c>
    </row>
    <row r="767">
      <c r="A767" s="11" t="n">
        <v>44771</v>
      </c>
      <c r="B767" s="24" t="n">
        <v>144.3842</v>
      </c>
      <c r="C767" s="24" t="n">
        <v>27801.6406</v>
      </c>
      <c r="D767" s="13">
        <f>100*($B767/$C767)/($B$7/$C$7)</f>
        <v/>
      </c>
      <c r="E767" s="17">
        <f>'JGBCurve'!$E$1184</f>
        <v/>
      </c>
    </row>
    <row r="768">
      <c r="A768" s="11" t="n">
        <v>44778</v>
      </c>
      <c r="B768" s="24" t="n">
        <v>140.541</v>
      </c>
      <c r="C768" s="24" t="n">
        <v>28175.8691</v>
      </c>
      <c r="D768" s="13">
        <f>100*($B768/$C768)/($B$7/$C$7)</f>
        <v/>
      </c>
      <c r="E768" s="17">
        <f>'JGBCurve'!$E$1185</f>
        <v/>
      </c>
    </row>
    <row r="769">
      <c r="A769" s="11" t="n">
        <v>44785</v>
      </c>
      <c r="B769" s="24" t="n">
        <v>143.5107</v>
      </c>
      <c r="C769" s="24" t="n">
        <v>28546.9805</v>
      </c>
      <c r="D769" s="13">
        <f>100*($B769/$C769)/($B$7/$C$7)</f>
        <v/>
      </c>
      <c r="E769" s="17">
        <f>'JGBCurve'!$E$1186</f>
        <v/>
      </c>
    </row>
    <row r="770">
      <c r="A770" s="11" t="n">
        <v>44792</v>
      </c>
      <c r="B770" s="24" t="n">
        <v>143.5981</v>
      </c>
      <c r="C770" s="24" t="n">
        <v>28930.3301</v>
      </c>
      <c r="D770" s="13">
        <f>100*($B770/$C770)/($B$7/$C$7)</f>
        <v/>
      </c>
      <c r="E770" s="17">
        <f>'JGBCurve'!$E$1187</f>
        <v/>
      </c>
    </row>
    <row r="771">
      <c r="A771" s="11" t="n">
        <v>44799</v>
      </c>
      <c r="B771" s="24" t="n">
        <v>144.9083</v>
      </c>
      <c r="C771" s="24" t="n">
        <v>28641.3809</v>
      </c>
      <c r="D771" s="13">
        <f>100*($B771/$C771)/($B$7/$C$7)</f>
        <v/>
      </c>
      <c r="E771" s="17">
        <f>'JGBCurve'!$E$1188</f>
        <v/>
      </c>
    </row>
    <row r="772">
      <c r="A772" s="11" t="n">
        <v>44806</v>
      </c>
      <c r="B772" s="24" t="n">
        <v>143.074</v>
      </c>
      <c r="C772" s="24" t="n">
        <v>27650.8398</v>
      </c>
      <c r="D772" s="13">
        <f>100*($B772/$C772)/($B$7/$C$7)</f>
        <v/>
      </c>
      <c r="E772" s="17">
        <f>'JGBCurve'!$E$1189</f>
        <v/>
      </c>
    </row>
    <row r="773">
      <c r="A773" s="11" t="n">
        <v>44813</v>
      </c>
      <c r="B773" s="24" t="n">
        <v>146.0438</v>
      </c>
      <c r="C773" s="24" t="n">
        <v>28214.75</v>
      </c>
      <c r="D773" s="13">
        <f>100*($B773/$C773)/($B$7/$C$7)</f>
        <v/>
      </c>
      <c r="E773" s="17">
        <f>'JGBCurve'!$E$1190</f>
        <v/>
      </c>
    </row>
    <row r="774">
      <c r="A774" s="11" t="n">
        <v>44820</v>
      </c>
      <c r="B774" s="24" t="n">
        <v>147.6161</v>
      </c>
      <c r="C774" s="24" t="n">
        <v>27567.6504</v>
      </c>
      <c r="D774" s="13">
        <f>100*($B774/$C774)/($B$7/$C$7)</f>
        <v/>
      </c>
      <c r="E774" s="17">
        <f>'JGBCurve'!$E$1191</f>
        <v/>
      </c>
    </row>
    <row r="775">
      <c r="A775" s="11" t="n">
        <v>44827</v>
      </c>
      <c r="B775" s="24" t="n">
        <v>146.6552</v>
      </c>
      <c r="C775" s="24" t="n">
        <v>27153.8301</v>
      </c>
      <c r="D775" s="13">
        <f>100*($B775/$C775)/($B$7/$C$7)</f>
        <v/>
      </c>
      <c r="E775" s="17">
        <f>'JGBCurve'!$E$1192</f>
        <v/>
      </c>
    </row>
    <row r="776">
      <c r="A776" s="11" t="n">
        <v>44834</v>
      </c>
      <c r="B776" s="24" t="n">
        <v>141.2397</v>
      </c>
      <c r="C776" s="24" t="n">
        <v>25937.2109</v>
      </c>
      <c r="D776" s="13">
        <f>100*($B776/$C776)/($B$7/$C$7)</f>
        <v/>
      </c>
      <c r="E776" s="17">
        <f>'JGBCurve'!$E$1193</f>
        <v/>
      </c>
    </row>
    <row r="777">
      <c r="A777" s="11" t="n">
        <v>44841</v>
      </c>
      <c r="B777" s="24" t="n">
        <v>142.812</v>
      </c>
      <c r="C777" s="24" t="n">
        <v>27116.1094</v>
      </c>
      <c r="D777" s="13">
        <f>100*($B777/$C777)/($B$7/$C$7)</f>
        <v/>
      </c>
      <c r="E777" s="17">
        <f>'JGBCurve'!$E$1194</f>
        <v/>
      </c>
    </row>
    <row r="778">
      <c r="A778" s="11" t="n">
        <v>44848</v>
      </c>
      <c r="B778" s="24" t="n">
        <v>144.5589</v>
      </c>
      <c r="C778" s="24" t="n">
        <v>27090.7598</v>
      </c>
      <c r="D778" s="13">
        <f>100*($B778/$C778)/($B$7/$C$7)</f>
        <v/>
      </c>
      <c r="E778" s="17">
        <f>'JGBCurve'!$E$1195</f>
        <v/>
      </c>
    </row>
    <row r="779">
      <c r="A779" s="11" t="n">
        <v>44855</v>
      </c>
      <c r="B779" s="24" t="n">
        <v>146.3058</v>
      </c>
      <c r="C779" s="24" t="n">
        <v>26890.5801</v>
      </c>
      <c r="D779" s="13">
        <f>100*($B779/$C779)/($B$7/$C$7)</f>
        <v/>
      </c>
      <c r="E779" s="17">
        <f>'JGBCurve'!$E$1196</f>
        <v/>
      </c>
    </row>
    <row r="780">
      <c r="A780" s="11" t="n">
        <v>44862</v>
      </c>
      <c r="B780" s="24" t="n">
        <v>144.8209</v>
      </c>
      <c r="C780" s="24" t="n">
        <v>27105.1992</v>
      </c>
      <c r="D780" s="13">
        <f>100*($B780/$C780)/($B$7/$C$7)</f>
        <v/>
      </c>
      <c r="E780" s="17">
        <f>'JGBCurve'!$E$1197</f>
        <v/>
      </c>
    </row>
    <row r="781">
      <c r="A781" s="11" t="n">
        <v>44869</v>
      </c>
      <c r="B781" s="24" t="n">
        <v>147.5287</v>
      </c>
      <c r="C781" s="24" t="n">
        <v>27199.7402</v>
      </c>
      <c r="D781" s="13">
        <f>100*($B781/$C781)/($B$7/$C$7)</f>
        <v/>
      </c>
      <c r="E781" s="17">
        <f>'JGBCurve'!$E$1198</f>
        <v/>
      </c>
    </row>
    <row r="782">
      <c r="A782" s="11" t="n">
        <v>44876</v>
      </c>
      <c r="B782" s="24" t="n">
        <v>149.1009</v>
      </c>
      <c r="C782" s="24" t="n">
        <v>28263.5703</v>
      </c>
      <c r="D782" s="13">
        <f>100*($B782/$C782)/($B$7/$C$7)</f>
        <v/>
      </c>
      <c r="E782" s="17">
        <f>'JGBCurve'!$E$1199</f>
        <v/>
      </c>
    </row>
    <row r="783">
      <c r="A783" s="11" t="n">
        <v>44883</v>
      </c>
      <c r="B783" s="24" t="n">
        <v>150.8479</v>
      </c>
      <c r="C783" s="24" t="n">
        <v>27899.7695</v>
      </c>
      <c r="D783" s="13">
        <f>100*($B783/$C783)/($B$7/$C$7)</f>
        <v/>
      </c>
      <c r="E783" s="17">
        <f>'JGBCurve'!$E$1200</f>
        <v/>
      </c>
    </row>
    <row r="784">
      <c r="A784" s="11" t="n">
        <v>44890</v>
      </c>
      <c r="B784" s="24" t="n">
        <v>159.9319</v>
      </c>
      <c r="C784" s="24" t="n">
        <v>28283.0293</v>
      </c>
      <c r="D784" s="13">
        <f>100*($B784/$C784)/($B$7/$C$7)</f>
        <v/>
      </c>
      <c r="E784" s="17">
        <f>'JGBCurve'!$E$1201</f>
        <v/>
      </c>
    </row>
    <row r="785">
      <c r="A785" s="11" t="n">
        <v>44897</v>
      </c>
      <c r="B785" s="24" t="n">
        <v>154.3417</v>
      </c>
      <c r="C785" s="24" t="n">
        <v>27777.9004</v>
      </c>
      <c r="D785" s="13">
        <f>100*($B785/$C785)/($B$7/$C$7)</f>
        <v/>
      </c>
      <c r="E785" s="17">
        <f>'JGBCurve'!$E$1202</f>
        <v/>
      </c>
    </row>
    <row r="786">
      <c r="A786" s="11" t="n">
        <v>44904</v>
      </c>
      <c r="B786" s="24" t="n">
        <v>156.176</v>
      </c>
      <c r="C786" s="24" t="n">
        <v>27901.0098</v>
      </c>
      <c r="D786" s="13">
        <f>100*($B786/$C786)/($B$7/$C$7)</f>
        <v/>
      </c>
      <c r="E786" s="17">
        <f>'JGBCurve'!$E$1203</f>
        <v/>
      </c>
    </row>
    <row r="787">
      <c r="A787" s="11" t="n">
        <v>44911</v>
      </c>
      <c r="B787" s="24" t="n">
        <v>157.1368</v>
      </c>
      <c r="C787" s="24" t="n">
        <v>27527.1191</v>
      </c>
      <c r="D787" s="13">
        <f>100*($B787/$C787)/($B$7/$C$7)</f>
        <v/>
      </c>
      <c r="E787" s="17">
        <f>'JGBCurve'!$E$1204</f>
        <v/>
      </c>
    </row>
    <row r="788">
      <c r="A788" s="11" t="n">
        <v>44918</v>
      </c>
      <c r="B788" s="24" t="n">
        <v>177.7507</v>
      </c>
      <c r="C788" s="24" t="n">
        <v>26235.25</v>
      </c>
      <c r="D788" s="13">
        <f>100*($B788/$C788)/($B$7/$C$7)</f>
        <v/>
      </c>
      <c r="E788" s="17">
        <f>'JGBCurve'!$E$1205</f>
        <v/>
      </c>
    </row>
    <row r="789">
      <c r="A789" s="11" t="n">
        <v>44925</v>
      </c>
      <c r="B789" s="24" t="n">
        <v>177.0519</v>
      </c>
      <c r="C789" s="24" t="n">
        <v>26094.5</v>
      </c>
      <c r="D789" s="13">
        <f>100*($B789/$C789)/($B$7/$C$7)</f>
        <v/>
      </c>
      <c r="E789" s="17">
        <f>'JGBCurve'!$E$1206</f>
        <v/>
      </c>
    </row>
    <row r="790">
      <c r="A790" s="11" t="n">
        <v>44932</v>
      </c>
      <c r="B790" s="24" t="n">
        <v>177.3139</v>
      </c>
      <c r="C790" s="24" t="n">
        <v>25973.8496</v>
      </c>
      <c r="D790" s="13">
        <f>100*($B790/$C790)/($B$7/$C$7)</f>
        <v/>
      </c>
      <c r="E790" s="17">
        <f>'JGBCurve'!$E$1207</f>
        <v/>
      </c>
    </row>
    <row r="791">
      <c r="A791" s="11" t="n">
        <v>44939</v>
      </c>
      <c r="B791" s="24" t="n">
        <v>190.7654</v>
      </c>
      <c r="C791" s="24" t="n">
        <v>26119.5195</v>
      </c>
      <c r="D791" s="13">
        <f>100*($B791/$C791)/($B$7/$C$7)</f>
        <v/>
      </c>
      <c r="E791" s="17">
        <f>'JGBCurve'!$E$1208</f>
        <v/>
      </c>
    </row>
    <row r="792">
      <c r="A792" s="11" t="n">
        <v>44946</v>
      </c>
      <c r="B792" s="24" t="n">
        <v>182.9041</v>
      </c>
      <c r="C792" s="24" t="n">
        <v>26553.5293</v>
      </c>
      <c r="D792" s="13">
        <f>100*($B792/$C792)/($B$7/$C$7)</f>
        <v/>
      </c>
      <c r="E792" s="17">
        <f>'JGBCurve'!$E$1209</f>
        <v/>
      </c>
    </row>
    <row r="793">
      <c r="A793" s="11" t="n">
        <v>44953</v>
      </c>
      <c r="B793" s="24" t="n">
        <v>190.94</v>
      </c>
      <c r="C793" s="24" t="n">
        <v>27382.5605</v>
      </c>
      <c r="D793" s="13">
        <f>100*($B793/$C793)/($B$7/$C$7)</f>
        <v/>
      </c>
      <c r="E793" s="17">
        <f>'JGBCurve'!$E$1210</f>
        <v/>
      </c>
    </row>
    <row r="794">
      <c r="A794" s="11" t="n">
        <v>44960</v>
      </c>
      <c r="B794" s="24" t="n">
        <v>184.4764</v>
      </c>
      <c r="C794" s="24" t="n">
        <v>27509.4609</v>
      </c>
      <c r="D794" s="13">
        <f>100*($B794/$C794)/($B$7/$C$7)</f>
        <v/>
      </c>
      <c r="E794" s="17">
        <f>'JGBCurve'!$E$1211</f>
        <v/>
      </c>
    </row>
    <row r="795">
      <c r="A795" s="11" t="n">
        <v>44967</v>
      </c>
      <c r="B795" s="24" t="n">
        <v>189.1931</v>
      </c>
      <c r="C795" s="24" t="n">
        <v>27670.9805</v>
      </c>
      <c r="D795" s="13">
        <f>100*($B795/$C795)/($B$7/$C$7)</f>
        <v/>
      </c>
      <c r="E795" s="17">
        <f>'JGBCurve'!$E$1212</f>
        <v/>
      </c>
    </row>
    <row r="796">
      <c r="A796" s="11" t="n">
        <v>44974</v>
      </c>
      <c r="B796" s="24" t="n">
        <v>193.8225</v>
      </c>
      <c r="C796" s="24" t="n">
        <v>27513.1309</v>
      </c>
      <c r="D796" s="13">
        <f>100*($B796/$C796)/($B$7/$C$7)</f>
        <v/>
      </c>
      <c r="E796" s="17">
        <f>'JGBCurve'!$E$1213</f>
        <v/>
      </c>
    </row>
    <row r="797">
      <c r="A797" s="11" t="n">
        <v>44981</v>
      </c>
      <c r="B797" s="24" t="n">
        <v>191.2894</v>
      </c>
      <c r="C797" s="24" t="n">
        <v>27453.4805</v>
      </c>
      <c r="D797" s="13">
        <f>100*($B797/$C797)/($B$7/$C$7)</f>
        <v/>
      </c>
      <c r="E797" s="17">
        <f>'JGBCurve'!$E$1214</f>
        <v/>
      </c>
    </row>
    <row r="798">
      <c r="A798" s="11" t="n">
        <v>44988</v>
      </c>
      <c r="B798" s="24" t="n">
        <v>193.3857</v>
      </c>
      <c r="C798" s="24" t="n">
        <v>27927.4707</v>
      </c>
      <c r="D798" s="13">
        <f>100*($B798/$C798)/($B$7/$C$7)</f>
        <v/>
      </c>
      <c r="E798" s="17">
        <f>'JGBCurve'!$E$1215</f>
        <v/>
      </c>
    </row>
    <row r="799">
      <c r="A799" s="11" t="n">
        <v>44995</v>
      </c>
      <c r="B799" s="24" t="n">
        <v>191.2894</v>
      </c>
      <c r="C799" s="24" t="n">
        <v>28143.9707</v>
      </c>
      <c r="D799" s="13">
        <f>100*($B799/$C799)/($B$7/$C$7)</f>
        <v/>
      </c>
      <c r="E799" s="17">
        <f>'JGBCurve'!$E$1216</f>
        <v/>
      </c>
    </row>
    <row r="800">
      <c r="A800" s="11" t="n">
        <v>45002</v>
      </c>
      <c r="B800" s="24" t="n">
        <v>170.4136</v>
      </c>
      <c r="C800" s="24" t="n">
        <v>27333.7891</v>
      </c>
      <c r="D800" s="13">
        <f>100*($B800/$C800)/($B$7/$C$7)</f>
        <v/>
      </c>
      <c r="E800" s="17">
        <f>'JGBCurve'!$E$1217</f>
        <v/>
      </c>
    </row>
    <row r="801">
      <c r="A801" s="11" t="n">
        <v>45009</v>
      </c>
      <c r="B801" s="24" t="n">
        <v>168.2299</v>
      </c>
      <c r="C801" s="24" t="n">
        <v>27385.25</v>
      </c>
      <c r="D801" s="13">
        <f>100*($B801/$C801)/($B$7/$C$7)</f>
        <v/>
      </c>
      <c r="E801" s="17">
        <f>'JGBCurve'!$E$1218</f>
        <v/>
      </c>
    </row>
    <row r="802">
      <c r="A802" s="11" t="n">
        <v>45016</v>
      </c>
      <c r="B802" s="24" t="n">
        <v>174.6935</v>
      </c>
      <c r="C802" s="24" t="n">
        <v>28041.4805</v>
      </c>
      <c r="D802" s="13">
        <f>100*($B802/$C802)/($B$7/$C$7)</f>
        <v/>
      </c>
      <c r="E802" s="17">
        <f>'JGBCurve'!$E$1219</f>
        <v/>
      </c>
    </row>
    <row r="803">
      <c r="A803" s="11" t="n">
        <v>45023</v>
      </c>
      <c r="B803" s="24" t="n">
        <v>175.9164</v>
      </c>
      <c r="C803" s="24" t="n">
        <v>27518.3105</v>
      </c>
      <c r="D803" s="13">
        <f>100*($B803/$C803)/($B$7/$C$7)</f>
        <v/>
      </c>
      <c r="E803" s="17">
        <f>'JGBCurve'!$E$1220</f>
        <v/>
      </c>
    </row>
    <row r="804">
      <c r="A804" s="11" t="n">
        <v>45030</v>
      </c>
      <c r="B804" s="24" t="n">
        <v>177.4886</v>
      </c>
      <c r="C804" s="24" t="n">
        <v>28493.4707</v>
      </c>
      <c r="D804" s="13">
        <f>100*($B804/$C804)/($B$7/$C$7)</f>
        <v/>
      </c>
      <c r="E804" s="17">
        <f>'JGBCurve'!$E$1221</f>
        <v/>
      </c>
    </row>
    <row r="805">
      <c r="A805" s="11" t="n">
        <v>45037</v>
      </c>
      <c r="B805" s="24" t="n">
        <v>182.2054</v>
      </c>
      <c r="C805" s="24" t="n">
        <v>28564.3691</v>
      </c>
      <c r="D805" s="13">
        <f>100*($B805/$C805)/($B$7/$C$7)</f>
        <v/>
      </c>
      <c r="E805" s="17">
        <f>'JGBCurve'!$E$1222</f>
        <v/>
      </c>
    </row>
    <row r="806">
      <c r="A806" s="11" t="n">
        <v>45044</v>
      </c>
      <c r="B806" s="24" t="n">
        <v>192.1629</v>
      </c>
      <c r="C806" s="24" t="n">
        <v>28856.4395</v>
      </c>
      <c r="D806" s="13">
        <f>100*($B806/$C806)/($B$7/$C$7)</f>
        <v/>
      </c>
      <c r="E806" s="17">
        <f>'JGBCurve'!$E$1223</f>
        <v/>
      </c>
    </row>
    <row r="807">
      <c r="A807" s="11" t="n">
        <v>45051</v>
      </c>
      <c r="B807" s="24" t="n">
        <v>181.6813</v>
      </c>
      <c r="C807" s="24" t="n">
        <v>29157.9492</v>
      </c>
      <c r="D807" s="13">
        <f>100*($B807/$C807)/($B$7/$C$7)</f>
        <v/>
      </c>
      <c r="E807" s="17">
        <f>'JGBCurve'!$E$1224</f>
        <v/>
      </c>
    </row>
    <row r="808">
      <c r="A808" s="11" t="n">
        <v>45058</v>
      </c>
      <c r="B808" s="24" t="n">
        <v>183.4282</v>
      </c>
      <c r="C808" s="24" t="n">
        <v>29388.3008</v>
      </c>
      <c r="D808" s="13">
        <f>100*($B808/$C808)/($B$7/$C$7)</f>
        <v/>
      </c>
      <c r="E808" s="17">
        <f>'JGBCurve'!$E$1225</f>
        <v/>
      </c>
    </row>
    <row r="809">
      <c r="A809" s="11" t="n">
        <v>45065</v>
      </c>
      <c r="B809" s="24" t="n">
        <v>188.407</v>
      </c>
      <c r="C809" s="24" t="n">
        <v>30808.3496</v>
      </c>
      <c r="D809" s="13">
        <f>100*($B809/$C809)/($B$7/$C$7)</f>
        <v/>
      </c>
      <c r="E809" s="17">
        <f>'JGBCurve'!$E$1226</f>
        <v/>
      </c>
    </row>
    <row r="810">
      <c r="A810" s="11" t="n">
        <v>45072</v>
      </c>
      <c r="B810" s="24" t="n">
        <v>184.9131</v>
      </c>
      <c r="C810" s="24" t="n">
        <v>30916.3105</v>
      </c>
      <c r="D810" s="13">
        <f>100*($B810/$C810)/($B$7/$C$7)</f>
        <v/>
      </c>
      <c r="E810" s="17">
        <f>'JGBCurve'!$E$1227</f>
        <v/>
      </c>
    </row>
    <row r="811">
      <c r="A811" s="11" t="n">
        <v>45079</v>
      </c>
      <c r="B811" s="24" t="n">
        <v>191.2894</v>
      </c>
      <c r="C811" s="24" t="n">
        <v>31524.2207</v>
      </c>
      <c r="D811" s="13">
        <f>100*($B811/$C811)/($B$7/$C$7)</f>
        <v/>
      </c>
      <c r="E811" s="17">
        <f>'JGBCurve'!$E$1228</f>
        <v/>
      </c>
    </row>
    <row r="812">
      <c r="A812" s="11" t="n">
        <v>45086</v>
      </c>
      <c r="B812" s="24" t="n">
        <v>192.5123</v>
      </c>
      <c r="C812" s="24" t="n">
        <v>32265.1699</v>
      </c>
      <c r="D812" s="13">
        <f>100*($B812/$C812)/($B$7/$C$7)</f>
        <v/>
      </c>
      <c r="E812" s="17">
        <f>'JGBCurve'!$E$1229</f>
        <v/>
      </c>
    </row>
    <row r="813">
      <c r="A813" s="11" t="n">
        <v>45093</v>
      </c>
      <c r="B813" s="24" t="n">
        <v>194.1719</v>
      </c>
      <c r="C813" s="24" t="n">
        <v>33706.0781</v>
      </c>
      <c r="D813" s="13">
        <f>100*($B813/$C813)/($B$7/$C$7)</f>
        <v/>
      </c>
      <c r="E813" s="17">
        <f>'JGBCurve'!$E$1230</f>
        <v/>
      </c>
    </row>
    <row r="814">
      <c r="A814" s="11" t="n">
        <v>45100</v>
      </c>
      <c r="B814" s="24" t="n">
        <v>197.6658</v>
      </c>
      <c r="C814" s="24" t="n">
        <v>32781.5391</v>
      </c>
      <c r="D814" s="13">
        <f>100*($B814/$C814)/($B$7/$C$7)</f>
        <v/>
      </c>
      <c r="E814" s="17">
        <f>'JGBCurve'!$E$1231</f>
        <v/>
      </c>
    </row>
    <row r="815">
      <c r="A815" s="11" t="n">
        <v>45107</v>
      </c>
      <c r="B815" s="24" t="n">
        <v>204.3041</v>
      </c>
      <c r="C815" s="24" t="n">
        <v>33189.0391</v>
      </c>
      <c r="D815" s="13">
        <f>100*($B815/$C815)/($B$7/$C$7)</f>
        <v/>
      </c>
      <c r="E815" s="17">
        <f>'JGBCurve'!$E$1232</f>
        <v/>
      </c>
    </row>
    <row r="816">
      <c r="A816" s="11" t="n">
        <v>45114</v>
      </c>
      <c r="B816" s="24" t="n">
        <v>206.4878</v>
      </c>
      <c r="C816" s="24" t="n">
        <v>32388.4199</v>
      </c>
      <c r="D816" s="13">
        <f>100*($B816/$C816)/($B$7/$C$7)</f>
        <v/>
      </c>
      <c r="E816" s="17">
        <f>'JGBCurve'!$E$1233</f>
        <v/>
      </c>
    </row>
    <row r="817">
      <c r="A817" s="11" t="n">
        <v>45121</v>
      </c>
      <c r="B817" s="24" t="n">
        <v>206.0156</v>
      </c>
      <c r="C817" s="24" t="n">
        <v>32391.2598</v>
      </c>
      <c r="D817" s="13">
        <f>100*($B817/$C817)/($B$7/$C$7)</f>
        <v/>
      </c>
      <c r="E817" s="17">
        <f>'JGBCurve'!$E$1234</f>
        <v/>
      </c>
    </row>
    <row r="818">
      <c r="A818" s="11" t="n">
        <v>45128</v>
      </c>
      <c r="B818" s="24" t="n">
        <v>208.8045</v>
      </c>
      <c r="C818" s="24" t="n">
        <v>32304.25</v>
      </c>
      <c r="D818" s="13">
        <f>100*($B818/$C818)/($B$7/$C$7)</f>
        <v/>
      </c>
      <c r="E818" s="17">
        <f>'JGBCurve'!$E$1235</f>
        <v/>
      </c>
    </row>
    <row r="819">
      <c r="A819" s="11" t="n">
        <v>45135</v>
      </c>
      <c r="B819" s="24" t="n">
        <v>220.1399</v>
      </c>
      <c r="C819" s="24" t="n">
        <v>32759.2305</v>
      </c>
      <c r="D819" s="13">
        <f>100*($B819/$C819)/($B$7/$C$7)</f>
        <v/>
      </c>
      <c r="E819" s="17">
        <f>'JGBCurve'!$E$1236</f>
        <v/>
      </c>
    </row>
    <row r="820">
      <c r="A820" s="11" t="n">
        <v>45142</v>
      </c>
      <c r="B820" s="24" t="n">
        <v>219.9599</v>
      </c>
      <c r="C820" s="24" t="n">
        <v>32192.75</v>
      </c>
      <c r="D820" s="13">
        <f>100*($B820/$C820)/($B$7/$C$7)</f>
        <v/>
      </c>
      <c r="E820" s="17">
        <f>'JGBCurve'!$E$1237</f>
        <v/>
      </c>
    </row>
    <row r="821">
      <c r="A821" s="11" t="n">
        <v>45149</v>
      </c>
      <c r="B821" s="24" t="n">
        <v>216.6313</v>
      </c>
      <c r="C821" s="24" t="n">
        <v>32473.6504</v>
      </c>
      <c r="D821" s="13">
        <f>100*($B821/$C821)/($B$7/$C$7)</f>
        <v/>
      </c>
      <c r="E821" s="17">
        <f>'JGBCurve'!$E$1238</f>
        <v/>
      </c>
    </row>
    <row r="822">
      <c r="A822" s="11" t="n">
        <v>45156</v>
      </c>
      <c r="B822" s="24" t="n">
        <v>211.8633</v>
      </c>
      <c r="C822" s="24" t="n">
        <v>31450.7598</v>
      </c>
      <c r="D822" s="13">
        <f>100*($B822/$C822)/($B$7/$C$7)</f>
        <v/>
      </c>
      <c r="E822" s="17">
        <f>'JGBCurve'!$E$1239</f>
        <v/>
      </c>
    </row>
    <row r="823">
      <c r="A823" s="11" t="n">
        <v>45163</v>
      </c>
      <c r="B823" s="24" t="n">
        <v>219.4202</v>
      </c>
      <c r="C823" s="24" t="n">
        <v>31624.2793</v>
      </c>
      <c r="D823" s="13">
        <f>100*($B823/$C823)/($B$7/$C$7)</f>
        <v/>
      </c>
      <c r="E823" s="17">
        <f>'JGBCurve'!$E$1240</f>
        <v/>
      </c>
    </row>
    <row r="824">
      <c r="A824" s="11" t="n">
        <v>45170</v>
      </c>
      <c r="B824" s="24" t="n">
        <v>228.1466</v>
      </c>
      <c r="C824" s="24" t="n">
        <v>32710.6191</v>
      </c>
      <c r="D824" s="13">
        <f>100*($B824/$C824)/($B$7/$C$7)</f>
        <v/>
      </c>
      <c r="E824" s="17">
        <f>'JGBCurve'!$E$1241</f>
        <v/>
      </c>
    </row>
    <row r="825">
      <c r="A825" s="11" t="n">
        <v>45177</v>
      </c>
      <c r="B825" s="24" t="n">
        <v>233.5444</v>
      </c>
      <c r="C825" s="24" t="n">
        <v>32606.8398</v>
      </c>
      <c r="D825" s="13">
        <f>100*($B825/$C825)/($B$7/$C$7)</f>
        <v/>
      </c>
      <c r="E825" s="17">
        <f>'JGBCurve'!$E$1242</f>
        <v/>
      </c>
    </row>
    <row r="826">
      <c r="A826" s="11" t="n">
        <v>45184</v>
      </c>
      <c r="B826" s="24" t="n">
        <v>248.3883</v>
      </c>
      <c r="C826" s="24" t="n">
        <v>33533.0898</v>
      </c>
      <c r="D826" s="13">
        <f>100*($B826/$C826)/($B$7/$C$7)</f>
        <v/>
      </c>
      <c r="E826" s="17">
        <f>'JGBCurve'!$E$1243</f>
        <v/>
      </c>
    </row>
    <row r="827">
      <c r="A827" s="11" t="n">
        <v>45191</v>
      </c>
      <c r="B827" s="24" t="n">
        <v>255.9452</v>
      </c>
      <c r="C827" s="24" t="n">
        <v>32402.4102</v>
      </c>
      <c r="D827" s="13">
        <f>100*($B827/$C827)/($B$7/$C$7)</f>
        <v/>
      </c>
      <c r="E827" s="17">
        <f>'JGBCurve'!$E$1244</f>
        <v/>
      </c>
    </row>
    <row r="828">
      <c r="A828" s="11" t="n">
        <v>45198</v>
      </c>
      <c r="B828" s="24" t="n">
        <v>246.1392</v>
      </c>
      <c r="C828" s="24" t="n">
        <v>31857.6191</v>
      </c>
      <c r="D828" s="13">
        <f>100*($B828/$C828)/($B$7/$C$7)</f>
        <v/>
      </c>
      <c r="E828" s="17">
        <f>'JGBCurve'!$E$1245</f>
        <v/>
      </c>
    </row>
    <row r="829">
      <c r="A829" s="11" t="n">
        <v>45205</v>
      </c>
      <c r="B829" s="24" t="n">
        <v>242.6307</v>
      </c>
      <c r="C829" s="24" t="n">
        <v>30994.6699</v>
      </c>
      <c r="D829" s="13">
        <f>100*($B829/$C829)/($B$7/$C$7)</f>
        <v/>
      </c>
      <c r="E829" s="17">
        <f>'JGBCurve'!$E$1246</f>
        <v/>
      </c>
    </row>
    <row r="830">
      <c r="A830" s="11" t="n">
        <v>45212</v>
      </c>
      <c r="B830" s="24" t="n">
        <v>243.8002</v>
      </c>
      <c r="C830" s="24" t="n">
        <v>32315.9902</v>
      </c>
      <c r="D830" s="13">
        <f>100*($B830/$C830)/($B$7/$C$7)</f>
        <v/>
      </c>
      <c r="E830" s="17">
        <f>'JGBCurve'!$E$1247</f>
        <v/>
      </c>
    </row>
    <row r="831">
      <c r="A831" s="11" t="n">
        <v>45219</v>
      </c>
      <c r="B831" s="24" t="n">
        <v>243.3504</v>
      </c>
      <c r="C831" s="24" t="n">
        <v>31259.3594</v>
      </c>
      <c r="D831" s="13">
        <f>100*($B831/$C831)/($B$7/$C$7)</f>
        <v/>
      </c>
      <c r="E831" s="17">
        <f>'JGBCurve'!$E$1248</f>
        <v/>
      </c>
    </row>
    <row r="832">
      <c r="A832" s="11" t="n">
        <v>45226</v>
      </c>
      <c r="B832" s="24" t="n">
        <v>246.8589</v>
      </c>
      <c r="C832" s="24" t="n">
        <v>30991.6895</v>
      </c>
      <c r="D832" s="13">
        <f>100*($B832/$C832)/($B$7/$C$7)</f>
        <v/>
      </c>
      <c r="E832" s="17">
        <f>'JGBCurve'!$E$1249</f>
        <v/>
      </c>
    </row>
    <row r="833">
      <c r="A833" s="11" t="n">
        <v>45233</v>
      </c>
      <c r="B833" s="24" t="n">
        <v>253.7861</v>
      </c>
      <c r="C833" s="24" t="n">
        <v>31949.8906</v>
      </c>
      <c r="D833" s="13">
        <f>100*($B833/$C833)/($B$7/$C$7)</f>
        <v/>
      </c>
      <c r="E833" s="17">
        <f>'JGBCurve'!$E$1250</f>
        <v/>
      </c>
    </row>
    <row r="834">
      <c r="A834" s="11" t="n">
        <v>45240</v>
      </c>
      <c r="B834" s="24" t="n">
        <v>241.1913</v>
      </c>
      <c r="C834" s="24" t="n">
        <v>32568.1094</v>
      </c>
      <c r="D834" s="13">
        <f>100*($B834/$C834)/($B$7/$C$7)</f>
        <v/>
      </c>
      <c r="E834" s="17">
        <f>'JGBCurve'!$E$1251</f>
        <v/>
      </c>
    </row>
    <row r="835">
      <c r="A835" s="11" t="n">
        <v>45247</v>
      </c>
      <c r="B835" s="24" t="n">
        <v>246.1392</v>
      </c>
      <c r="C835" s="24" t="n">
        <v>33585.1992</v>
      </c>
      <c r="D835" s="13">
        <f>100*($B835/$C835)/($B$7/$C$7)</f>
        <v/>
      </c>
      <c r="E835" s="17">
        <f>'JGBCurve'!$E$1252</f>
        <v/>
      </c>
    </row>
    <row r="836">
      <c r="A836" s="11" t="n">
        <v>45254</v>
      </c>
      <c r="B836" s="24" t="n">
        <v>246.9489</v>
      </c>
      <c r="C836" s="24" t="n">
        <v>33625.5312</v>
      </c>
      <c r="D836" s="13">
        <f>100*($B836/$C836)/($B$7/$C$7)</f>
        <v/>
      </c>
      <c r="E836" s="17">
        <f>'JGBCurve'!$E$1253</f>
        <v/>
      </c>
    </row>
    <row r="837">
      <c r="A837" s="11" t="n">
        <v>45261</v>
      </c>
      <c r="B837" s="24" t="n">
        <v>247.0389</v>
      </c>
      <c r="C837" s="24" t="n">
        <v>33431.5117</v>
      </c>
      <c r="D837" s="13">
        <f>100*($B837/$C837)/($B$7/$C$7)</f>
        <v/>
      </c>
      <c r="E837" s="17">
        <f>'JGBCurve'!$E$1254</f>
        <v/>
      </c>
    </row>
    <row r="838">
      <c r="A838" s="11" t="n">
        <v>45268</v>
      </c>
      <c r="B838" s="24" t="n">
        <v>246.0492</v>
      </c>
      <c r="C838" s="24" t="n">
        <v>32307.8594</v>
      </c>
      <c r="D838" s="13">
        <f>100*($B838/$C838)/($B$7/$C$7)</f>
        <v/>
      </c>
      <c r="E838" s="17">
        <f>'JGBCurve'!$E$1255</f>
        <v/>
      </c>
    </row>
    <row r="839">
      <c r="A839" s="11" t="n">
        <v>45275</v>
      </c>
      <c r="B839" s="24" t="n">
        <v>234.8039</v>
      </c>
      <c r="C839" s="24" t="n">
        <v>32970.5508</v>
      </c>
      <c r="D839" s="13">
        <f>100*($B839/$C839)/($B$7/$C$7)</f>
        <v/>
      </c>
      <c r="E839" s="17">
        <f>'JGBCurve'!$E$1256</f>
        <v/>
      </c>
    </row>
    <row r="840">
      <c r="A840" s="11" t="n">
        <v>45282</v>
      </c>
      <c r="B840" s="24" t="n">
        <v>234.354</v>
      </c>
      <c r="C840" s="24" t="n">
        <v>33169.0508</v>
      </c>
      <c r="D840" s="13">
        <f>100*($B840/$C840)/($B$7/$C$7)</f>
        <v/>
      </c>
      <c r="E840" s="17">
        <f>'JGBCurve'!$E$1257</f>
        <v/>
      </c>
    </row>
    <row r="841">
      <c r="A841" s="11" t="n">
        <v>45289</v>
      </c>
      <c r="B841" s="24" t="n">
        <v>235.2537</v>
      </c>
      <c r="C841" s="24" t="n">
        <v>33464.1719</v>
      </c>
      <c r="D841" s="13">
        <f>100*($B841/$C841)/($B$7/$C$7)</f>
        <v/>
      </c>
      <c r="E841" s="17">
        <f>'JGBCurve'!$E$1258</f>
        <v/>
      </c>
    </row>
    <row r="842">
      <c r="A842" s="11" t="n">
        <v>45296</v>
      </c>
      <c r="B842" s="24" t="n">
        <v>243.9801</v>
      </c>
      <c r="C842" s="24" t="n">
        <v>33377.4219</v>
      </c>
      <c r="D842" s="13">
        <f>100*($B842/$C842)/($B$7/$C$7)</f>
        <v/>
      </c>
      <c r="E842" s="17">
        <f>'JGBCurve'!$E$1259</f>
        <v/>
      </c>
    </row>
    <row r="843">
      <c r="A843" s="11" t="n">
        <v>45303</v>
      </c>
      <c r="B843" s="24" t="n">
        <v>244.34</v>
      </c>
      <c r="C843" s="24" t="n">
        <v>35577.1094</v>
      </c>
      <c r="D843" s="13">
        <f>100*($B843/$C843)/($B$7/$C$7)</f>
        <v/>
      </c>
      <c r="E843" s="17">
        <f>'JGBCurve'!$E$1260</f>
        <v/>
      </c>
    </row>
    <row r="844">
      <c r="A844" s="11" t="n">
        <v>45310</v>
      </c>
      <c r="B844" s="24" t="n">
        <v>247.8485</v>
      </c>
      <c r="C844" s="24" t="n">
        <v>35963.2695</v>
      </c>
      <c r="D844" s="13">
        <f>100*($B844/$C844)/($B$7/$C$7)</f>
        <v/>
      </c>
      <c r="E844" s="17">
        <f>'JGBCurve'!$E$1261</f>
        <v/>
      </c>
    </row>
    <row r="845">
      <c r="A845" s="11" t="n">
        <v>45317</v>
      </c>
      <c r="B845" s="24" t="n">
        <v>255.6753</v>
      </c>
      <c r="C845" s="24" t="n">
        <v>35751.0703</v>
      </c>
      <c r="D845" s="13">
        <f>100*($B845/$C845)/($B$7/$C$7)</f>
        <v/>
      </c>
      <c r="E845" s="17">
        <f>'JGBCurve'!$E$1262</f>
        <v/>
      </c>
    </row>
    <row r="846">
      <c r="A846" s="11" t="n">
        <v>45324</v>
      </c>
      <c r="B846" s="24" t="n">
        <v>260.2634</v>
      </c>
      <c r="C846" s="24" t="n">
        <v>36158.0195</v>
      </c>
      <c r="D846" s="13">
        <f>100*($B846/$C846)/($B$7/$C$7)</f>
        <v/>
      </c>
      <c r="E846" s="17">
        <f>'JGBCurve'!$E$1263</f>
        <v/>
      </c>
    </row>
    <row r="847">
      <c r="A847" s="11" t="n">
        <v>45331</v>
      </c>
      <c r="B847" s="24" t="n">
        <v>257.4746</v>
      </c>
      <c r="C847" s="24" t="n">
        <v>36897.4219</v>
      </c>
      <c r="D847" s="13">
        <f>100*($B847/$C847)/($B$7/$C$7)</f>
        <v/>
      </c>
      <c r="E847" s="17">
        <f>'JGBCurve'!$E$1264</f>
        <v/>
      </c>
    </row>
    <row r="848">
      <c r="A848" s="11" t="n">
        <v>45338</v>
      </c>
      <c r="B848" s="24" t="n">
        <v>266.381</v>
      </c>
      <c r="C848" s="24" t="n">
        <v>38487.2383</v>
      </c>
      <c r="D848" s="13">
        <f>100*($B848/$C848)/($B$7/$C$7)</f>
        <v/>
      </c>
      <c r="E848" s="17">
        <f>'JGBCurve'!$E$1265</f>
        <v/>
      </c>
    </row>
    <row r="849">
      <c r="A849" s="11" t="n">
        <v>45345</v>
      </c>
      <c r="B849" s="24" t="n">
        <v>273.3981</v>
      </c>
      <c r="C849" s="24" t="n">
        <v>39098.6797</v>
      </c>
      <c r="D849" s="13">
        <f>100*($B849/$C849)/($B$7/$C$7)</f>
        <v/>
      </c>
      <c r="E849" s="17">
        <f>'JGBCurve'!$E$1266</f>
        <v/>
      </c>
    </row>
    <row r="850">
      <c r="A850" s="11" t="n">
        <v>45352</v>
      </c>
      <c r="B850" s="24" t="n">
        <v>286.2628</v>
      </c>
      <c r="C850" s="24" t="n">
        <v>39910.8203</v>
      </c>
      <c r="D850" s="13">
        <f>100*($B850/$C850)/($B$7/$C$7)</f>
        <v/>
      </c>
      <c r="E850" s="17">
        <f>'JGBCurve'!$E$1267</f>
        <v/>
      </c>
    </row>
    <row r="851">
      <c r="A851" s="11" t="n">
        <v>45359</v>
      </c>
      <c r="B851" s="24" t="n">
        <v>303.5357</v>
      </c>
      <c r="C851" s="24" t="n">
        <v>39688.9414</v>
      </c>
      <c r="D851" s="13">
        <f>100*($B851/$C851)/($B$7/$C$7)</f>
        <v/>
      </c>
      <c r="E851" s="17">
        <f>'JGBCurve'!$E$1268</f>
        <v/>
      </c>
    </row>
    <row r="852">
      <c r="A852" s="11" t="n">
        <v>45366</v>
      </c>
      <c r="B852" s="24" t="n">
        <v>283.6539</v>
      </c>
      <c r="C852" s="24" t="n">
        <v>38707.6406</v>
      </c>
      <c r="D852" s="13">
        <f>100*($B852/$C852)/($B$7/$C$7)</f>
        <v/>
      </c>
      <c r="E852" s="17">
        <f>'JGBCurve'!$E$1269</f>
        <v/>
      </c>
    </row>
    <row r="853">
      <c r="A853" s="11" t="n">
        <v>45373</v>
      </c>
      <c r="B853" s="24" t="n">
        <v>302.2762</v>
      </c>
      <c r="C853" s="24" t="n">
        <v>40888.4297</v>
      </c>
      <c r="D853" s="13">
        <f>100*($B853/$C853)/($B$7/$C$7)</f>
        <v/>
      </c>
      <c r="E853" s="17">
        <f>'JGBCurve'!$E$1270</f>
        <v/>
      </c>
    </row>
    <row r="854">
      <c r="A854" s="11" t="n">
        <v>45380</v>
      </c>
      <c r="B854" s="24" t="n">
        <v>297.868</v>
      </c>
      <c r="C854" s="24" t="n">
        <v>40369.4414</v>
      </c>
      <c r="D854" s="13">
        <f>100*($B854/$C854)/($B$7/$C$7)</f>
        <v/>
      </c>
      <c r="E854" s="17">
        <f>'JGBCurve'!$E$1271</f>
        <v/>
      </c>
    </row>
    <row r="855">
      <c r="A855" s="11" t="n">
        <v>45387</v>
      </c>
      <c r="B855" s="24" t="n">
        <v>293.2799</v>
      </c>
      <c r="C855" s="24" t="n">
        <v>38992.0781</v>
      </c>
      <c r="D855" s="13">
        <f>100*($B855/$C855)/($B$7/$C$7)</f>
        <v/>
      </c>
      <c r="E855" s="17">
        <f>'JGBCurve'!$E$1272</f>
        <v/>
      </c>
    </row>
    <row r="856">
      <c r="A856" s="11" t="n">
        <v>45394</v>
      </c>
      <c r="B856" s="24" t="n">
        <v>299.2175</v>
      </c>
      <c r="C856" s="24" t="n">
        <v>39523.5508</v>
      </c>
      <c r="D856" s="13">
        <f>100*($B856/$C856)/($B$7/$C$7)</f>
        <v/>
      </c>
      <c r="E856" s="17">
        <f>'JGBCurve'!$E$1273</f>
        <v/>
      </c>
    </row>
    <row r="857">
      <c r="A857" s="11" t="n">
        <v>45401</v>
      </c>
      <c r="B857" s="24" t="n">
        <v>289.5015</v>
      </c>
      <c r="C857" s="24" t="n">
        <v>37068.3516</v>
      </c>
      <c r="D857" s="13">
        <f>100*($B857/$C857)/($B$7/$C$7)</f>
        <v/>
      </c>
      <c r="E857" s="17">
        <f>'JGBCurve'!$E$1274</f>
        <v/>
      </c>
    </row>
    <row r="858">
      <c r="A858" s="11" t="n">
        <v>45408</v>
      </c>
      <c r="B858" s="24" t="n">
        <v>298.6777</v>
      </c>
      <c r="C858" s="24" t="n">
        <v>37934.7617</v>
      </c>
      <c r="D858" s="13">
        <f>100*($B858/$C858)/($B$7/$C$7)</f>
        <v/>
      </c>
      <c r="E858" s="17">
        <f>'JGBCurve'!$E$1275</f>
        <v/>
      </c>
    </row>
    <row r="859">
      <c r="A859" s="11" t="n">
        <v>45415</v>
      </c>
      <c r="B859" s="24" t="n">
        <v>298.4978</v>
      </c>
      <c r="C859" s="24" t="n">
        <v>38236.0703</v>
      </c>
      <c r="D859" s="13">
        <f>100*($B859/$C859)/($B$7/$C$7)</f>
        <v/>
      </c>
      <c r="E859" s="17">
        <f>'JGBCurve'!$E$1276</f>
        <v/>
      </c>
    </row>
    <row r="860">
      <c r="A860" s="11" t="n">
        <v>45422</v>
      </c>
      <c r="B860" s="24" t="n">
        <v>302.6361</v>
      </c>
      <c r="C860" s="24" t="n">
        <v>38229.1094</v>
      </c>
      <c r="D860" s="13">
        <f>100*($B860/$C860)/($B$7/$C$7)</f>
        <v/>
      </c>
      <c r="E860" s="17">
        <f>'JGBCurve'!$E$1277</f>
        <v/>
      </c>
    </row>
    <row r="861">
      <c r="A861" s="11" t="n">
        <v>45429</v>
      </c>
      <c r="B861" s="24" t="n">
        <v>308.3937</v>
      </c>
      <c r="C861" s="24" t="n">
        <v>38787.3789</v>
      </c>
      <c r="D861" s="13">
        <f>100*($B861/$C861)/($B$7/$C$7)</f>
        <v/>
      </c>
      <c r="E861" s="17">
        <f>'JGBCurve'!$E$1278</f>
        <v/>
      </c>
    </row>
    <row r="862">
      <c r="A862" s="11" t="n">
        <v>45436</v>
      </c>
      <c r="B862" s="24" t="n">
        <v>309.8331</v>
      </c>
      <c r="C862" s="24" t="n">
        <v>38646.1094</v>
      </c>
      <c r="D862" s="13">
        <f>100*($B862/$C862)/($B$7/$C$7)</f>
        <v/>
      </c>
      <c r="E862" s="17">
        <f>'JGBCurve'!$E$1279</f>
        <v/>
      </c>
    </row>
    <row r="863">
      <c r="A863" s="11" t="n">
        <v>45443</v>
      </c>
      <c r="B863" s="24" t="n">
        <v>324.767</v>
      </c>
      <c r="C863" s="24" t="n">
        <v>38487.8984</v>
      </c>
      <c r="D863" s="13">
        <f>100*($B863/$C863)/($B$7/$C$7)</f>
        <v/>
      </c>
      <c r="E863" s="17">
        <f>'JGBCurve'!$E$1280</f>
        <v/>
      </c>
    </row>
    <row r="864">
      <c r="A864" s="11" t="n">
        <v>45450</v>
      </c>
      <c r="B864" s="24" t="n">
        <v>315.9507</v>
      </c>
      <c r="C864" s="24" t="n">
        <v>38683.9297</v>
      </c>
      <c r="D864" s="13">
        <f>100*($B864/$C864)/($B$7/$C$7)</f>
        <v/>
      </c>
      <c r="E864" s="17">
        <f>'JGBCurve'!$E$1281</f>
        <v/>
      </c>
    </row>
    <row r="865">
      <c r="A865" s="11" t="n">
        <v>45457</v>
      </c>
      <c r="B865" s="24" t="n">
        <v>309.5633</v>
      </c>
      <c r="C865" s="24" t="n">
        <v>38814.5586</v>
      </c>
      <c r="D865" s="13">
        <f>100*($B865/$C865)/($B$7/$C$7)</f>
        <v/>
      </c>
      <c r="E865" s="17">
        <f>'JGBCurve'!$E$1282</f>
        <v/>
      </c>
    </row>
    <row r="866">
      <c r="A866" s="11" t="n">
        <v>45464</v>
      </c>
      <c r="B866" s="24" t="n">
        <v>307.854</v>
      </c>
      <c r="C866" s="24" t="n">
        <v>38596.4688</v>
      </c>
      <c r="D866" s="13">
        <f>100*($B866/$C866)/($B$7/$C$7)</f>
        <v/>
      </c>
      <c r="E866" s="17">
        <f>'JGBCurve'!$E$1283</f>
        <v/>
      </c>
    </row>
    <row r="867">
      <c r="A867" s="11" t="n">
        <v>45471</v>
      </c>
      <c r="B867" s="24" t="n">
        <v>331.8741</v>
      </c>
      <c r="C867" s="24" t="n">
        <v>39583.0781</v>
      </c>
      <c r="D867" s="13">
        <f>100*($B867/$C867)/($B$7/$C$7)</f>
        <v/>
      </c>
      <c r="E867" s="17">
        <f>'JGBCurve'!$E$1284</f>
        <v/>
      </c>
    </row>
    <row r="868">
      <c r="A868" s="11" t="n">
        <v>45478</v>
      </c>
      <c r="B868" s="24" t="n">
        <v>344.5589</v>
      </c>
      <c r="C868" s="24" t="n">
        <v>40912.3711</v>
      </c>
      <c r="D868" s="13">
        <f>100*($B868/$C868)/($B$7/$C$7)</f>
        <v/>
      </c>
      <c r="E868" s="17">
        <f>'JGBCurve'!$E$1285</f>
        <v/>
      </c>
    </row>
    <row r="869">
      <c r="A869" s="11" t="n">
        <v>45485</v>
      </c>
      <c r="B869" s="24" t="n">
        <v>333.8941</v>
      </c>
      <c r="C869" s="24" t="n">
        <v>41190.6797</v>
      </c>
      <c r="D869" s="13">
        <f>100*($B869/$C869)/($B$7/$C$7)</f>
        <v/>
      </c>
      <c r="E869" s="17">
        <f>'JGBCurve'!$E$1286</f>
        <v/>
      </c>
    </row>
    <row r="870">
      <c r="A870" s="11" t="n">
        <v>45492</v>
      </c>
      <c r="B870" s="24" t="n">
        <v>338.1393</v>
      </c>
      <c r="C870" s="24" t="n">
        <v>40063.7891</v>
      </c>
      <c r="D870" s="13">
        <f>100*($B870/$C870)/($B$7/$C$7)</f>
        <v/>
      </c>
      <c r="E870" s="17">
        <f>'JGBCurve'!$E$1287</f>
        <v/>
      </c>
    </row>
    <row r="871">
      <c r="A871" s="11" t="n">
        <v>45499</v>
      </c>
      <c r="B871" s="24" t="n">
        <v>323.558</v>
      </c>
      <c r="C871" s="24" t="n">
        <v>37667.4102</v>
      </c>
      <c r="D871" s="13">
        <f>100*($B871/$C871)/($B$7/$C$7)</f>
        <v/>
      </c>
      <c r="E871" s="17">
        <f>'JGBCurve'!$E$1288</f>
        <v/>
      </c>
    </row>
    <row r="872">
      <c r="A872" s="11" t="n">
        <v>45506</v>
      </c>
      <c r="B872" s="24" t="n">
        <v>300.7631</v>
      </c>
      <c r="C872" s="24" t="n">
        <v>35909.6992</v>
      </c>
      <c r="D872" s="13">
        <f>100*($B872/$C872)/($B$7/$C$7)</f>
        <v/>
      </c>
      <c r="E872" s="17">
        <f>'JGBCurve'!$E$1289</f>
        <v/>
      </c>
    </row>
    <row r="873">
      <c r="A873" s="11" t="n">
        <v>45513</v>
      </c>
      <c r="B873" s="24" t="n">
        <v>277.7836</v>
      </c>
      <c r="C873" s="24" t="n">
        <v>35025</v>
      </c>
      <c r="D873" s="13">
        <f>100*($B873/$C873)/($B$7/$C$7)</f>
        <v/>
      </c>
      <c r="E873" s="17">
        <f>'JGBCurve'!$E$1290</f>
        <v/>
      </c>
    </row>
    <row r="874">
      <c r="A874" s="11" t="n">
        <v>45520</v>
      </c>
      <c r="B874" s="24" t="n">
        <v>308.7921</v>
      </c>
      <c r="C874" s="24" t="n">
        <v>38062.6719</v>
      </c>
      <c r="D874" s="13">
        <f>100*($B874/$C874)/($B$7/$C$7)</f>
        <v/>
      </c>
      <c r="E874" s="17">
        <f>'JGBCurve'!$E$1291</f>
        <v/>
      </c>
    </row>
    <row r="875">
      <c r="A875" s="11" t="n">
        <v>45527</v>
      </c>
      <c r="B875" s="24" t="n">
        <v>302.5165</v>
      </c>
      <c r="C875" s="24" t="n">
        <v>38364.2695</v>
      </c>
      <c r="D875" s="13">
        <f>100*($B875/$C875)/($B$7/$C$7)</f>
        <v/>
      </c>
      <c r="E875" s="17">
        <f>'JGBCurve'!$E$1292</f>
        <v/>
      </c>
    </row>
    <row r="876">
      <c r="A876" s="11" t="n">
        <v>45534</v>
      </c>
      <c r="B876" s="24" t="n">
        <v>298.6405</v>
      </c>
      <c r="C876" s="24" t="n">
        <v>38647.75</v>
      </c>
      <c r="D876" s="13">
        <f>100*($B876/$C876)/($B$7/$C$7)</f>
        <v/>
      </c>
      <c r="E876" s="17">
        <f>'JGBCurve'!$E$1293</f>
        <v/>
      </c>
    </row>
    <row r="877">
      <c r="A877" s="11" t="n">
        <v>45541</v>
      </c>
      <c r="B877" s="24" t="n">
        <v>289.8732</v>
      </c>
      <c r="C877" s="24" t="n">
        <v>36391.4688</v>
      </c>
      <c r="D877" s="13">
        <f>100*($B877/$C877)/($B$7/$C$7)</f>
        <v/>
      </c>
      <c r="E877" s="17">
        <f>'JGBCurve'!$E$1294</f>
        <v/>
      </c>
    </row>
    <row r="878">
      <c r="A878" s="11" t="n">
        <v>45548</v>
      </c>
      <c r="B878" s="24" t="n">
        <v>281.752</v>
      </c>
      <c r="C878" s="24" t="n">
        <v>36581.7617</v>
      </c>
      <c r="D878" s="13">
        <f>100*($B878/$C878)/($B$7/$C$7)</f>
        <v/>
      </c>
      <c r="E878" s="17">
        <f>'JGBCurve'!$E$1295</f>
        <v/>
      </c>
    </row>
    <row r="879">
      <c r="A879" s="11" t="n">
        <v>45555</v>
      </c>
      <c r="B879" s="24" t="n">
        <v>286.7355</v>
      </c>
      <c r="C879" s="24" t="n">
        <v>37723.9102</v>
      </c>
      <c r="D879" s="13">
        <f>100*($B879/$C879)/($B$7/$C$7)</f>
        <v/>
      </c>
      <c r="E879" s="17">
        <f>'JGBCurve'!$E$1296</f>
        <v/>
      </c>
    </row>
    <row r="880">
      <c r="A880" s="11" t="n">
        <v>45562</v>
      </c>
      <c r="B880" s="24" t="n">
        <v>284.8897</v>
      </c>
      <c r="C880" s="24" t="n">
        <v>39829.5586</v>
      </c>
      <c r="D880" s="13">
        <f>100*($B880/$C880)/($B$7/$C$7)</f>
        <v/>
      </c>
      <c r="E880" s="17">
        <f>'JGBCurve'!$E$1297</f>
        <v/>
      </c>
    </row>
    <row r="881">
      <c r="A881" s="11" t="n">
        <v>45569</v>
      </c>
      <c r="B881" s="24" t="n">
        <v>292.4572</v>
      </c>
      <c r="C881" s="24" t="n">
        <v>38635.6211</v>
      </c>
      <c r="D881" s="13">
        <f>100*($B881/$C881)/($B$7/$C$7)</f>
        <v/>
      </c>
      <c r="E881" s="17">
        <f>'JGBCurve'!$E$1298</f>
        <v/>
      </c>
    </row>
    <row r="882">
      <c r="A882" s="11" t="n">
        <v>45576</v>
      </c>
      <c r="B882" s="24" t="n">
        <v>300.7631</v>
      </c>
      <c r="C882" s="24" t="n">
        <v>39605.8008</v>
      </c>
      <c r="D882" s="13">
        <f>100*($B882/$C882)/($B$7/$C$7)</f>
        <v/>
      </c>
      <c r="E882" s="17">
        <f>'JGBCurve'!$E$1299</f>
        <v/>
      </c>
    </row>
    <row r="883">
      <c r="A883" s="11" t="n">
        <v>45583</v>
      </c>
      <c r="B883" s="24" t="n">
        <v>312.945</v>
      </c>
      <c r="C883" s="24" t="n">
        <v>38981.75</v>
      </c>
      <c r="D883" s="13">
        <f>100*($B883/$C883)/($B$7/$C$7)</f>
        <v/>
      </c>
      <c r="E883" s="17">
        <f>'JGBCurve'!$E$1300</f>
        <v/>
      </c>
    </row>
    <row r="884">
      <c r="A884" s="11" t="n">
        <v>45590</v>
      </c>
      <c r="B884" s="24" t="n">
        <v>297.9945</v>
      </c>
      <c r="C884" s="24" t="n">
        <v>37913.9219</v>
      </c>
      <c r="D884" s="13">
        <f>100*($B884/$C884)/($B$7/$C$7)</f>
        <v/>
      </c>
      <c r="E884" s="17">
        <f>'JGBCurve'!$E$1301</f>
        <v/>
      </c>
    </row>
    <row r="885">
      <c r="A885" s="11" t="n">
        <v>45597</v>
      </c>
      <c r="B885" s="24" t="n">
        <v>309.3458</v>
      </c>
      <c r="C885" s="24" t="n">
        <v>38053.6719</v>
      </c>
      <c r="D885" s="13">
        <f>100*($B885/$C885)/($B$7/$C$7)</f>
        <v/>
      </c>
      <c r="E885" s="17">
        <f>'JGBCurve'!$E$1302</f>
        <v/>
      </c>
    </row>
    <row r="886">
      <c r="A886" s="11" t="n">
        <v>45604</v>
      </c>
      <c r="B886" s="24" t="n">
        <v>333.5249</v>
      </c>
      <c r="C886" s="24" t="n">
        <v>39500.3711</v>
      </c>
      <c r="D886" s="13">
        <f>100*($B886/$C886)/($B$7/$C$7)</f>
        <v/>
      </c>
      <c r="E886" s="17">
        <f>'JGBCurve'!$E$1303</f>
        <v/>
      </c>
    </row>
    <row r="887">
      <c r="A887" s="11" t="n">
        <v>45611</v>
      </c>
      <c r="B887" s="24" t="n">
        <v>347.1834</v>
      </c>
      <c r="C887" s="24" t="n">
        <v>38642.9102</v>
      </c>
      <c r="D887" s="13">
        <f>100*($B887/$C887)/($B$7/$C$7)</f>
        <v/>
      </c>
      <c r="E887" s="17">
        <f>'JGBCurve'!$E$1304</f>
        <v/>
      </c>
    </row>
    <row r="888">
      <c r="A888" s="11" t="n">
        <v>45618</v>
      </c>
      <c r="B888" s="24" t="n">
        <v>349.6751</v>
      </c>
      <c r="C888" s="24" t="n">
        <v>38283.8516</v>
      </c>
      <c r="D888" s="13">
        <f>100*($B888/$C888)/($B$7/$C$7)</f>
        <v/>
      </c>
      <c r="E888" s="17">
        <f>'JGBCurve'!$E$1305</f>
        <v/>
      </c>
    </row>
    <row r="889">
      <c r="A889" s="11" t="n">
        <v>45625</v>
      </c>
      <c r="B889" s="24" t="n">
        <v>346.6297</v>
      </c>
      <c r="C889" s="24" t="n">
        <v>38208.0312</v>
      </c>
      <c r="D889" s="13">
        <f>100*($B889/$C889)/($B$7/$C$7)</f>
        <v/>
      </c>
      <c r="E889" s="17">
        <f>'JGBCurve'!$E$1306</f>
        <v/>
      </c>
    </row>
    <row r="890">
      <c r="A890" s="11" t="n">
        <v>45632</v>
      </c>
      <c r="B890" s="24" t="n">
        <v>351.6132</v>
      </c>
      <c r="C890" s="24" t="n">
        <v>39091.1719</v>
      </c>
      <c r="D890" s="13">
        <f>100*($B890/$C890)/($B$7/$C$7)</f>
        <v/>
      </c>
      <c r="E890" s="17">
        <f>'JGBCurve'!$E$1307</f>
        <v/>
      </c>
    </row>
    <row r="891">
      <c r="A891" s="11" t="n">
        <v>45639</v>
      </c>
      <c r="B891" s="24" t="n">
        <v>354.6586</v>
      </c>
      <c r="C891" s="24" t="n">
        <v>39470.4414</v>
      </c>
      <c r="D891" s="13">
        <f>100*($B891/$C891)/($B$7/$C$7)</f>
        <v/>
      </c>
      <c r="E891" s="17">
        <f>'JGBCurve'!$E$1308</f>
        <v/>
      </c>
    </row>
    <row r="892">
      <c r="A892" s="11" t="n">
        <v>45646</v>
      </c>
      <c r="B892" s="24" t="n">
        <v>342.5691</v>
      </c>
      <c r="C892" s="24" t="n">
        <v>38701.8984</v>
      </c>
      <c r="D892" s="13">
        <f>100*($B892/$C892)/($B$7/$C$7)</f>
        <v/>
      </c>
      <c r="E892" s="17">
        <f>'JGBCurve'!$E$1309</f>
        <v/>
      </c>
    </row>
    <row r="893">
      <c r="A893" s="11" t="n">
        <v>45653</v>
      </c>
      <c r="B893" s="24" t="n">
        <v>351.5209</v>
      </c>
      <c r="C893" s="24" t="n">
        <v>40281.1602</v>
      </c>
      <c r="D893" s="13">
        <f>100*($B893/$C893)/($B$7/$C$7)</f>
        <v/>
      </c>
      <c r="E893" s="17">
        <f>'JGBCurve'!$E$1310</f>
        <v/>
      </c>
    </row>
    <row r="894">
      <c r="A894" s="11" t="n">
        <v>45660</v>
      </c>
      <c r="B894" s="24" t="n">
        <v>352.536</v>
      </c>
      <c r="C894" s="24" t="n">
        <v>39894.5391</v>
      </c>
      <c r="D894" s="13">
        <f>100*($B894/$C894)/($B$7/$C$7)</f>
        <v/>
      </c>
      <c r="E894" s="17">
        <f>'JGBCurve'!$E$1311</f>
        <v/>
      </c>
    </row>
    <row r="895">
      <c r="A895" s="11" t="n">
        <v>45667</v>
      </c>
      <c r="B895" s="24" t="n">
        <v>354.5663</v>
      </c>
      <c r="C895" s="24" t="n">
        <v>39190.3984</v>
      </c>
      <c r="D895" s="13">
        <f>100*($B895/$C895)/($B$7/$C$7)</f>
        <v/>
      </c>
      <c r="E895" s="17">
        <f>'JGBCurve'!$E$1312</f>
        <v/>
      </c>
    </row>
    <row r="896">
      <c r="A896" s="11" t="n">
        <v>45674</v>
      </c>
      <c r="B896" s="24" t="n">
        <v>355.9507</v>
      </c>
      <c r="C896" s="24" t="n">
        <v>38451.4609</v>
      </c>
      <c r="D896" s="13">
        <f>100*($B896/$C896)/($B$7/$C$7)</f>
        <v/>
      </c>
      <c r="E896" s="17">
        <f>'JGBCurve'!$E$1313</f>
        <v/>
      </c>
    </row>
    <row r="897">
      <c r="A897" s="11" t="n">
        <v>45681</v>
      </c>
      <c r="B897" s="24" t="n">
        <v>358.0732</v>
      </c>
      <c r="C897" s="24" t="n">
        <v>39931.9805</v>
      </c>
      <c r="D897" s="13">
        <f>100*($B897/$C897)/($B$7/$C$7)</f>
        <v/>
      </c>
      <c r="E897" s="17">
        <f>'JGBCurve'!$E$1314</f>
        <v/>
      </c>
    </row>
    <row r="898">
      <c r="A898" s="11" t="n">
        <v>45688</v>
      </c>
      <c r="B898" s="24" t="n">
        <v>374.2235</v>
      </c>
      <c r="C898" s="24" t="n">
        <v>39572.4883</v>
      </c>
      <c r="D898" s="13">
        <f>100*($B898/$C898)/($B$7/$C$7)</f>
        <v/>
      </c>
      <c r="E898" s="17">
        <f>'JGBCurve'!$E$1315</f>
        <v/>
      </c>
    </row>
    <row r="899">
      <c r="A899" s="11" t="n">
        <v>45695</v>
      </c>
      <c r="B899" s="24" t="n">
        <v>362.9644</v>
      </c>
      <c r="C899" s="24" t="n">
        <v>38787.0195</v>
      </c>
      <c r="D899" s="13">
        <f>100*($B899/$C899)/($B$7/$C$7)</f>
        <v/>
      </c>
      <c r="E899" s="17">
        <f>'JGBCurve'!$E$1316</f>
        <v/>
      </c>
    </row>
    <row r="900">
      <c r="A900" s="11" t="n">
        <v>45702</v>
      </c>
      <c r="B900" s="24" t="n">
        <v>369.886</v>
      </c>
      <c r="C900" s="24" t="n">
        <v>39149.4297</v>
      </c>
      <c r="D900" s="13">
        <f>100*($B900/$C900)/($B$7/$C$7)</f>
        <v/>
      </c>
      <c r="E900" s="17">
        <f>'JGBCurve'!$E$1317</f>
        <v/>
      </c>
    </row>
    <row r="901">
      <c r="A901" s="11" t="n">
        <v>45709</v>
      </c>
      <c r="B901" s="24" t="n">
        <v>374.2235</v>
      </c>
      <c r="C901" s="24" t="n">
        <v>38776.9414</v>
      </c>
      <c r="D901" s="13">
        <f>100*($B901/$C901)/($B$7/$C$7)</f>
        <v/>
      </c>
      <c r="E901" s="17">
        <f>'JGBCurve'!$E$1318</f>
        <v/>
      </c>
    </row>
    <row r="902">
      <c r="A902" s="11" t="n">
        <v>45716</v>
      </c>
      <c r="B902" s="24" t="n">
        <v>363.4259</v>
      </c>
      <c r="C902" s="24" t="n">
        <v>37155.5</v>
      </c>
      <c r="D902" s="13">
        <f>100*($B902/$C902)/($B$7/$C$7)</f>
        <v/>
      </c>
      <c r="E902" s="17">
        <f>'JGBCurve'!$E$1319</f>
        <v/>
      </c>
    </row>
    <row r="903">
      <c r="A903" s="11" t="n">
        <v>45723</v>
      </c>
      <c r="B903" s="24" t="n">
        <v>366.8405</v>
      </c>
      <c r="C903" s="24" t="n">
        <v>36887.1719</v>
      </c>
      <c r="D903" s="13">
        <f>100*($B903/$C903)/($B$7/$C$7)</f>
        <v/>
      </c>
      <c r="E903" s="17">
        <f>'JGBCurve'!$E$1320</f>
        <v/>
      </c>
    </row>
    <row r="904">
      <c r="A904" s="11" t="n">
        <v>45730</v>
      </c>
      <c r="B904" s="24" t="n">
        <v>377.0844</v>
      </c>
      <c r="C904" s="24" t="n">
        <v>37053.1016</v>
      </c>
      <c r="D904" s="13">
        <f>100*($B904/$C904)/($B$7/$C$7)</f>
        <v/>
      </c>
      <c r="E904" s="17">
        <f>'JGBCurve'!$E$1321</f>
        <v/>
      </c>
    </row>
    <row r="905">
      <c r="A905" s="11" t="n">
        <v>45737</v>
      </c>
      <c r="B905" s="24" t="n">
        <v>408.4619</v>
      </c>
      <c r="C905" s="24" t="n">
        <v>37677.0586</v>
      </c>
      <c r="D905" s="13">
        <f>100*($B905/$C905)/($B$7/$C$7)</f>
        <v/>
      </c>
      <c r="E905" s="17">
        <f>'JGBCurve'!$E$1322</f>
        <v/>
      </c>
    </row>
    <row r="906">
      <c r="A906" s="11" t="n">
        <v>45744</v>
      </c>
      <c r="B906" s="24" t="n">
        <v>396.2801</v>
      </c>
      <c r="C906" s="24" t="n">
        <v>37120.3281</v>
      </c>
      <c r="D906" s="13">
        <f>100*($B906/$C906)/($B$7/$C$7)</f>
        <v/>
      </c>
      <c r="E906" s="17">
        <f>'JGBCurve'!$E$1323</f>
        <v/>
      </c>
    </row>
    <row r="907">
      <c r="A907" s="11" t="n">
        <v>45751</v>
      </c>
      <c r="B907" s="24" t="n">
        <v>319.1281</v>
      </c>
      <c r="C907" s="24" t="n">
        <v>33780.5781</v>
      </c>
      <c r="D907" s="13">
        <f>100*($B907/$C907)/($B$7/$C$7)</f>
        <v/>
      </c>
      <c r="E907" s="17">
        <f>'JGBCurve'!$E$1324</f>
        <v/>
      </c>
    </row>
    <row r="908">
      <c r="A908" s="11" t="n">
        <v>45758</v>
      </c>
      <c r="B908" s="24" t="n">
        <v>316.5442</v>
      </c>
      <c r="C908" s="24" t="n">
        <v>33585.5781</v>
      </c>
      <c r="D908" s="13">
        <f>100*($B908/$C908)/($B$7/$C$7)</f>
        <v/>
      </c>
      <c r="E908" s="17">
        <f>'JGBCurve'!$E$1325</f>
        <v/>
      </c>
    </row>
    <row r="909">
      <c r="A909" s="11" t="n">
        <v>45765</v>
      </c>
      <c r="B909" s="24" t="n">
        <v>327.8954</v>
      </c>
      <c r="C909" s="24" t="n">
        <v>34730.2812</v>
      </c>
      <c r="D909" s="13">
        <f>100*($B909/$C909)/($B$7/$C$7)</f>
        <v/>
      </c>
      <c r="E909" s="17">
        <f>'JGBCurve'!$E$1326</f>
        <v/>
      </c>
    </row>
    <row r="910">
      <c r="A910" s="11" t="n">
        <v>45772</v>
      </c>
      <c r="B910" s="24" t="n">
        <v>334.9092</v>
      </c>
      <c r="C910" s="24" t="n">
        <v>35705.7383</v>
      </c>
      <c r="D910" s="13">
        <f>100*($B910/$C910)/($B$7/$C$7)</f>
        <v/>
      </c>
      <c r="E910" s="17">
        <f>'JGBCurve'!$E$1327</f>
        <v/>
      </c>
    </row>
    <row r="911">
      <c r="A911" s="11" t="n">
        <v>45779</v>
      </c>
      <c r="B911" s="24" t="n">
        <v>332.2329</v>
      </c>
      <c r="C911" s="24" t="n">
        <v>36830.6914</v>
      </c>
      <c r="D911" s="13">
        <f>100*($B911/$C911)/($B$7/$C$7)</f>
        <v/>
      </c>
      <c r="E911" s="17">
        <f>'JGBCurve'!$E$1328</f>
        <v/>
      </c>
    </row>
    <row r="912">
      <c r="A912" s="11" t="n">
        <v>45786</v>
      </c>
      <c r="B912" s="24" t="n">
        <v>350.6903</v>
      </c>
      <c r="C912" s="24" t="n">
        <v>37503.3281</v>
      </c>
      <c r="D912" s="13">
        <f>100*($B912/$C912)/($B$7/$C$7)</f>
        <v/>
      </c>
      <c r="E912" s="17">
        <f>'JGBCurve'!$E$1329</f>
        <v/>
      </c>
    </row>
    <row r="913">
      <c r="A913" s="11" t="n">
        <v>45793</v>
      </c>
      <c r="B913" s="24" t="n">
        <v>362.7799</v>
      </c>
      <c r="C913" s="24" t="n">
        <v>37753.7188</v>
      </c>
      <c r="D913" s="13">
        <f>100*($B913/$C913)/($B$7/$C$7)</f>
        <v/>
      </c>
      <c r="E913" s="17">
        <f>'JGBCurve'!$E$1330</f>
        <v/>
      </c>
    </row>
    <row r="914">
      <c r="A914" s="11" t="n">
        <v>45800</v>
      </c>
      <c r="B914" s="24" t="n">
        <v>370.3474</v>
      </c>
      <c r="C914" s="24" t="n">
        <v>37160.4688</v>
      </c>
      <c r="D914" s="13">
        <f>100*($B914/$C914)/($B$7/$C$7)</f>
        <v/>
      </c>
      <c r="E914" s="17">
        <f>'JGBCurve'!$E$1331</f>
        <v/>
      </c>
    </row>
    <row r="915">
      <c r="A915" s="11" t="n">
        <v>45807</v>
      </c>
      <c r="B915" s="24" t="n">
        <v>380.3144</v>
      </c>
      <c r="C915" s="24" t="n">
        <v>37965.1016</v>
      </c>
      <c r="D915" s="13">
        <f>100*($B915/$C915)/($B$7/$C$7)</f>
        <v/>
      </c>
      <c r="E915" s="17">
        <f>'JGBCurve'!$E$1332</f>
        <v/>
      </c>
    </row>
    <row r="916">
      <c r="A916" s="11" t="n">
        <v>45814</v>
      </c>
      <c r="B916" s="24" t="n">
        <v>374.2235</v>
      </c>
      <c r="C916" s="24" t="n">
        <v>37741.6094</v>
      </c>
      <c r="D916" s="13">
        <f>100*($B916/$C916)/($B$7/$C$7)</f>
        <v/>
      </c>
      <c r="E916" s="17">
        <f>'JGBCurve'!$E$1333</f>
        <v/>
      </c>
    </row>
    <row r="917">
      <c r="A917" s="11" t="n">
        <v>45821</v>
      </c>
      <c r="B917" s="24" t="n">
        <v>370.7166</v>
      </c>
      <c r="C917" s="24" t="n">
        <v>37834.25</v>
      </c>
      <c r="D917" s="13">
        <f>100*($B917/$C917)/($B$7/$C$7)</f>
        <v/>
      </c>
      <c r="E917" s="17">
        <f>'JGBCurve'!$E$1334</f>
        <v/>
      </c>
    </row>
    <row r="918">
      <c r="A918" s="11" t="n">
        <v>45828</v>
      </c>
      <c r="B918" s="24" t="n">
        <v>372.2854</v>
      </c>
      <c r="C918" s="24" t="n">
        <v>38403.2305</v>
      </c>
      <c r="D918" s="13">
        <f>100*($B918/$C918)/($B$7/$C$7)</f>
        <v/>
      </c>
      <c r="E918" s="17">
        <f>'JGBCurve'!$E$1335</f>
        <v/>
      </c>
    </row>
    <row r="919">
      <c r="A919" s="11" t="n">
        <v>45835</v>
      </c>
      <c r="B919" s="24" t="n">
        <v>376.5307</v>
      </c>
      <c r="C919" s="24" t="n">
        <v>40150.7891</v>
      </c>
      <c r="D919" s="13">
        <f>100*($B919/$C919)/($B$7/$C$7)</f>
        <v/>
      </c>
      <c r="E919" s="17">
        <f>'JGBCurve'!$E$1336</f>
        <v/>
      </c>
    </row>
    <row r="920">
      <c r="A920" s="11" t="n">
        <v>45842</v>
      </c>
      <c r="B920" s="24" t="n">
        <v>383.729</v>
      </c>
      <c r="C920" s="24" t="n">
        <v>39810.8789</v>
      </c>
      <c r="D920" s="13">
        <f>100*($B920/$C920)/($B$7/$C$7)</f>
        <v/>
      </c>
      <c r="E920" s="17">
        <f>'JGBCurve'!$E$1337</f>
        <v/>
      </c>
    </row>
    <row r="921">
      <c r="A921" s="11" t="n">
        <v>45849</v>
      </c>
      <c r="B921" s="24" t="n">
        <v>384.2827</v>
      </c>
      <c r="C921" s="24" t="n">
        <v>39569.6797</v>
      </c>
      <c r="D921" s="13">
        <f>100*($B921/$C921)/($B$7/$C$7)</f>
        <v/>
      </c>
      <c r="E921" s="17">
        <f>'JGBCurve'!$E$1338</f>
        <v/>
      </c>
    </row>
    <row r="922">
      <c r="A922" s="11" t="n">
        <v>45856</v>
      </c>
      <c r="B922" s="24" t="n">
        <v>382.2458</v>
      </c>
      <c r="C922" s="24" t="n">
        <v>39819.1094</v>
      </c>
      <c r="D922" s="13">
        <f>100*($B922/$C922)/($B$7/$C$7)</f>
        <v/>
      </c>
      <c r="E922" s="17">
        <f>'JGBCurve'!$E$1339</f>
        <v/>
      </c>
    </row>
    <row r="923">
      <c r="A923" s="11" t="n">
        <v>45863</v>
      </c>
      <c r="B923" s="24" t="n">
        <v>415.8818</v>
      </c>
      <c r="C923" s="24" t="n">
        <v>41456.2305</v>
      </c>
      <c r="D923" s="13">
        <f>100*($B923/$C923)/($B$7/$C$7)</f>
        <v/>
      </c>
      <c r="E923" s="17">
        <f>'JGBCurve'!$E$1340</f>
        <v/>
      </c>
    </row>
    <row r="924">
      <c r="A924" s="11" t="n">
        <v>45870</v>
      </c>
      <c r="B924" s="24" t="n">
        <v>407.6186</v>
      </c>
      <c r="C924" s="24" t="n">
        <v>40799.6016</v>
      </c>
      <c r="D924" s="13">
        <f>100*($B924/$C924)/($B$7/$C$7)</f>
        <v/>
      </c>
      <c r="E924" s="17">
        <f>'JGBCurve'!$E$1341</f>
        <v/>
      </c>
    </row>
    <row r="925">
      <c r="A925" s="11" t="n">
        <v>45877</v>
      </c>
      <c r="B925" s="24" t="n">
        <v>412.9654</v>
      </c>
      <c r="C925" s="24" t="n">
        <v>41820.4805</v>
      </c>
      <c r="D925" s="13">
        <f>100*($B925/$C925)/($B$7/$C$7)</f>
        <v/>
      </c>
      <c r="E925" s="17">
        <f>'JGBCurve'!$E$1342</f>
        <v/>
      </c>
    </row>
    <row r="926">
      <c r="A926" s="11" t="n">
        <v>45884</v>
      </c>
      <c r="B926" s="24" t="n">
        <v>451.365</v>
      </c>
      <c r="C926" s="24" t="n">
        <v>43378.3086</v>
      </c>
      <c r="D926" s="13">
        <f>100*($B926/$C926)/($B$7/$C$7)</f>
        <v/>
      </c>
      <c r="E926" s="17">
        <f>'JGBCurve'!$E$1343</f>
        <v/>
      </c>
    </row>
    <row r="927">
      <c r="A927" s="11" t="n">
        <v>45891</v>
      </c>
      <c r="B927" s="24" t="n">
        <v>441.838</v>
      </c>
      <c r="C927" s="24" t="n">
        <v>42633.2891</v>
      </c>
      <c r="D927" s="13">
        <f>100*($B927/$C927)/($B$7/$C$7)</f>
        <v/>
      </c>
      <c r="E927" s="17">
        <f>'JGBCurve'!$E$1344</f>
        <v/>
      </c>
    </row>
    <row r="928">
      <c r="A928" s="11" t="n">
        <v>45898</v>
      </c>
      <c r="B928" s="24" t="n">
        <v>437.755</v>
      </c>
      <c r="C928" s="24" t="n">
        <v>42718.4688</v>
      </c>
      <c r="D928" s="13">
        <f>100*($B928/$C928)/($B$7/$C$7)</f>
        <v/>
      </c>
      <c r="E928" s="17">
        <f>'JGBCurve'!$E$1345</f>
        <v/>
      </c>
    </row>
    <row r="929">
      <c r="A929" s="11" t="n">
        <v>45905</v>
      </c>
      <c r="B929" s="24" t="n">
        <v>437.1717</v>
      </c>
      <c r="C929" s="24" t="n">
        <v>43018.75</v>
      </c>
      <c r="D929" s="13">
        <f>100*($B929/$C929)/($B$7/$C$7)</f>
        <v/>
      </c>
      <c r="E929" s="17">
        <f>'JGBCurve'!$E$1346</f>
        <v/>
      </c>
    </row>
    <row r="930">
      <c r="A930" s="11" t="n">
        <v>45912</v>
      </c>
      <c r="B930" s="24" t="n">
        <v>441.0603</v>
      </c>
      <c r="C930" s="24" t="n">
        <v>44768.1211</v>
      </c>
      <c r="D930" s="13">
        <f>100*($B930/$C930)/($B$7/$C$7)</f>
        <v/>
      </c>
      <c r="E930" s="17">
        <f>'JGBCurve'!$E$1347</f>
        <v/>
      </c>
    </row>
    <row r="931">
      <c r="A931" s="11" t="n">
        <v>45919</v>
      </c>
      <c r="B931" s="24" t="n">
        <v>443.4906</v>
      </c>
      <c r="C931" s="24" t="n">
        <v>45045.8086</v>
      </c>
      <c r="D931" s="13">
        <f>100*($B931/$C931)/($B$7/$C$7)</f>
        <v/>
      </c>
      <c r="E931" s="17">
        <f>'JGBCurve'!$E$1348</f>
        <v/>
      </c>
    </row>
    <row r="932">
      <c r="A932" s="11" t="n">
        <v>45926</v>
      </c>
      <c r="B932" s="24" t="n">
        <v>459.3365</v>
      </c>
      <c r="C932" s="24" t="n">
        <v>45354.9883</v>
      </c>
      <c r="D932" s="13">
        <f>100*($B932/$C932)/($B$7/$C$7)</f>
        <v/>
      </c>
      <c r="E932" s="17">
        <f>'JGBCurve'!$E$1349</f>
        <v/>
      </c>
    </row>
    <row r="933">
      <c r="A933" s="11" t="n">
        <v>45933</v>
      </c>
      <c r="B933" s="24" t="n">
        <v>446.8931</v>
      </c>
      <c r="C933" s="24" t="n">
        <v>45769.5</v>
      </c>
      <c r="D933" s="13">
        <f>100*($B933/$C933)/($B$7/$C$7)</f>
        <v/>
      </c>
      <c r="E933" s="17">
        <f>'JGBCurve'!$E$1350</f>
        <v/>
      </c>
    </row>
    <row r="934">
      <c r="A934" s="11" t="n">
        <v>45940</v>
      </c>
      <c r="B934" s="24" t="n">
        <v>439.9909</v>
      </c>
      <c r="C934" s="24" t="n">
        <v>48088.8008</v>
      </c>
      <c r="D934" s="13">
        <f>100*($B934/$C934)/($B$7/$C$7)</f>
        <v/>
      </c>
      <c r="E934" s="17">
        <f>'JGBCurve'!$E$1351</f>
        <v/>
      </c>
    </row>
    <row r="935">
      <c r="A935" s="11" t="n">
        <v>45947</v>
      </c>
      <c r="B935" s="24" t="n">
        <v>430.7556</v>
      </c>
      <c r="C935" s="24" t="n">
        <v>47582.1484</v>
      </c>
      <c r="D935" s="13">
        <f>100*($B935/$C935)/($B$7/$C$7)</f>
        <v/>
      </c>
      <c r="E935" s="17">
        <f>'JGBCurve'!$E$1352</f>
        <v/>
      </c>
    </row>
    <row r="936">
      <c r="A936" s="11" t="n">
        <v>45954</v>
      </c>
      <c r="B936" s="24" t="n">
        <v>441.3519</v>
      </c>
      <c r="C936" s="24" t="n">
        <v>49299.6484</v>
      </c>
      <c r="D936" s="13">
        <f>100*($B936/$C936)/($B$7/$C$7)</f>
        <v/>
      </c>
      <c r="E936" s="17">
        <f>'JGBCurve'!$E$1353</f>
        <v/>
      </c>
    </row>
    <row r="937">
      <c r="A937" s="11" t="n">
        <v>45961</v>
      </c>
      <c r="B937" s="24" t="n">
        <v>455.2535</v>
      </c>
      <c r="C937" s="24" t="n">
        <v>52411.3398</v>
      </c>
      <c r="D937" s="13">
        <f>100*($B937/$C937)/($B$7/$C$7)</f>
        <v/>
      </c>
      <c r="E937" s="17">
        <f>'JGBCurve'!$E$1354</f>
        <v/>
      </c>
    </row>
    <row r="938">
      <c r="A938" s="11" t="n">
        <v>45968</v>
      </c>
      <c r="B938" s="24" t="n">
        <v>454.7675</v>
      </c>
      <c r="C938" s="24" t="n">
        <v>50276.3711</v>
      </c>
      <c r="D938" s="13">
        <f>100*($B938/$C938)/($B$7/$C$7)</f>
        <v/>
      </c>
      <c r="E938" s="17">
        <f>'JGBCurve'!$E$1355</f>
        <v/>
      </c>
    </row>
    <row r="939">
      <c r="A939" s="11" t="n">
        <v>45975</v>
      </c>
      <c r="B939" s="24" t="n">
        <v>473.4326</v>
      </c>
      <c r="C939" s="24" t="n">
        <v>50376.5312</v>
      </c>
      <c r="D939" s="13">
        <f>100*($B939/$C939)/($B$7/$C$7)</f>
        <v/>
      </c>
      <c r="E939" s="17">
        <f>'JGBCurve'!$E$1356</f>
        <v/>
      </c>
    </row>
    <row r="940">
      <c r="A940" s="11" t="n">
        <v>45982</v>
      </c>
      <c r="B940" s="24" t="n">
        <v>471.4883</v>
      </c>
      <c r="C940" s="24" t="n">
        <v>48625.8789</v>
      </c>
      <c r="D940" s="13">
        <f>100*($B940/$C940)/($B$7/$C$7)</f>
        <v/>
      </c>
      <c r="E940" s="17">
        <f>'JGBCurve'!$E$1357</f>
        <v/>
      </c>
    </row>
    <row r="941">
      <c r="A941" s="11" t="n">
        <v>45989</v>
      </c>
      <c r="B941" s="24" t="n">
        <v>491.4172</v>
      </c>
      <c r="C941" s="24" t="n">
        <v>50253.9102</v>
      </c>
      <c r="D941" s="13">
        <f>100*($B941/$C941)/($B$7/$C$7)</f>
        <v/>
      </c>
      <c r="E941" s="17">
        <f>'JGBCurve'!$E$1358</f>
        <v/>
      </c>
    </row>
    <row r="942">
      <c r="A942" s="11" t="n">
        <v>45996</v>
      </c>
      <c r="B942" s="24" t="n">
        <v>506.1937</v>
      </c>
      <c r="C942" s="24" t="n">
        <v>50491.8711</v>
      </c>
      <c r="D942" s="13">
        <f>100*($B942/$C942)/($B$7/$C$7)</f>
        <v/>
      </c>
      <c r="E942" s="17">
        <f>'JGBCurve'!$E$1359</f>
        <v/>
      </c>
    </row>
    <row r="943">
      <c r="A943" s="11" t="n">
        <v>46003</v>
      </c>
      <c r="B943" s="24" t="n">
        <v>510.86</v>
      </c>
      <c r="C943" s="24" t="n">
        <v>50836.5508</v>
      </c>
      <c r="D943" s="13">
        <f>100*($B943/$C943)/($B$7/$C$7)</f>
        <v/>
      </c>
      <c r="E943" s="17">
        <f>'JGBCurve'!$E$1360</f>
        <v/>
      </c>
    </row>
    <row r="944">
      <c r="A944" s="11" t="n">
        <v>46010</v>
      </c>
      <c r="B944" s="24" t="n">
        <v>507.8464</v>
      </c>
      <c r="C944" s="24" t="n">
        <v>49507.2109</v>
      </c>
      <c r="D944" s="13">
        <f>100*($B944/$C944)/($B$7/$C$7)</f>
        <v/>
      </c>
      <c r="E944" s="17">
        <f>'JGBCurve'!$E$1361</f>
        <v/>
      </c>
    </row>
    <row r="945">
      <c r="A945" s="11" t="n">
        <v>46017</v>
      </c>
      <c r="B945" s="24" t="n">
        <v>512.221</v>
      </c>
      <c r="C945" s="24" t="n">
        <v>50750.3906</v>
      </c>
      <c r="D945" s="13">
        <f>100*($B945/$C945)/($B$7/$C$7)</f>
        <v/>
      </c>
      <c r="E945" s="17">
        <f>'JGBCurve'!$E$1362</f>
        <v/>
      </c>
    </row>
    <row r="946">
      <c r="A946" s="11" t="n">
        <v>46024</v>
      </c>
      <c r="B946" s="24" t="n">
        <v>513.4848</v>
      </c>
      <c r="C946" s="24" t="n">
        <v>50339.4805</v>
      </c>
      <c r="D946" s="13">
        <f>100*($B946/$C946)/($B$7/$C$7)</f>
        <v/>
      </c>
      <c r="E946" s="17">
        <f>'JGBCurve'!$E$1363</f>
        <v/>
      </c>
    </row>
    <row r="947">
      <c r="A947" s="11" t="n">
        <v>46031</v>
      </c>
      <c r="B947" s="24" t="n">
        <v>544.3989</v>
      </c>
      <c r="C947" s="24" t="n">
        <v>51939.8906</v>
      </c>
      <c r="D947" s="13">
        <f>100*($B947/$C947)/($B$7/$C$7)</f>
        <v/>
      </c>
      <c r="E947" s="17">
        <f>'JGBCurve'!$E$1364</f>
        <v/>
      </c>
    </row>
    <row r="948">
      <c r="A948" s="11" t="n">
        <v>46038</v>
      </c>
      <c r="B948" s="24" t="n">
        <v>596.7972</v>
      </c>
      <c r="C948" s="24" t="n">
        <v>53936.1719</v>
      </c>
      <c r="D948" s="13">
        <f>100*($B948/$C948)/($B$7/$C$7)</f>
        <v/>
      </c>
      <c r="E948" s="17">
        <f>'JGBCurve'!$E$1365</f>
        <v/>
      </c>
    </row>
    <row r="949">
      <c r="A949" s="11" t="n">
        <v>46045</v>
      </c>
      <c r="B949" s="24" t="n">
        <v>583.2845</v>
      </c>
      <c r="C949" s="24" t="n">
        <v>53846.8711</v>
      </c>
      <c r="D949" s="13">
        <f>100*($B949/$C949)/($B$7/$C$7)</f>
        <v/>
      </c>
      <c r="E949" s="17">
        <f>'JGBCurve'!$E$1366</f>
        <v/>
      </c>
    </row>
    <row r="950">
      <c r="A950" s="11" t="n">
        <v>46052</v>
      </c>
      <c r="B950" s="24" t="n">
        <v>581.6318</v>
      </c>
      <c r="C950" s="24" t="n">
        <v>53322.8516</v>
      </c>
      <c r="D950" s="13">
        <f>100*($B950/$C950)/($B$7/$C$7)</f>
        <v/>
      </c>
      <c r="E950" s="17">
        <f>'JGBCurve'!$E$1367</f>
        <v/>
      </c>
    </row>
    <row r="951">
      <c r="A951" s="11" t="n">
        <v>46059</v>
      </c>
      <c r="B951" s="24" t="n">
        <v>625.0865</v>
      </c>
      <c r="C951" s="24" t="n">
        <v>54253.6797</v>
      </c>
      <c r="D951" s="13">
        <f>100*($B951/$C951)/($B$7/$C$7)</f>
        <v/>
      </c>
      <c r="E951" s="17">
        <f>'JGBCurve'!$E$1368</f>
        <v/>
      </c>
    </row>
    <row r="952">
      <c r="A952" s="11" t="n">
        <v>46066</v>
      </c>
      <c r="B952" s="24" t="n">
        <v>647.6402</v>
      </c>
      <c r="C952" s="24" t="n">
        <v>56941.9688</v>
      </c>
      <c r="D952" s="13">
        <f>100*($B952/$C952)/($B$7/$C$7)</f>
        <v/>
      </c>
      <c r="E952" s="17">
        <f>'JGBCurve'!$E$1369</f>
        <v/>
      </c>
    </row>
    <row r="953">
      <c r="A953" s="11" t="n">
        <v>46073</v>
      </c>
      <c r="B953" s="24" t="n">
        <v>629.7528</v>
      </c>
      <c r="C953" s="24" t="n">
        <v>56825.6992</v>
      </c>
      <c r="D953" s="13">
        <f>100*($B953/$C953)/($B$7/$C$7)</f>
        <v/>
      </c>
      <c r="E953" s="17">
        <f>'JGBCurve'!$E$1370</f>
        <v/>
      </c>
    </row>
    <row r="954">
      <c r="A954" s="11" t="n">
        <v>46080</v>
      </c>
      <c r="B954" s="24" t="n">
        <v>629.85</v>
      </c>
      <c r="C954" s="24" t="n">
        <v>58850.2695</v>
      </c>
      <c r="D954" s="13">
        <f>100*($B954/$C954)/($B$7/$C$7)</f>
        <v/>
      </c>
      <c r="E954" s="17">
        <f>'JGBCurve'!$E$1371</f>
        <v/>
      </c>
    </row>
    <row r="955">
      <c r="A955" s="11" t="n">
        <v>46087</v>
      </c>
      <c r="B955" s="24" t="n">
        <v>582.7984</v>
      </c>
      <c r="C955" s="24" t="n">
        <v>55620.8398</v>
      </c>
      <c r="D955" s="13">
        <f>100*($B955/$C955)/($B$7/$C$7)</f>
        <v/>
      </c>
      <c r="E955" s="17">
        <f>'JGBCurve'!$E$1372</f>
        <v/>
      </c>
    </row>
    <row r="956">
      <c r="A956" s="11" t="n">
        <v>46094</v>
      </c>
      <c r="B956" s="24" t="n">
        <v>552.176</v>
      </c>
      <c r="C956" s="24" t="n">
        <v>53819.6094</v>
      </c>
      <c r="D956" s="13">
        <f>100*($B956/$C956)/($B$7/$C$7)</f>
        <v/>
      </c>
      <c r="E956" s="17">
        <f>'JGBCurve'!$E$1373</f>
        <v/>
      </c>
    </row>
    <row r="957">
      <c r="A957" s="11" t="n">
        <v>46101</v>
      </c>
      <c r="B957" s="24" t="n">
        <v>558.5921</v>
      </c>
      <c r="C957" s="24" t="n">
        <v>53372.5312</v>
      </c>
      <c r="D957" s="13">
        <f>100*($B957/$C957)/($B$7/$C$7)</f>
        <v/>
      </c>
      <c r="E957" s="17">
        <f>'JGBCurve'!$E$1374</f>
        <v/>
      </c>
    </row>
    <row r="958">
      <c r="A958" s="11" t="n">
        <v>46108</v>
      </c>
      <c r="B958" s="24" t="n">
        <v>571.4243</v>
      </c>
      <c r="C958" s="24" t="n">
        <v>53373.0703</v>
      </c>
      <c r="D958" s="13">
        <f>100*($B958/$C958)/($B$7/$C$7)</f>
        <v/>
      </c>
      <c r="E958" s="17">
        <f>'JGBCurve'!$E$1375</f>
        <v/>
      </c>
    </row>
    <row r="959">
      <c r="A959" s="11" t="n">
        <v>46115</v>
      </c>
      <c r="B959" s="24" t="n">
        <v>585.0343</v>
      </c>
      <c r="C959" s="24" t="n">
        <v>53123.4883</v>
      </c>
      <c r="D959" s="13">
        <f>100*($B959/$C959)/($B$7/$C$7)</f>
        <v/>
      </c>
      <c r="E959" s="17">
        <f>'JGBCurve'!$E$1376</f>
        <v/>
      </c>
    </row>
    <row r="960">
      <c r="A960" s="11" t="n">
        <v>46122</v>
      </c>
      <c r="B960" s="24" t="n">
        <v>609.3378</v>
      </c>
      <c r="C960" s="24" t="n">
        <v>56924.1094</v>
      </c>
      <c r="D960" s="13">
        <f>100*($B960/$C960)/($B$7/$C$7)</f>
        <v/>
      </c>
      <c r="E960" s="17">
        <f>'JGBCurve'!$E$1377</f>
        <v/>
      </c>
    </row>
    <row r="961">
      <c r="A961" s="11" t="n">
        <v>46129</v>
      </c>
      <c r="B961" s="24" t="n">
        <v>614.5874</v>
      </c>
      <c r="C961" s="24" t="n">
        <v>58475.8984</v>
      </c>
      <c r="D961" s="13">
        <f>100*($B961/$C961)/($B$7/$C$7)</f>
        <v/>
      </c>
      <c r="E961" s="17">
        <f>'JGBCurve'!$E$1378</f>
        <v/>
      </c>
    </row>
    <row r="962">
      <c r="A962" s="11" t="n">
        <v>46136</v>
      </c>
      <c r="B962" s="24" t="n">
        <v>582.6039</v>
      </c>
      <c r="C962" s="24" t="n">
        <v>59716.1797</v>
      </c>
      <c r="D962" s="13">
        <f>100*($B962/$C962)/($B$7/$C$7)</f>
        <v/>
      </c>
      <c r="E962" s="17">
        <f>'JGBCurve'!$E$1379</f>
        <v/>
      </c>
    </row>
    <row r="963">
      <c r="A963" s="11" t="n">
        <v>46143</v>
      </c>
      <c r="B963" s="24" t="n">
        <v>597.3805</v>
      </c>
      <c r="C963" s="24" t="n">
        <v>59513.1211</v>
      </c>
      <c r="D963" s="13">
        <f>100*($B963/$C963)/($B$7/$C$7)</f>
        <v/>
      </c>
      <c r="E963" s="17">
        <f>'JGBCurve'!$E$1380</f>
        <v/>
      </c>
    </row>
    <row r="964">
      <c r="A964" s="11" t="n">
        <v>46150</v>
      </c>
      <c r="B964" s="24" t="n">
        <v>605.2548</v>
      </c>
      <c r="C964" s="24" t="n">
        <v>62713.6484</v>
      </c>
      <c r="D964" s="13">
        <f>100*($B964/$C964)/($B$7/$C$7)</f>
        <v/>
      </c>
      <c r="E964" s="17">
        <f>'JGBCurve'!$E$1381</f>
        <v/>
      </c>
    </row>
    <row r="965">
      <c r="A965" s="11" t="n">
        <v>46157</v>
      </c>
      <c r="B965" s="24" t="n">
        <v>621.8785</v>
      </c>
      <c r="C965" s="24" t="n">
        <v>61409.2891</v>
      </c>
      <c r="D965" s="13">
        <f>100*($B965/$C965)/($B$7/$C$7)</f>
        <v/>
      </c>
      <c r="E965" s="17">
        <f>'JGBCurve'!$E$1382</f>
        <v/>
      </c>
    </row>
    <row r="966">
      <c r="A966" s="11" t="n">
        <v>46164</v>
      </c>
      <c r="B966" s="24" t="n">
        <v>657.9449</v>
      </c>
      <c r="C966" s="24" t="n">
        <v>63339.0703</v>
      </c>
      <c r="D966" s="13">
        <f>100*($B966/$C966)/($B$7/$C$7)</f>
        <v/>
      </c>
      <c r="E966" s="17">
        <f>'JGBCurve'!$E$1383</f>
        <v/>
      </c>
    </row>
    <row r="967">
      <c r="A967" s="11" t="n">
        <v>46171</v>
      </c>
      <c r="B967" s="24" t="n">
        <v>637.8215</v>
      </c>
      <c r="C967" s="24" t="n">
        <v>66329.5</v>
      </c>
      <c r="D967" s="13">
        <f>100*($B967/$C967)/($B$7/$C$7)</f>
        <v/>
      </c>
      <c r="E967" s="17">
        <f>'JGBCurve'!$E$1384</f>
        <v/>
      </c>
    </row>
    <row r="968">
      <c r="A968" s="11" t="n">
        <v>46178</v>
      </c>
      <c r="B968" s="24" t="n">
        <v>673.4019</v>
      </c>
      <c r="C968" s="24" t="n">
        <v>66588.11719999999</v>
      </c>
      <c r="D968" s="13">
        <f>100*($B968/$C968)/($B$7/$C$7)</f>
        <v/>
      </c>
      <c r="E968" s="17">
        <f>'JGBCurve'!$E$1385</f>
        <v/>
      </c>
    </row>
    <row r="969">
      <c r="A969" s="11" t="n">
        <v>46185</v>
      </c>
      <c r="B969" s="24" t="n">
        <v>677.4849</v>
      </c>
      <c r="C969" s="24" t="n">
        <v>66020.03909999999</v>
      </c>
      <c r="D969" s="13">
        <f>100*($B969/$C969)/($B$7/$C$7)</f>
        <v/>
      </c>
      <c r="E969" s="17">
        <f>'JGBCurve'!$E$1386</f>
        <v/>
      </c>
    </row>
    <row r="970">
      <c r="A970" s="11" t="n">
        <v>46192</v>
      </c>
      <c r="B970" s="24" t="n">
        <v>696.15</v>
      </c>
      <c r="C970" s="24" t="n">
        <v>71250.0625</v>
      </c>
      <c r="D970" s="13">
        <f>100*($B970/$C970)/($B$7/$C$7)</f>
        <v/>
      </c>
      <c r="E970" s="17">
        <f>'JGBCurve'!$E$1387</f>
        <v/>
      </c>
    </row>
    <row r="971">
      <c r="A971" s="11" t="n">
        <v>46199</v>
      </c>
      <c r="B971" s="24" t="n">
        <v>682.54</v>
      </c>
      <c r="C971" s="24" t="n">
        <v>69360.88280000001</v>
      </c>
      <c r="D971" s="13">
        <f>100*($B971/$C971)/($B$7/$C$7)</f>
        <v/>
      </c>
      <c r="E971" s="17">
        <f>'JGBCurve'!$E$1388</f>
        <v/>
      </c>
    </row>
    <row r="972">
      <c r="A972" s="11" t="n">
        <v>46206</v>
      </c>
      <c r="B972" s="24" t="n">
        <v>711.6070999999999</v>
      </c>
      <c r="C972" s="24" t="n">
        <v>69744.07030000001</v>
      </c>
      <c r="D972" s="13">
        <f>100*($B972/$C972)/($B$7/$C$7)</f>
        <v/>
      </c>
      <c r="E972" s="17">
        <f>'JGBCurve'!$E$1389</f>
        <v/>
      </c>
    </row>
    <row r="973">
      <c r="A973" s="11" t="n">
        <v>46213</v>
      </c>
      <c r="B973" s="24" t="n">
        <v>732.9941</v>
      </c>
      <c r="C973" s="24" t="n">
        <v>68557.72659999999</v>
      </c>
      <c r="D973" s="13">
        <f>100*($B973/$C973)/($B$7/$C$7)</f>
        <v/>
      </c>
      <c r="E973" s="17">
        <f>'JGBCurve'!$E$1390</f>
        <v/>
      </c>
    </row>
    <row r="974">
      <c r="A974" s="11" t="n">
        <v>46220</v>
      </c>
      <c r="B974" s="24" t="n">
        <v>719</v>
      </c>
      <c r="C974" s="24" t="n">
        <v>64141.1211</v>
      </c>
      <c r="D974" s="13">
        <f>100*($B974/$C974)/($B$7/$C$7)</f>
        <v/>
      </c>
      <c r="E974" s="17">
        <f>'JGBCurve'!$E$1391</f>
        <v/>
      </c>
    </row>
    <row r="975">
      <c r="A975" s="11" t="n">
        <v>46227</v>
      </c>
      <c r="B975" s="24" t="n">
        <v>774</v>
      </c>
      <c r="C975" s="24" t="n">
        <v>64611.1484</v>
      </c>
      <c r="D975" s="13">
        <f>100*($B975/$C975)/($B$7/$C$7)</f>
        <v/>
      </c>
      <c r="E975" s="17">
        <f>'JGBCurve'!$E$1392</f>
        <v/>
      </c>
    </row>
    <row r="976">
      <c r="A976" s="11" t="n">
        <v>46234</v>
      </c>
      <c r="B976" s="24" t="n">
        <v>730</v>
      </c>
      <c r="C976" s="24" t="n">
        <v>64362.0195</v>
      </c>
      <c r="D976" s="13">
        <f>100*($B976/$C976)/($B$7/$C$7)</f>
        <v/>
      </c>
      <c r="E976" s="17">
        <f>'JGBCurve'!$E$1393</f>
        <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LinksUpToDate>false</LinksUpToDate>
  <SharedDoc>false</SharedDoc>
  <HyperlinksChanged>false</HyperlinksChanged>
  <AppVersion>16.0300</AppVersion>
</Properties>
</file>

<file path=docProps/core.xml><?xml version="1.0" encoding="utf-8"?>
<cp:coreProperties xmlns:cp="http://schemas.openxmlformats.org/package/2006/metadata/core-properties">
  <dc:creator xmlns:dc="http://purl.org/dc/elements/1.1/">Nigel Li</dc:creator>
  <dc:title xmlns:dc="http://purl.org/dc/elements/1.1/">Market charts</dc:title>
  <dc:description xmlns:dc="http://purl.org/dc/elements/1.1/">Five charts built from public data: cross-asset rebasing, jobless claims, the 10y through equity bubbles, and construction spending.</dc:description>
  <dc:subject xmlns:dc="http://purl.org/dc/elements/1.1/">Cross-asset performance, US labour market, rates and construction</dc:subject>
  <dcterms:created xmlns:dcterms="http://purl.org/dc/terms/" xmlns:xsi="http://www.w3.org/2001/XMLSchema-instance" xsi:type="dcterms:W3CDTF">2026-08-08T09:34:50Z</dcterms:created>
  <dcterms:modified xmlns:dcterms="http://purl.org/dc/terms/" xmlns:xsi="http://www.w3.org/2001/XMLSchema-instance" xsi:type="dcterms:W3CDTF">2026-08-08T09:34:50Z</dcterms:modified>
  <cp:lastModifiedBy>Nigel Li</cp:lastModifiedBy>
  <cp:category>Markets</cp:category>
  <cp:revision>1</cp:revision>
  <cp:keywords>cross-asset; rates; claims; construction</cp:keywords>
</cp:coreProperties>
</file>